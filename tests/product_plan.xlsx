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60" windowHeight="0" firstSheet="116" activeTab="118"/>
  </bookViews>
  <sheets>
    <sheet name="201701" sheetId="14" state="hidden" r:id="rId1"/>
    <sheet name="201702" sheetId="15" state="hidden" r:id="rId2"/>
    <sheet name="201703" sheetId="16" state="hidden" r:id="rId3"/>
    <sheet name="201704" sheetId="17" state="hidden" r:id="rId4"/>
    <sheet name="201705" sheetId="18" state="hidden" r:id="rId5"/>
    <sheet name="201706" sheetId="19" state="hidden" r:id="rId6"/>
    <sheet name="201707" sheetId="20" state="hidden" r:id="rId7"/>
    <sheet name="201708" sheetId="21" state="hidden" r:id="rId8"/>
    <sheet name="201709" sheetId="22" state="hidden" r:id="rId9"/>
    <sheet name="201710" sheetId="23" state="hidden" r:id="rId10"/>
    <sheet name="201711" sheetId="24" state="hidden" r:id="rId11"/>
    <sheet name="201712" sheetId="25" state="hidden" r:id="rId12"/>
    <sheet name="total" sheetId="26" state="hidden" r:id="rId13"/>
    <sheet name="201902" sheetId="42" state="hidden" r:id="rId14"/>
    <sheet name="201903" sheetId="43" state="hidden" r:id="rId15"/>
    <sheet name="201904" sheetId="44" state="hidden" r:id="rId16"/>
    <sheet name="201905" sheetId="45" state="hidden" r:id="rId17"/>
    <sheet name="폐기 관련 정리 내용" sheetId="27" state="hidden" r:id="rId18"/>
    <sheet name="201906" sheetId="46" state="hidden" r:id="rId19"/>
    <sheet name="201907" sheetId="47" state="hidden" r:id="rId20"/>
    <sheet name="201908" sheetId="49" state="hidden" r:id="rId21"/>
    <sheet name="201909(초안)" sheetId="50" state="hidden" r:id="rId22"/>
    <sheet name="201909" sheetId="54" state="hidden" r:id="rId23"/>
    <sheet name="201910" sheetId="51" state="hidden" r:id="rId24"/>
    <sheet name="201911" sheetId="52" state="hidden" r:id="rId25"/>
    <sheet name="201912(최신안)" sheetId="62" state="hidden" r:id="rId26"/>
    <sheet name="201912(1안)" sheetId="53" state="hidden" r:id="rId27"/>
    <sheet name="201912 (2안)" sheetId="61" state="hidden" r:id="rId28"/>
    <sheet name="201912(변경안)" sheetId="66" state="hidden" r:id="rId29"/>
    <sheet name="201912(변경안) (2)" sheetId="67" state="hidden" r:id="rId30"/>
    <sheet name="202001" sheetId="55" state="hidden" r:id="rId31"/>
    <sheet name="202002" sheetId="56" state="hidden" r:id="rId32"/>
    <sheet name="202003 (최종)" sheetId="77" state="hidden" r:id="rId33"/>
    <sheet name="202003 (최신) 2안" sheetId="75" state="hidden" r:id="rId34"/>
    <sheet name="202003 (최신) 1안" sheetId="74" state="hidden" r:id="rId35"/>
    <sheet name="202003 (이전)" sheetId="73" state="hidden" r:id="rId36"/>
    <sheet name="202003 (3)" sheetId="72" state="hidden" r:id="rId37"/>
    <sheet name="202003 (2)" sheetId="71" state="hidden" r:id="rId38"/>
    <sheet name="202003" sheetId="57" state="hidden" r:id="rId39"/>
    <sheet name="202004 (논의안)" sheetId="78" state="hidden" r:id="rId40"/>
    <sheet name="202004 (2안)" sheetId="76" state="hidden" r:id="rId41"/>
    <sheet name="202004 (1안)" sheetId="58" state="hidden" r:id="rId42"/>
    <sheet name="202005(셧다운 전 pv진행)" sheetId="80" state="hidden" r:id="rId43"/>
    <sheet name="202005(셧다운 후 pv 진행)" sheetId="59" state="hidden" r:id="rId44"/>
    <sheet name="202005 (초안)" sheetId="79" state="hidden" r:id="rId45"/>
    <sheet name="202006" sheetId="60" state="hidden" r:id="rId46"/>
    <sheet name="202007" sheetId="63" state="hidden" r:id="rId47"/>
    <sheet name="202008(최신)" sheetId="81" state="hidden" r:id="rId48"/>
    <sheet name="202008(기존)" sheetId="64" state="hidden" r:id="rId49"/>
    <sheet name="202009" sheetId="65" state="hidden" r:id="rId50"/>
    <sheet name="202010" sheetId="68" state="hidden" r:id="rId51"/>
    <sheet name="202010 (DoE 진행안)" sheetId="93" state="hidden" r:id="rId52"/>
    <sheet name="202011 (1안)" sheetId="89" state="hidden" r:id="rId53"/>
    <sheet name="202011 (2안)" sheetId="69" state="hidden" r:id="rId54"/>
    <sheet name="202011 (DoE 진행안)" sheetId="94" state="hidden" r:id="rId55"/>
    <sheet name="202012(DoE 진행안)" sheetId="92" state="hidden" r:id="rId56"/>
    <sheet name="202012(2안)" sheetId="70" state="hidden" r:id="rId57"/>
    <sheet name="202012 (일탈 발생 시 안)" sheetId="88" state="hidden" r:id="rId58"/>
    <sheet name="202101" sheetId="82" state="hidden" r:id="rId59"/>
    <sheet name="202102" sheetId="83" state="hidden" r:id="rId60"/>
    <sheet name="202103" sheetId="84" state="hidden" r:id="rId61"/>
    <sheet name="202104" sheetId="85" state="hidden" r:id="rId62"/>
    <sheet name="202105" sheetId="86" state="hidden" r:id="rId63"/>
    <sheet name="202106" sheetId="87" state="hidden" r:id="rId64"/>
    <sheet name="202107" sheetId="95" state="hidden" r:id="rId65"/>
    <sheet name="202107 (코로나로 인한 변경)" sheetId="104" state="hidden" r:id="rId66"/>
    <sheet name="202108" sheetId="96" state="hidden" r:id="rId67"/>
    <sheet name="202108 (코로나로 인한 변경)" sheetId="105" state="hidden" r:id="rId68"/>
    <sheet name="202109" sheetId="97" state="hidden" r:id="rId69"/>
    <sheet name="202110" sheetId="98" state="hidden" r:id="rId70"/>
    <sheet name="202111" sheetId="99" state="hidden" r:id="rId71"/>
    <sheet name="202112" sheetId="100" state="hidden" r:id="rId72"/>
    <sheet name="202201" sheetId="101" state="hidden" r:id="rId73"/>
    <sheet name="202202" sheetId="102" state="hidden" r:id="rId74"/>
    <sheet name="202203" sheetId="115" state="hidden" r:id="rId75"/>
    <sheet name="202204" sheetId="116" state="hidden" r:id="rId76"/>
    <sheet name="202205" sheetId="117" state="hidden" r:id="rId77"/>
    <sheet name="202206" sheetId="118" state="hidden" r:id="rId78"/>
    <sheet name="202207" sheetId="119" state="hidden" r:id="rId79"/>
    <sheet name="202208" sheetId="120" state="hidden" r:id="rId80"/>
    <sheet name="202209" sheetId="121" state="hidden" r:id="rId81"/>
    <sheet name="202210" sheetId="122" state="hidden" r:id="rId82"/>
    <sheet name="202211" sheetId="123" state="hidden" r:id="rId83"/>
    <sheet name="202212" sheetId="124" state="hidden" r:id="rId84"/>
    <sheet name="202301" sheetId="125" state="hidden" r:id="rId85"/>
    <sheet name="202302" sheetId="126" state="hidden" r:id="rId86"/>
    <sheet name="202303" sheetId="127" state="hidden" r:id="rId87"/>
    <sheet name="202304" sheetId="130" state="hidden" r:id="rId88"/>
    <sheet name="202305" sheetId="131" state="hidden" r:id="rId89"/>
    <sheet name="202306" sheetId="132" state="hidden" r:id="rId90"/>
    <sheet name="202307" sheetId="133" state="hidden" r:id="rId91"/>
    <sheet name="202308" sheetId="134" state="hidden" r:id="rId92"/>
    <sheet name="202309" sheetId="135" state="hidden" r:id="rId93"/>
    <sheet name="202310" sheetId="136" state="hidden" r:id="rId94"/>
    <sheet name="202311" sheetId="144" state="hidden" r:id="rId95"/>
    <sheet name="202312" sheetId="138" state="hidden" r:id="rId96"/>
    <sheet name="202401" sheetId="139" state="hidden" r:id="rId97"/>
    <sheet name="202402" sheetId="140" state="hidden" r:id="rId98"/>
    <sheet name="202403" sheetId="141" state="hidden" r:id="rId99"/>
    <sheet name="202404" sheetId="142" state="hidden" r:id="rId100"/>
    <sheet name="202405" sheetId="143" state="hidden" r:id="rId101"/>
    <sheet name="202406" sheetId="145" state="hidden" r:id="rId102"/>
    <sheet name="202407" sheetId="146" state="hidden" r:id="rId103"/>
    <sheet name="202408" sheetId="147" state="hidden" r:id="rId104"/>
    <sheet name="202409" sheetId="148" state="hidden" r:id="rId105"/>
    <sheet name="202410" sheetId="149" state="hidden" r:id="rId106"/>
    <sheet name="202411" sheetId="150" state="hidden" r:id="rId107"/>
    <sheet name="202412" sheetId="151" state="hidden" r:id="rId108"/>
    <sheet name="202501" sheetId="152" state="hidden" r:id="rId109"/>
    <sheet name="202502" sheetId="169" state="hidden" r:id="rId110"/>
    <sheet name="202503" sheetId="175" state="hidden" r:id="rId111"/>
    <sheet name="202504" sheetId="185" state="hidden" r:id="rId112"/>
    <sheet name="202505" sheetId="186" state="hidden" r:id="rId113"/>
    <sheet name="202506" sheetId="188" state="hidden" r:id="rId114"/>
    <sheet name="202507" sheetId="158" state="hidden" r:id="rId115"/>
    <sheet name="202508" sheetId="191" state="hidden" r:id="rId116"/>
    <sheet name="202509" sheetId="192" r:id="rId117"/>
    <sheet name="202510" sheetId="205" r:id="rId118"/>
    <sheet name="202511" sheetId="207" r:id="rId119"/>
    <sheet name="202512" sheetId="168" r:id="rId120"/>
    <sheet name="202601" sheetId="206" r:id="rId121"/>
    <sheet name="202602" sheetId="194" r:id="rId122"/>
    <sheet name="202603" sheetId="195" r:id="rId123"/>
    <sheet name="202604" sheetId="196" r:id="rId124"/>
    <sheet name="202605" sheetId="197" r:id="rId125"/>
    <sheet name="202606" sheetId="198" r:id="rId126"/>
    <sheet name="202607" sheetId="199" r:id="rId127"/>
    <sheet name="202608" sheetId="200" r:id="rId128"/>
    <sheet name="202609" sheetId="201" r:id="rId129"/>
    <sheet name="202610" sheetId="202" r:id="rId130"/>
    <sheet name="202611" sheetId="203" r:id="rId131"/>
    <sheet name="202612" sheetId="204" r:id="rId132"/>
    <sheet name="Sheet1" sheetId="28" state="hidden" r:id="rId133"/>
    <sheet name="Sheet2" sheetId="48" state="hidden" r:id="rId134"/>
  </sheets>
  <definedNames>
    <definedName name="_xlnm._FilterDatabase" localSheetId="120" hidden="1">'202601'!$N$8:$T$53</definedName>
    <definedName name="_xlnm._FilterDatabase" localSheetId="121" hidden="1">'202602'!$N$8:$T$42</definedName>
    <definedName name="_xlnm._FilterDatabase" localSheetId="122" hidden="1">'202603'!$N$8:$T$46</definedName>
    <definedName name="_xlnm._FilterDatabase" localSheetId="123" hidden="1">'202604'!$N$8:$T$42</definedName>
    <definedName name="_xlnm._FilterDatabase" localSheetId="124" hidden="1">'202605'!$N$8:$T$44</definedName>
    <definedName name="_xlnm._FilterDatabase" localSheetId="125" hidden="1">'202606'!$N$7:$T$28</definedName>
    <definedName name="_xlnm._FilterDatabase" localSheetId="126" hidden="1">'202607'!$N$8:$T$46</definedName>
    <definedName name="_xlnm._FilterDatabase" localSheetId="127" hidden="1">'202608'!$N$8:$T$43</definedName>
    <definedName name="_xlnm._FilterDatabase" localSheetId="128" hidden="1">'202609'!$N$8:$T$45</definedName>
    <definedName name="_xlnm._FilterDatabase" localSheetId="129" hidden="1">'202610'!$N$8:$T$43</definedName>
    <definedName name="_xlnm._FilterDatabase" localSheetId="130" hidden="1">'202611'!$N$8:$T$38</definedName>
    <definedName name="_xlnm.Print_Area" localSheetId="113">'202506'!$A$1:$S$1248</definedName>
  </definedNames>
  <calcPr calcId="152511"/>
</workbook>
</file>

<file path=xl/calcChain.xml><?xml version="1.0" encoding="utf-8"?>
<calcChain xmlns="http://schemas.openxmlformats.org/spreadsheetml/2006/main">
  <c r="O3" i="168" l="1"/>
  <c r="N3" i="168"/>
  <c r="O3" i="206" l="1"/>
  <c r="I153" i="168" l="1"/>
  <c r="N3" i="206" l="1"/>
  <c r="Q3" i="206" s="1"/>
  <c r="I29" i="204" l="1"/>
  <c r="P16" i="168" l="1"/>
  <c r="N3" i="207" l="1"/>
  <c r="J5" i="206" l="1"/>
  <c r="K5" i="206" s="1"/>
  <c r="E11" i="206" s="1"/>
  <c r="F11" i="206" s="1"/>
  <c r="G11" i="206" s="1"/>
  <c r="H11" i="206" s="1"/>
  <c r="I11" i="206" s="1"/>
  <c r="J11" i="206" s="1"/>
  <c r="K11" i="206" s="1"/>
  <c r="E17" i="206" s="1"/>
  <c r="F17" i="206" s="1"/>
  <c r="G17" i="206" s="1"/>
  <c r="H17" i="206" s="1"/>
  <c r="I17" i="206" s="1"/>
  <c r="J17" i="206" s="1"/>
  <c r="K17" i="206" s="1"/>
  <c r="E23" i="206" s="1"/>
  <c r="F23" i="206" s="1"/>
  <c r="G23" i="206" s="1"/>
  <c r="H23" i="206" s="1"/>
  <c r="I23" i="206" s="1"/>
  <c r="J23" i="206" s="1"/>
  <c r="K23" i="206" s="1"/>
  <c r="E29" i="206" s="1"/>
  <c r="F29" i="206" s="1"/>
  <c r="G29" i="206" s="1"/>
  <c r="H29" i="206" s="1"/>
  <c r="I29" i="206" s="1"/>
  <c r="J29" i="206" s="1"/>
  <c r="K29" i="206" s="1"/>
  <c r="P15" i="168" l="1"/>
  <c r="I29" i="207" l="1"/>
  <c r="P17" i="207"/>
  <c r="K5" i="207"/>
  <c r="E11" i="207" s="1"/>
  <c r="F11" i="207" s="1"/>
  <c r="G11" i="207" s="1"/>
  <c r="H11" i="207" s="1"/>
  <c r="I11" i="207" s="1"/>
  <c r="J11" i="207" s="1"/>
  <c r="K11" i="207" s="1"/>
  <c r="E17" i="207" s="1"/>
  <c r="F17" i="207" s="1"/>
  <c r="G17" i="207" s="1"/>
  <c r="H17" i="207" s="1"/>
  <c r="I17" i="207" s="1"/>
  <c r="J17" i="207" s="1"/>
  <c r="K17" i="207" s="1"/>
  <c r="E23" i="207" s="1"/>
  <c r="F23" i="207" s="1"/>
  <c r="G23" i="207" s="1"/>
  <c r="H23" i="207" s="1"/>
  <c r="I23" i="207" s="1"/>
  <c r="J23" i="207" s="1"/>
  <c r="K23" i="207" s="1"/>
  <c r="E29" i="207" s="1"/>
  <c r="F29" i="207" s="1"/>
  <c r="O3" i="207"/>
  <c r="Q3" i="207" s="1"/>
  <c r="T6" i="200" l="1"/>
  <c r="O3" i="199"/>
  <c r="N3" i="199"/>
  <c r="N3" i="198"/>
  <c r="Q3" i="199" l="1"/>
  <c r="O3" i="202" l="1"/>
  <c r="Q3" i="202" s="1"/>
  <c r="N3" i="202"/>
  <c r="O3" i="201"/>
  <c r="N3" i="201"/>
  <c r="O3" i="200"/>
  <c r="N3" i="200"/>
  <c r="O3" i="198"/>
  <c r="O3" i="197"/>
  <c r="N3" i="197"/>
  <c r="O3" i="196"/>
  <c r="N3" i="196"/>
  <c r="O3" i="195"/>
  <c r="N3" i="195"/>
  <c r="O3" i="194"/>
  <c r="N3" i="194"/>
  <c r="Q3" i="200" l="1"/>
  <c r="Q3" i="198"/>
  <c r="S3" i="198" s="1"/>
  <c r="S4" i="198" s="1"/>
  <c r="P25" i="168" l="1"/>
  <c r="P25" i="205" l="1"/>
  <c r="G17" i="205" l="1"/>
  <c r="H17" i="205" s="1"/>
  <c r="I17" i="205" s="1"/>
  <c r="J17" i="205" s="1"/>
  <c r="K17" i="205" s="1"/>
  <c r="E23" i="205" s="1"/>
  <c r="F23" i="205" s="1"/>
  <c r="G23" i="205" s="1"/>
  <c r="H23" i="205" s="1"/>
  <c r="I23" i="205" s="1"/>
  <c r="J23" i="205" s="1"/>
  <c r="K23" i="205" s="1"/>
  <c r="E29" i="205" s="1"/>
  <c r="F29" i="205" s="1"/>
  <c r="G29" i="205" s="1"/>
  <c r="H29" i="205" s="1"/>
  <c r="I29" i="205" s="1"/>
  <c r="J29" i="205" s="1"/>
  <c r="H5" i="205"/>
  <c r="I5" i="205" s="1"/>
  <c r="J5" i="205" s="1"/>
  <c r="K5" i="205" s="1"/>
  <c r="E11" i="205" s="1"/>
  <c r="F11" i="205" s="1"/>
  <c r="G11" i="205" s="1"/>
  <c r="H11" i="205" s="1"/>
  <c r="I11" i="205" s="1"/>
  <c r="J11" i="205" s="1"/>
  <c r="O3" i="205"/>
  <c r="N3" i="205"/>
  <c r="Q3" i="205" l="1"/>
  <c r="H29" i="204"/>
  <c r="G29" i="204"/>
  <c r="G5" i="204"/>
  <c r="H5" i="204" s="1"/>
  <c r="I5" i="204" s="1"/>
  <c r="J5" i="204" s="1"/>
  <c r="K5" i="204" s="1"/>
  <c r="E11" i="204" s="1"/>
  <c r="F11" i="204" s="1"/>
  <c r="G11" i="204" s="1"/>
  <c r="H11" i="204" s="1"/>
  <c r="I11" i="204" s="1"/>
  <c r="J11" i="204" s="1"/>
  <c r="K11" i="204" s="1"/>
  <c r="E17" i="204" s="1"/>
  <c r="F17" i="204" s="1"/>
  <c r="G17" i="204" s="1"/>
  <c r="H17" i="204" s="1"/>
  <c r="I17" i="204" s="1"/>
  <c r="J17" i="204" s="1"/>
  <c r="K17" i="204" s="1"/>
  <c r="E23" i="204" s="1"/>
  <c r="F23" i="204" s="1"/>
  <c r="G23" i="204" s="1"/>
  <c r="H23" i="204" s="1"/>
  <c r="I23" i="204" s="1"/>
  <c r="J23" i="204" s="1"/>
  <c r="K23" i="204" s="1"/>
  <c r="E29" i="204" s="1"/>
  <c r="F29" i="204" s="1"/>
  <c r="O3" i="204"/>
  <c r="N3" i="204"/>
  <c r="Q3" i="204" s="1"/>
  <c r="S3" i="204" s="1"/>
  <c r="S4" i="204" s="1"/>
  <c r="F5" i="203"/>
  <c r="G5" i="203" s="1"/>
  <c r="H5" i="203" s="1"/>
  <c r="I5" i="203" s="1"/>
  <c r="J5" i="203" s="1"/>
  <c r="K5" i="203" s="1"/>
  <c r="E11" i="203" s="1"/>
  <c r="F11" i="203" s="1"/>
  <c r="G11" i="203" s="1"/>
  <c r="H11" i="203" s="1"/>
  <c r="I11" i="203" s="1"/>
  <c r="J11" i="203" s="1"/>
  <c r="K11" i="203" s="1"/>
  <c r="E17" i="203" s="1"/>
  <c r="F17" i="203" s="1"/>
  <c r="G17" i="203" s="1"/>
  <c r="H17" i="203" s="1"/>
  <c r="I17" i="203" s="1"/>
  <c r="J17" i="203" s="1"/>
  <c r="K17" i="203" s="1"/>
  <c r="E23" i="203" s="1"/>
  <c r="F23" i="203" s="1"/>
  <c r="G23" i="203" s="1"/>
  <c r="H23" i="203" s="1"/>
  <c r="I23" i="203" s="1"/>
  <c r="J23" i="203" s="1"/>
  <c r="K23" i="203" s="1"/>
  <c r="E29" i="203" s="1"/>
  <c r="F29" i="203" s="1"/>
  <c r="O3" i="203"/>
  <c r="N3" i="203"/>
  <c r="Q3" i="203" s="1"/>
  <c r="S3" i="203" s="1"/>
  <c r="S4" i="203" s="1"/>
  <c r="I5" i="202"/>
  <c r="J5" i="202" s="1"/>
  <c r="K5" i="202" s="1"/>
  <c r="E11" i="202" s="1"/>
  <c r="F11" i="202" s="1"/>
  <c r="G11" i="202" s="1"/>
  <c r="H11" i="202" s="1"/>
  <c r="I11" i="202" s="1"/>
  <c r="J11" i="202" s="1"/>
  <c r="K11" i="202" s="1"/>
  <c r="E17" i="202" s="1"/>
  <c r="F17" i="202" s="1"/>
  <c r="G17" i="202" s="1"/>
  <c r="H17" i="202" s="1"/>
  <c r="I17" i="202" s="1"/>
  <c r="J17" i="202" s="1"/>
  <c r="K17" i="202" s="1"/>
  <c r="E23" i="202" s="1"/>
  <c r="F23" i="202" s="1"/>
  <c r="G23" i="202" s="1"/>
  <c r="H23" i="202" s="1"/>
  <c r="I23" i="202" s="1"/>
  <c r="J23" i="202" s="1"/>
  <c r="K23" i="202" s="1"/>
  <c r="E29" i="202" s="1"/>
  <c r="F29" i="202" s="1"/>
  <c r="G29" i="202" s="1"/>
  <c r="H29" i="202" s="1"/>
  <c r="I29" i="202" s="1"/>
  <c r="J29" i="202" s="1"/>
  <c r="K29" i="202" s="1"/>
  <c r="S3" i="202"/>
  <c r="S4" i="202" s="1"/>
  <c r="H5" i="201"/>
  <c r="I5" i="201" s="1"/>
  <c r="J5" i="201" s="1"/>
  <c r="K5" i="201" s="1"/>
  <c r="E11" i="201" s="1"/>
  <c r="F11" i="201" s="1"/>
  <c r="G11" i="201" s="1"/>
  <c r="H11" i="201" s="1"/>
  <c r="I11" i="201" s="1"/>
  <c r="J11" i="201" s="1"/>
  <c r="K11" i="201" s="1"/>
  <c r="E17" i="201" s="1"/>
  <c r="F17" i="201" s="1"/>
  <c r="G17" i="201" s="1"/>
  <c r="H17" i="201" s="1"/>
  <c r="I17" i="201" s="1"/>
  <c r="J17" i="201" s="1"/>
  <c r="K17" i="201" s="1"/>
  <c r="E23" i="201" s="1"/>
  <c r="F23" i="201" s="1"/>
  <c r="G23" i="201" s="1"/>
  <c r="H23" i="201" s="1"/>
  <c r="I23" i="201" s="1"/>
  <c r="J23" i="201" s="1"/>
  <c r="K23" i="201" s="1"/>
  <c r="E29" i="201" s="1"/>
  <c r="F29" i="201" s="1"/>
  <c r="G29" i="201" s="1"/>
  <c r="H29" i="201" s="1"/>
  <c r="Q3" i="201"/>
  <c r="S3" i="201" s="1"/>
  <c r="S4" i="201" s="1"/>
  <c r="K5" i="200"/>
  <c r="E11" i="200" s="1"/>
  <c r="F11" i="200" s="1"/>
  <c r="G11" i="200" s="1"/>
  <c r="H11" i="200" s="1"/>
  <c r="I11" i="200" s="1"/>
  <c r="J11" i="200" s="1"/>
  <c r="K11" i="200" s="1"/>
  <c r="E17" i="200" s="1"/>
  <c r="F17" i="200" s="1"/>
  <c r="G17" i="200" s="1"/>
  <c r="H17" i="200" s="1"/>
  <c r="I17" i="200" s="1"/>
  <c r="J17" i="200" s="1"/>
  <c r="K17" i="200" s="1"/>
  <c r="E23" i="200" s="1"/>
  <c r="F23" i="200" s="1"/>
  <c r="G23" i="200" s="1"/>
  <c r="H23" i="200" s="1"/>
  <c r="I23" i="200" s="1"/>
  <c r="J23" i="200" s="1"/>
  <c r="K23" i="200" s="1"/>
  <c r="E29" i="200" s="1"/>
  <c r="F29" i="200" s="1"/>
  <c r="G29" i="200" s="1"/>
  <c r="H29" i="200" s="1"/>
  <c r="I29" i="200" s="1"/>
  <c r="J29" i="200" s="1"/>
  <c r="K29" i="200" s="1"/>
  <c r="E35" i="200" s="1"/>
  <c r="F35" i="200" s="1"/>
  <c r="S3" i="200"/>
  <c r="S4" i="200" s="1"/>
  <c r="I5" i="199"/>
  <c r="J5" i="199" s="1"/>
  <c r="K5" i="199" s="1"/>
  <c r="E11" i="199" s="1"/>
  <c r="F11" i="199" s="1"/>
  <c r="G11" i="199" s="1"/>
  <c r="H11" i="199" s="1"/>
  <c r="I11" i="199" s="1"/>
  <c r="J11" i="199" s="1"/>
  <c r="K11" i="199" s="1"/>
  <c r="E17" i="199" s="1"/>
  <c r="F17" i="199" s="1"/>
  <c r="G17" i="199" s="1"/>
  <c r="H17" i="199" s="1"/>
  <c r="I17" i="199" s="1"/>
  <c r="J17" i="199" s="1"/>
  <c r="K17" i="199" s="1"/>
  <c r="E23" i="199" s="1"/>
  <c r="F23" i="199" s="1"/>
  <c r="G23" i="199" s="1"/>
  <c r="H23" i="199" s="1"/>
  <c r="I23" i="199" s="1"/>
  <c r="J23" i="199" s="1"/>
  <c r="K23" i="199" s="1"/>
  <c r="E29" i="199" s="1"/>
  <c r="F29" i="199" s="1"/>
  <c r="G29" i="199" s="1"/>
  <c r="H29" i="199" s="1"/>
  <c r="I29" i="199" s="1"/>
  <c r="J29" i="199" s="1"/>
  <c r="S3" i="199"/>
  <c r="S4" i="199" s="1"/>
  <c r="G5" i="198"/>
  <c r="H5" i="198" s="1"/>
  <c r="I5" i="198" s="1"/>
  <c r="J5" i="198" s="1"/>
  <c r="K5" i="198" s="1"/>
  <c r="E11" i="198" s="1"/>
  <c r="F11" i="198" s="1"/>
  <c r="G11" i="198" s="1"/>
  <c r="H11" i="198" s="1"/>
  <c r="I11" i="198" s="1"/>
  <c r="J11" i="198" s="1"/>
  <c r="K11" i="198" s="1"/>
  <c r="E17" i="198" s="1"/>
  <c r="F17" i="198" s="1"/>
  <c r="G17" i="198" s="1"/>
  <c r="H17" i="198" s="1"/>
  <c r="I17" i="198" s="1"/>
  <c r="J17" i="198" s="1"/>
  <c r="K17" i="198" s="1"/>
  <c r="E23" i="198" s="1"/>
  <c r="F23" i="198" s="1"/>
  <c r="G23" i="198" s="1"/>
  <c r="H23" i="198" s="1"/>
  <c r="I23" i="198" s="1"/>
  <c r="J23" i="198" s="1"/>
  <c r="K23" i="198" s="1"/>
  <c r="E29" i="198" s="1"/>
  <c r="F29" i="198" s="1"/>
  <c r="G29" i="198" s="1"/>
  <c r="J5" i="197"/>
  <c r="K5" i="197" s="1"/>
  <c r="E11" i="197" s="1"/>
  <c r="F11" i="197" s="1"/>
  <c r="G11" i="197" s="1"/>
  <c r="H11" i="197" s="1"/>
  <c r="I11" i="197" s="1"/>
  <c r="J11" i="197" s="1"/>
  <c r="K11" i="197" s="1"/>
  <c r="E17" i="197" s="1"/>
  <c r="F17" i="197" s="1"/>
  <c r="G17" i="197" s="1"/>
  <c r="H17" i="197" s="1"/>
  <c r="I17" i="197" s="1"/>
  <c r="J17" i="197" s="1"/>
  <c r="K17" i="197" s="1"/>
  <c r="E23" i="197" s="1"/>
  <c r="F23" i="197" s="1"/>
  <c r="G23" i="197" s="1"/>
  <c r="H23" i="197" s="1"/>
  <c r="I23" i="197" s="1"/>
  <c r="J23" i="197" s="1"/>
  <c r="K23" i="197" s="1"/>
  <c r="E29" i="197" s="1"/>
  <c r="F29" i="197" s="1"/>
  <c r="G29" i="197" s="1"/>
  <c r="H29" i="197" s="1"/>
  <c r="I29" i="197" s="1"/>
  <c r="J29" i="197" s="1"/>
  <c r="K29" i="197" s="1"/>
  <c r="H5" i="196"/>
  <c r="I5" i="196" s="1"/>
  <c r="J5" i="196" s="1"/>
  <c r="K5" i="196" s="1"/>
  <c r="E11" i="196" s="1"/>
  <c r="F11" i="196" s="1"/>
  <c r="G11" i="196" s="1"/>
  <c r="H11" i="196" s="1"/>
  <c r="I11" i="196" s="1"/>
  <c r="J11" i="196" s="1"/>
  <c r="K11" i="196" s="1"/>
  <c r="E17" i="196" s="1"/>
  <c r="F17" i="196" s="1"/>
  <c r="G17" i="196" s="1"/>
  <c r="H17" i="196" s="1"/>
  <c r="I17" i="196" s="1"/>
  <c r="J17" i="196" s="1"/>
  <c r="K17" i="196" s="1"/>
  <c r="E23" i="196" s="1"/>
  <c r="F23" i="196" s="1"/>
  <c r="G23" i="196" s="1"/>
  <c r="H23" i="196" s="1"/>
  <c r="I23" i="196" s="1"/>
  <c r="J23" i="196" s="1"/>
  <c r="K23" i="196" s="1"/>
  <c r="E29" i="196" s="1"/>
  <c r="F29" i="196" s="1"/>
  <c r="G29" i="196" s="1"/>
  <c r="H29" i="196" s="1"/>
  <c r="I29" i="196" s="1"/>
  <c r="Q3" i="196"/>
  <c r="S3" i="196" s="1"/>
  <c r="S4" i="196" s="1"/>
  <c r="F5" i="195"/>
  <c r="G5" i="195" s="1"/>
  <c r="H5" i="195" s="1"/>
  <c r="I5" i="195" s="1"/>
  <c r="J5" i="195" s="1"/>
  <c r="K5" i="195" s="1"/>
  <c r="E11" i="195" s="1"/>
  <c r="F11" i="195" s="1"/>
  <c r="G11" i="195" s="1"/>
  <c r="H11" i="195" s="1"/>
  <c r="I11" i="195" s="1"/>
  <c r="J11" i="195" s="1"/>
  <c r="K11" i="195" s="1"/>
  <c r="E17" i="195" s="1"/>
  <c r="F17" i="195" s="1"/>
  <c r="G17" i="195" s="1"/>
  <c r="H17" i="195" s="1"/>
  <c r="I17" i="195" s="1"/>
  <c r="J17" i="195" s="1"/>
  <c r="K17" i="195" s="1"/>
  <c r="E23" i="195" s="1"/>
  <c r="F23" i="195" s="1"/>
  <c r="G23" i="195" s="1"/>
  <c r="H23" i="195" s="1"/>
  <c r="I23" i="195" s="1"/>
  <c r="J23" i="195" s="1"/>
  <c r="K23" i="195" s="1"/>
  <c r="E29" i="195" s="1"/>
  <c r="F29" i="195" s="1"/>
  <c r="G29" i="195" s="1"/>
  <c r="Q3" i="195"/>
  <c r="F5" i="194"/>
  <c r="G5" i="194" s="1"/>
  <c r="H5" i="194" s="1"/>
  <c r="I5" i="194" s="1"/>
  <c r="J5" i="194" s="1"/>
  <c r="K5" i="194" s="1"/>
  <c r="E11" i="194" s="1"/>
  <c r="F11" i="194" s="1"/>
  <c r="G11" i="194" s="1"/>
  <c r="H11" i="194" s="1"/>
  <c r="I11" i="194" s="1"/>
  <c r="J11" i="194" s="1"/>
  <c r="K11" i="194" s="1"/>
  <c r="E17" i="194" s="1"/>
  <c r="F17" i="194" s="1"/>
  <c r="G17" i="194" s="1"/>
  <c r="H17" i="194" s="1"/>
  <c r="I17" i="194" s="1"/>
  <c r="J17" i="194" s="1"/>
  <c r="K17" i="194" s="1"/>
  <c r="E23" i="194" l="1"/>
  <c r="F23" i="194" s="1"/>
  <c r="G23" i="194" s="1"/>
  <c r="H23" i="194" s="1"/>
  <c r="I23" i="194" s="1"/>
  <c r="J23" i="194" s="1"/>
  <c r="K23" i="194" s="1"/>
  <c r="Q3" i="197"/>
  <c r="Q3" i="194"/>
  <c r="S3" i="197" l="1"/>
  <c r="S4" i="197" s="1"/>
  <c r="F146" i="192"/>
  <c r="O3" i="192" l="1"/>
  <c r="N3" i="192"/>
  <c r="Q3" i="191" l="1"/>
  <c r="O3" i="191" l="1"/>
  <c r="N3" i="191"/>
  <c r="H23" i="192" l="1"/>
  <c r="I23" i="192" s="1"/>
  <c r="J23" i="192" s="1"/>
  <c r="K23" i="192" s="1"/>
  <c r="E29" i="192" s="1"/>
  <c r="F29" i="192" s="1"/>
  <c r="P20" i="192"/>
  <c r="P19" i="192"/>
  <c r="Q3" i="192" s="1"/>
  <c r="F5" i="192"/>
  <c r="G5" i="192" s="1"/>
  <c r="H5" i="192" s="1"/>
  <c r="I5" i="192" s="1"/>
  <c r="J5" i="192" s="1"/>
  <c r="K5" i="192" s="1"/>
  <c r="E11" i="192" s="1"/>
  <c r="F11" i="192" s="1"/>
  <c r="G11" i="192" s="1"/>
  <c r="H11" i="192" s="1"/>
  <c r="I11" i="192" s="1"/>
  <c r="J11" i="192" s="1"/>
  <c r="K11" i="192" s="1"/>
  <c r="E17" i="192" s="1"/>
  <c r="F17" i="192" s="1"/>
  <c r="G17" i="192" s="1"/>
  <c r="H17" i="192" s="1"/>
  <c r="I17" i="192" s="1"/>
  <c r="J17" i="192" s="1"/>
  <c r="K17" i="192" s="1"/>
  <c r="E23" i="192" s="1"/>
  <c r="F23" i="192" s="1"/>
  <c r="K5" i="191" l="1"/>
  <c r="E11" i="191" s="1"/>
  <c r="F11" i="191" s="1"/>
  <c r="G11" i="191" s="1"/>
  <c r="H11" i="191" s="1"/>
  <c r="I11" i="191" s="1"/>
  <c r="J11" i="191" s="1"/>
  <c r="K11" i="191" s="1"/>
  <c r="E17" i="191" s="1"/>
  <c r="F17" i="191" s="1"/>
  <c r="G17" i="191" s="1"/>
  <c r="H17" i="191" s="1"/>
  <c r="I17" i="191" s="1"/>
  <c r="J17" i="191" s="1"/>
  <c r="K17" i="191" s="1"/>
  <c r="E23" i="191" s="1"/>
  <c r="F23" i="191" s="1"/>
  <c r="G23" i="191" s="1"/>
  <c r="H23" i="191" s="1"/>
  <c r="I23" i="191" s="1"/>
  <c r="J23" i="191" s="1"/>
  <c r="K23" i="191" s="1"/>
  <c r="E29" i="191" s="1"/>
  <c r="F29" i="191" s="1"/>
  <c r="G29" i="191" s="1"/>
  <c r="H29" i="191" s="1"/>
  <c r="I29" i="191" s="1"/>
  <c r="J29" i="191" s="1"/>
  <c r="K29" i="191" s="1"/>
  <c r="E35" i="191" s="1"/>
  <c r="P4" i="186" l="1"/>
  <c r="O3" i="158" l="1"/>
  <c r="N3" i="158"/>
  <c r="Q3" i="158" l="1"/>
  <c r="O3" i="188" l="1"/>
  <c r="F5" i="188" l="1"/>
  <c r="G5" i="188" s="1"/>
  <c r="H5" i="188" s="1"/>
  <c r="I5" i="188" s="1"/>
  <c r="J5" i="188" s="1"/>
  <c r="K5" i="188" s="1"/>
  <c r="E11" i="188" s="1"/>
  <c r="F11" i="188" s="1"/>
  <c r="G11" i="188" s="1"/>
  <c r="H11" i="188" s="1"/>
  <c r="I11" i="188" s="1"/>
  <c r="J11" i="188" s="1"/>
  <c r="K11" i="188" s="1"/>
  <c r="E17" i="188" s="1"/>
  <c r="F17" i="188" s="1"/>
  <c r="G17" i="188" s="1"/>
  <c r="H17" i="188" s="1"/>
  <c r="I17" i="188" s="1"/>
  <c r="J17" i="188" s="1"/>
  <c r="K17" i="188" s="1"/>
  <c r="E23" i="188" s="1"/>
  <c r="F23" i="188" s="1"/>
  <c r="G23" i="188" s="1"/>
  <c r="H23" i="188" s="1"/>
  <c r="I23" i="188" s="1"/>
  <c r="J23" i="188" s="1"/>
  <c r="K23" i="188" s="1"/>
  <c r="E29" i="188" s="1"/>
  <c r="F29" i="188" s="1"/>
  <c r="N3" i="188"/>
  <c r="Q3" i="188" l="1"/>
  <c r="I5" i="186" l="1"/>
  <c r="J5" i="186" s="1"/>
  <c r="K5" i="186" s="1"/>
  <c r="E11" i="186" s="1"/>
  <c r="F11" i="186" s="1"/>
  <c r="G11" i="186" s="1"/>
  <c r="H11" i="186" s="1"/>
  <c r="I11" i="186" s="1"/>
  <c r="J11" i="186" s="1"/>
  <c r="K11" i="186" s="1"/>
  <c r="E17" i="186" s="1"/>
  <c r="F17" i="186" s="1"/>
  <c r="G17" i="186" s="1"/>
  <c r="H17" i="186" s="1"/>
  <c r="I17" i="186" s="1"/>
  <c r="J17" i="186" s="1"/>
  <c r="K17" i="186" s="1"/>
  <c r="E23" i="186" s="1"/>
  <c r="F23" i="186" s="1"/>
  <c r="G23" i="186" s="1"/>
  <c r="H23" i="186" s="1"/>
  <c r="O3" i="186"/>
  <c r="N3" i="186"/>
  <c r="I23" i="186" l="1"/>
  <c r="J23" i="186" s="1"/>
  <c r="K23" i="186" s="1"/>
  <c r="E29" i="186" s="1"/>
  <c r="F29" i="186" s="1"/>
  <c r="G29" i="186" s="1"/>
  <c r="H29" i="186" s="1"/>
  <c r="I29" i="186" s="1"/>
  <c r="J29" i="186" s="1"/>
  <c r="K29" i="186" s="1"/>
  <c r="Q3" i="186"/>
  <c r="N3" i="185" l="1"/>
  <c r="O3" i="185" l="1"/>
  <c r="H5" i="185" l="1"/>
  <c r="I5" i="185" s="1"/>
  <c r="J5" i="185" s="1"/>
  <c r="K5" i="185" s="1"/>
  <c r="E11" i="185" s="1"/>
  <c r="F11" i="185" s="1"/>
  <c r="G11" i="185" s="1"/>
  <c r="H11" i="185" s="1"/>
  <c r="I11" i="185" s="1"/>
  <c r="J11" i="185" s="1"/>
  <c r="K11" i="185" s="1"/>
  <c r="E17" i="185" s="1"/>
  <c r="F17" i="185" s="1"/>
  <c r="G17" i="185" s="1"/>
  <c r="H17" i="185" s="1"/>
  <c r="I17" i="185" s="1"/>
  <c r="J17" i="185" s="1"/>
  <c r="K17" i="185" s="1"/>
  <c r="E23" i="185" s="1"/>
  <c r="F23" i="185" s="1"/>
  <c r="G23" i="185" s="1"/>
  <c r="H23" i="185" s="1"/>
  <c r="I23" i="185" s="1"/>
  <c r="J23" i="185" s="1"/>
  <c r="K23" i="185" s="1"/>
  <c r="E29" i="185" s="1"/>
  <c r="F29" i="185" s="1"/>
  <c r="G29" i="185" s="1"/>
  <c r="H29" i="185" s="1"/>
  <c r="Q3" i="185"/>
  <c r="E11" i="175" l="1"/>
  <c r="F11" i="175" s="1"/>
  <c r="G11" i="175" s="1"/>
  <c r="H11" i="175" s="1"/>
  <c r="I11" i="175" s="1"/>
  <c r="J11" i="175" s="1"/>
  <c r="K11" i="175" s="1"/>
  <c r="E17" i="175" s="1"/>
  <c r="F17" i="175" s="1"/>
  <c r="G17" i="175" s="1"/>
  <c r="H17" i="175" s="1"/>
  <c r="I17" i="175" s="1"/>
  <c r="J17" i="175" s="1"/>
  <c r="K17" i="175" s="1"/>
  <c r="E23" i="175" s="1"/>
  <c r="F23" i="175" s="1"/>
  <c r="G23" i="175" s="1"/>
  <c r="H23" i="175" s="1"/>
  <c r="I23" i="175" s="1"/>
  <c r="J23" i="175" s="1"/>
  <c r="K23" i="175" s="1"/>
  <c r="E29" i="175" s="1"/>
  <c r="F29" i="175" s="1"/>
  <c r="O3" i="175"/>
  <c r="N3" i="175"/>
  <c r="G29" i="175" l="1"/>
  <c r="H29" i="175" s="1"/>
  <c r="I29" i="175" s="1"/>
  <c r="J29" i="175" s="1"/>
  <c r="K29" i="175" s="1"/>
  <c r="E35" i="175" s="1"/>
  <c r="F35" i="175" s="1"/>
  <c r="Q3" i="175"/>
  <c r="P18" i="169" l="1"/>
  <c r="E11" i="169"/>
  <c r="F11" i="169" s="1"/>
  <c r="G11" i="169" s="1"/>
  <c r="H11" i="169" s="1"/>
  <c r="I11" i="169" s="1"/>
  <c r="J11" i="169" s="1"/>
  <c r="K11" i="169" s="1"/>
  <c r="E17" i="169" s="1"/>
  <c r="F17" i="169" s="1"/>
  <c r="G17" i="169" s="1"/>
  <c r="H17" i="169" s="1"/>
  <c r="I17" i="169" s="1"/>
  <c r="J17" i="169" s="1"/>
  <c r="K17" i="169" s="1"/>
  <c r="E23" i="169" s="1"/>
  <c r="F23" i="169" s="1"/>
  <c r="G23" i="169" s="1"/>
  <c r="H23" i="169" s="1"/>
  <c r="I23" i="169" s="1"/>
  <c r="J23" i="169" s="1"/>
  <c r="K23" i="169" s="1"/>
  <c r="E29" i="169" s="1"/>
  <c r="F29" i="169" s="1"/>
  <c r="G29" i="169" s="1"/>
  <c r="H29" i="169" s="1"/>
  <c r="I29" i="169" s="1"/>
  <c r="J29" i="169" s="1"/>
  <c r="O3" i="169"/>
  <c r="N3" i="169"/>
  <c r="Q3" i="169" l="1"/>
  <c r="Q3" i="168" l="1"/>
  <c r="F5" i="168"/>
  <c r="G5" i="168" s="1"/>
  <c r="H5" i="168" s="1"/>
  <c r="I5" i="168" s="1"/>
  <c r="J5" i="168" s="1"/>
  <c r="K5" i="168" s="1"/>
  <c r="E11" i="168" s="1"/>
  <c r="F11" i="168" s="1"/>
  <c r="G11" i="168" s="1"/>
  <c r="H11" i="168" s="1"/>
  <c r="I11" i="168" s="1"/>
  <c r="J11" i="168" s="1"/>
  <c r="K11" i="168" s="1"/>
  <c r="E17" i="168" s="1"/>
  <c r="F17" i="168" s="1"/>
  <c r="G17" i="168" s="1"/>
  <c r="H17" i="168" s="1"/>
  <c r="I17" i="168" s="1"/>
  <c r="J17" i="168" s="1"/>
  <c r="K17" i="168" s="1"/>
  <c r="E23" i="168" s="1"/>
  <c r="F23" i="168" s="1"/>
  <c r="G23" i="168" s="1"/>
  <c r="H23" i="168" s="1"/>
  <c r="I23" i="168" s="1"/>
  <c r="J23" i="168" s="1"/>
  <c r="K23" i="168" s="1"/>
  <c r="E29" i="168" s="1"/>
  <c r="F29" i="168" s="1"/>
  <c r="H5" i="152" l="1"/>
  <c r="I5" i="152" s="1"/>
  <c r="J5" i="152" s="1"/>
  <c r="K5" i="152" s="1"/>
  <c r="N3" i="151" l="1"/>
  <c r="O3" i="151"/>
  <c r="N3" i="150" l="1"/>
  <c r="O3" i="152"/>
  <c r="O3" i="150" l="1"/>
  <c r="N3" i="152" l="1"/>
  <c r="Q3" i="152" l="1"/>
  <c r="Q3" i="151" l="1"/>
  <c r="R3" i="150" l="1"/>
  <c r="O3" i="148" l="1"/>
  <c r="N3" i="148"/>
  <c r="O3" i="149" l="1"/>
  <c r="N3" i="149"/>
  <c r="Q3" i="148" l="1"/>
  <c r="P3" i="147"/>
  <c r="H5" i="158" l="1"/>
  <c r="I5" i="158" s="1"/>
  <c r="J5" i="158" s="1"/>
  <c r="K5" i="158" s="1"/>
  <c r="E11" i="158" s="1"/>
  <c r="F11" i="158" s="1"/>
  <c r="G11" i="158" s="1"/>
  <c r="H11" i="158" s="1"/>
  <c r="I11" i="158" s="1"/>
  <c r="J11" i="158" s="1"/>
  <c r="K11" i="158" l="1"/>
  <c r="E17" i="158" s="1"/>
  <c r="F17" i="158" s="1"/>
  <c r="G17" i="158" s="1"/>
  <c r="H17" i="158" s="1"/>
  <c r="I17" i="158" s="1"/>
  <c r="J17" i="158" s="1"/>
  <c r="K17" i="158" s="1"/>
  <c r="E23" i="158" s="1"/>
  <c r="F23" i="158" s="1"/>
  <c r="G23" i="158" s="1"/>
  <c r="H23" i="158" s="1"/>
  <c r="I23" i="158" s="1"/>
  <c r="J23" i="158" s="1"/>
  <c r="K23" i="158" s="1"/>
  <c r="E29" i="158" s="1"/>
  <c r="F29" i="158" s="1"/>
  <c r="G29" i="158" s="1"/>
  <c r="H29" i="158" s="1"/>
  <c r="I29" i="158" s="1"/>
  <c r="P3" i="146"/>
  <c r="N3" i="147" l="1"/>
  <c r="R3" i="149" l="1"/>
  <c r="O3" i="145" l="1"/>
  <c r="E44" i="145" l="1"/>
  <c r="O3" i="143" l="1"/>
  <c r="O27" i="143" l="1"/>
  <c r="O28" i="143"/>
  <c r="O26" i="143"/>
  <c r="N26" i="143"/>
  <c r="Q4" i="147" l="1"/>
  <c r="Q3" i="147"/>
  <c r="N3" i="145" l="1"/>
  <c r="O3" i="146" l="1"/>
  <c r="Q3" i="146" s="1"/>
  <c r="Q4" i="146"/>
  <c r="P4" i="143" l="1"/>
  <c r="N3" i="143"/>
  <c r="P3" i="143" s="1"/>
  <c r="P4" i="145" l="1"/>
  <c r="P3" i="145"/>
  <c r="E11" i="152" l="1"/>
  <c r="F11" i="152" s="1"/>
  <c r="G11" i="152" s="1"/>
  <c r="H11" i="152" s="1"/>
  <c r="I11" i="152" s="1"/>
  <c r="J11" i="152" s="1"/>
  <c r="K11" i="152" s="1"/>
  <c r="F5" i="151"/>
  <c r="G5" i="151" s="1"/>
  <c r="H5" i="151" s="1"/>
  <c r="I5" i="151" s="1"/>
  <c r="J5" i="151" s="1"/>
  <c r="K5" i="151" s="1"/>
  <c r="E15" i="151" s="1"/>
  <c r="F15" i="151" s="1"/>
  <c r="G15" i="151" s="1"/>
  <c r="H15" i="151" s="1"/>
  <c r="I15" i="151" s="1"/>
  <c r="J15" i="151" s="1"/>
  <c r="K15" i="151" s="1"/>
  <c r="E25" i="151" s="1"/>
  <c r="F25" i="151" s="1"/>
  <c r="G25" i="151" s="1"/>
  <c r="H25" i="151" s="1"/>
  <c r="I25" i="151" s="1"/>
  <c r="J25" i="151" s="1"/>
  <c r="K25" i="151" s="1"/>
  <c r="E35" i="151" s="1"/>
  <c r="F35" i="151" s="1"/>
  <c r="G35" i="151" s="1"/>
  <c r="H35" i="151" s="1"/>
  <c r="I35" i="151" s="1"/>
  <c r="J35" i="151" s="1"/>
  <c r="K35" i="151" s="1"/>
  <c r="E45" i="151" s="1"/>
  <c r="F45" i="151" s="1"/>
  <c r="G45" i="151" s="1"/>
  <c r="J5" i="150"/>
  <c r="K5" i="150" s="1"/>
  <c r="E15" i="150" s="1"/>
  <c r="F15" i="150" s="1"/>
  <c r="G15" i="150" s="1"/>
  <c r="H15" i="150" s="1"/>
  <c r="I15" i="150" s="1"/>
  <c r="J15" i="150" s="1"/>
  <c r="K15" i="150" s="1"/>
  <c r="E25" i="150" s="1"/>
  <c r="F25" i="150" s="1"/>
  <c r="G25" i="150" s="1"/>
  <c r="H25" i="150" s="1"/>
  <c r="I25" i="150" s="1"/>
  <c r="J25" i="150" s="1"/>
  <c r="K25" i="150" s="1"/>
  <c r="E35" i="150" s="1"/>
  <c r="F35" i="150" s="1"/>
  <c r="G35" i="150" s="1"/>
  <c r="H35" i="150" s="1"/>
  <c r="I35" i="150" s="1"/>
  <c r="J35" i="150" s="1"/>
  <c r="K35" i="150" s="1"/>
  <c r="E45" i="150" s="1"/>
  <c r="F45" i="150" s="1"/>
  <c r="G45" i="150" s="1"/>
  <c r="H45" i="150" s="1"/>
  <c r="I45" i="150" s="1"/>
  <c r="J45" i="150" s="1"/>
  <c r="K45" i="150" s="1"/>
  <c r="G5" i="149"/>
  <c r="H5" i="149" s="1"/>
  <c r="I5" i="149" s="1"/>
  <c r="J5" i="149" s="1"/>
  <c r="K5" i="149" s="1"/>
  <c r="E15" i="149" s="1"/>
  <c r="F15" i="149" s="1"/>
  <c r="G15" i="149" s="1"/>
  <c r="H15" i="149" s="1"/>
  <c r="I15" i="149" s="1"/>
  <c r="J15" i="149" s="1"/>
  <c r="K15" i="149" s="1"/>
  <c r="E25" i="149" s="1"/>
  <c r="F25" i="149" s="1"/>
  <c r="G25" i="149" s="1"/>
  <c r="H25" i="149" s="1"/>
  <c r="I25" i="149" s="1"/>
  <c r="J25" i="149" s="1"/>
  <c r="K25" i="149" s="1"/>
  <c r="E35" i="149" s="1"/>
  <c r="F35" i="149" s="1"/>
  <c r="G35" i="149" s="1"/>
  <c r="H35" i="149" s="1"/>
  <c r="I35" i="149" s="1"/>
  <c r="J35" i="149" s="1"/>
  <c r="K35" i="149" s="1"/>
  <c r="E45" i="149" s="1"/>
  <c r="F45" i="149" s="1"/>
  <c r="G45" i="149" s="1"/>
  <c r="H45" i="149" s="1"/>
  <c r="I45" i="149" s="1"/>
  <c r="E5" i="148"/>
  <c r="F5" i="148" s="1"/>
  <c r="G5" i="148" s="1"/>
  <c r="H5" i="148" s="1"/>
  <c r="I5" i="148" s="1"/>
  <c r="J5" i="148" s="1"/>
  <c r="K5" i="148" s="1"/>
  <c r="E14" i="148" s="1"/>
  <c r="F14" i="148" s="1"/>
  <c r="G14" i="148" s="1"/>
  <c r="H14" i="148" s="1"/>
  <c r="J14" i="148" s="1"/>
  <c r="K14" i="148" s="1"/>
  <c r="E23" i="148" s="1"/>
  <c r="F23" i="148" s="1"/>
  <c r="G23" i="148" s="1"/>
  <c r="H23" i="148" s="1"/>
  <c r="I23" i="148" s="1"/>
  <c r="J23" i="148" s="1"/>
  <c r="K23" i="148" s="1"/>
  <c r="E32" i="148" s="1"/>
  <c r="F32" i="148" s="1"/>
  <c r="G32" i="148" s="1"/>
  <c r="H32" i="148" s="1"/>
  <c r="I32" i="148" s="1"/>
  <c r="J32" i="148" s="1"/>
  <c r="K32" i="148" s="1"/>
  <c r="E42" i="148" s="1"/>
  <c r="F42" i="148" s="1"/>
  <c r="I5" i="147"/>
  <c r="J5" i="147" s="1"/>
  <c r="K5" i="147" s="1"/>
  <c r="E14" i="147" s="1"/>
  <c r="F14" i="147" s="1"/>
  <c r="G14" i="147" s="1"/>
  <c r="H14" i="147" s="1"/>
  <c r="I14" i="147" s="1"/>
  <c r="J14" i="147" s="1"/>
  <c r="K14" i="147" s="1"/>
  <c r="E23" i="147" s="1"/>
  <c r="F23" i="147" s="1"/>
  <c r="G23" i="147" s="1"/>
  <c r="H23" i="147" s="1"/>
  <c r="I23" i="147" s="1"/>
  <c r="J23" i="147" s="1"/>
  <c r="K23" i="147" s="1"/>
  <c r="E32" i="147" s="1"/>
  <c r="F32" i="147" s="1"/>
  <c r="G32" i="147" s="1"/>
  <c r="H32" i="147" s="1"/>
  <c r="I32" i="147" s="1"/>
  <c r="J32" i="147" s="1"/>
  <c r="K32" i="147" s="1"/>
  <c r="E41" i="147" s="1"/>
  <c r="F41" i="147" s="1"/>
  <c r="G41" i="147" s="1"/>
  <c r="H41" i="147" s="1"/>
  <c r="I41" i="147" s="1"/>
  <c r="J41" i="147" s="1"/>
  <c r="K41" i="147" s="1"/>
  <c r="G5" i="146"/>
  <c r="H5" i="146" s="1"/>
  <c r="I5" i="146" s="1"/>
  <c r="J5" i="146" s="1"/>
  <c r="K5" i="146" s="1"/>
  <c r="E15" i="146" s="1"/>
  <c r="F15" i="146" s="1"/>
  <c r="G15" i="146" s="1"/>
  <c r="H15" i="146" s="1"/>
  <c r="I15" i="146" s="1"/>
  <c r="J15" i="146" s="1"/>
  <c r="K15" i="146" s="1"/>
  <c r="E25" i="146" s="1"/>
  <c r="F25" i="146" s="1"/>
  <c r="G25" i="146" s="1"/>
  <c r="H25" i="146" s="1"/>
  <c r="I25" i="146" s="1"/>
  <c r="J25" i="146" s="1"/>
  <c r="K25" i="146" s="1"/>
  <c r="E35" i="146" s="1"/>
  <c r="F35" i="146" s="1"/>
  <c r="G35" i="146" s="1"/>
  <c r="H35" i="146" s="1"/>
  <c r="I35" i="146" s="1"/>
  <c r="J35" i="146" s="1"/>
  <c r="K35" i="146" s="1"/>
  <c r="E45" i="146" s="1"/>
  <c r="F45" i="146" s="1"/>
  <c r="G45" i="146" s="1"/>
  <c r="H45" i="146" s="1"/>
  <c r="E14" i="145"/>
  <c r="F14" i="145" s="1"/>
  <c r="G14" i="145" s="1"/>
  <c r="H14" i="145" s="1"/>
  <c r="I14" i="145" s="1"/>
  <c r="J14" i="145" s="1"/>
  <c r="K14" i="145" s="1"/>
  <c r="E24" i="145" s="1"/>
  <c r="F24" i="145" s="1"/>
  <c r="G24" i="145" s="1"/>
  <c r="H24" i="145" s="1"/>
  <c r="I24" i="145" s="1"/>
  <c r="J24" i="145" s="1"/>
  <c r="K24" i="145" s="1"/>
  <c r="E34" i="145" s="1"/>
  <c r="F34" i="145" s="1"/>
  <c r="G34" i="145" s="1"/>
  <c r="H34" i="145" s="1"/>
  <c r="I34" i="145" s="1"/>
  <c r="J34" i="145" s="1"/>
  <c r="K34" i="145" s="1"/>
  <c r="F44" i="145" s="1"/>
  <c r="G44" i="145" s="1"/>
  <c r="H44" i="145" s="1"/>
  <c r="I44" i="145" s="1"/>
  <c r="J44" i="145" s="1"/>
  <c r="K44" i="145" s="1"/>
  <c r="E54" i="145" s="1"/>
  <c r="E17" i="152" l="1"/>
  <c r="F17" i="152" s="1"/>
  <c r="G17" i="152" s="1"/>
  <c r="H17" i="152" s="1"/>
  <c r="I17" i="152" s="1"/>
  <c r="J17" i="152" s="1"/>
  <c r="K17" i="152" s="1"/>
  <c r="E23" i="152" s="1"/>
  <c r="F23" i="152" s="1"/>
  <c r="G23" i="152" s="1"/>
  <c r="H23" i="152" s="1"/>
  <c r="I23" i="152" s="1"/>
  <c r="J23" i="152" s="1"/>
  <c r="K23" i="152" s="1"/>
  <c r="E29" i="152" s="1"/>
  <c r="F29" i="152" s="1"/>
  <c r="G29" i="152" s="1"/>
  <c r="H29" i="152" s="1"/>
  <c r="I29" i="152" s="1"/>
  <c r="J29" i="152" s="1"/>
  <c r="E16" i="144"/>
  <c r="F16" i="144" s="1"/>
  <c r="G16" i="144" s="1"/>
  <c r="H16" i="144" s="1"/>
  <c r="I16" i="144" s="1"/>
  <c r="J16" i="144" s="1"/>
  <c r="K16" i="144" s="1"/>
  <c r="E27" i="144" s="1"/>
  <c r="F27" i="144" s="1"/>
  <c r="G27" i="144" s="1"/>
  <c r="H27" i="144" s="1"/>
  <c r="I27" i="144" s="1"/>
  <c r="J27" i="144" s="1"/>
  <c r="K27" i="144" s="1"/>
  <c r="E38" i="144" s="1"/>
  <c r="F38" i="144" s="1"/>
  <c r="G38" i="144" s="1"/>
  <c r="H38" i="144" s="1"/>
  <c r="I38" i="144" s="1"/>
  <c r="J38" i="144" s="1"/>
  <c r="K38" i="144" s="1"/>
  <c r="E49" i="144" s="1"/>
  <c r="F49" i="144" s="1"/>
  <c r="G49" i="144" s="1"/>
  <c r="H49" i="144" s="1"/>
  <c r="I49" i="144" s="1"/>
  <c r="E15" i="143" l="1"/>
  <c r="F15" i="143" s="1"/>
  <c r="G15" i="143" s="1"/>
  <c r="H15" i="143" s="1"/>
  <c r="I15" i="143" s="1"/>
  <c r="J15" i="143" s="1"/>
  <c r="K15" i="143" s="1"/>
  <c r="E25" i="143" s="1"/>
  <c r="F25" i="143" s="1"/>
  <c r="G25" i="143" s="1"/>
  <c r="H25" i="143" s="1"/>
  <c r="I25" i="143" s="1"/>
  <c r="J25" i="143" s="1"/>
  <c r="K25" i="143" s="1"/>
  <c r="E35" i="143" s="1"/>
  <c r="F35" i="143" s="1"/>
  <c r="G35" i="143" s="1"/>
  <c r="H35" i="143" s="1"/>
  <c r="I35" i="143" s="1"/>
  <c r="J35" i="143" s="1"/>
  <c r="K35" i="143" s="1"/>
  <c r="E45" i="143" s="1"/>
  <c r="F45" i="143" s="1"/>
  <c r="G45" i="143" s="1"/>
  <c r="H45" i="143" s="1"/>
  <c r="E15" i="142"/>
  <c r="F15" i="142" s="1"/>
  <c r="G15" i="142" s="1"/>
  <c r="H15" i="142" s="1"/>
  <c r="I15" i="142" s="1"/>
  <c r="J15" i="142" s="1"/>
  <c r="K15" i="142" s="1"/>
  <c r="E25" i="142" s="1"/>
  <c r="F25" i="142" s="1"/>
  <c r="G25" i="142" s="1"/>
  <c r="H25" i="142" s="1"/>
  <c r="I25" i="142" s="1"/>
  <c r="J25" i="142" s="1"/>
  <c r="K25" i="142" s="1"/>
  <c r="E35" i="142" s="1"/>
  <c r="F35" i="142" s="1"/>
  <c r="G35" i="142" s="1"/>
  <c r="H35" i="142" s="1"/>
  <c r="I35" i="142" s="1"/>
  <c r="J35" i="142" s="1"/>
  <c r="K35" i="142" s="1"/>
  <c r="E45" i="142" s="1"/>
  <c r="F45" i="142" s="1"/>
  <c r="G45" i="142" s="1"/>
  <c r="E14" i="141"/>
  <c r="F14" i="141" s="1"/>
  <c r="G14" i="141" s="1"/>
  <c r="H14" i="141" s="1"/>
  <c r="I14" i="141" s="1"/>
  <c r="J14" i="141" s="1"/>
  <c r="K14" i="141" s="1"/>
  <c r="E24" i="141" s="1"/>
  <c r="F24" i="141" s="1"/>
  <c r="G24" i="141" s="1"/>
  <c r="H24" i="141" s="1"/>
  <c r="I24" i="141" s="1"/>
  <c r="J24" i="141" s="1"/>
  <c r="K24" i="141" s="1"/>
  <c r="E34" i="141" s="1"/>
  <c r="F34" i="141" s="1"/>
  <c r="G34" i="141" s="1"/>
  <c r="H34" i="141" s="1"/>
  <c r="I34" i="141" s="1"/>
  <c r="J34" i="141" s="1"/>
  <c r="K34" i="141" s="1"/>
  <c r="E44" i="141" s="1"/>
  <c r="F44" i="141" s="1"/>
  <c r="G44" i="141" s="1"/>
  <c r="H44" i="141" s="1"/>
  <c r="I44" i="141" s="1"/>
  <c r="J44" i="141" s="1"/>
  <c r="K44" i="141" s="1"/>
  <c r="E15" i="140"/>
  <c r="F15" i="140" s="1"/>
  <c r="G15" i="140" s="1"/>
  <c r="H15" i="140" s="1"/>
  <c r="I15" i="140" s="1"/>
  <c r="J15" i="140" s="1"/>
  <c r="K15" i="140" s="1"/>
  <c r="E25" i="140" s="1"/>
  <c r="F25" i="140" s="1"/>
  <c r="G25" i="140" s="1"/>
  <c r="H25" i="140" s="1"/>
  <c r="I25" i="140" s="1"/>
  <c r="J25" i="140" s="1"/>
  <c r="K25" i="140" s="1"/>
  <c r="E35" i="140" s="1"/>
  <c r="F35" i="140" s="1"/>
  <c r="G35" i="140" s="1"/>
  <c r="H35" i="140" s="1"/>
  <c r="I35" i="140" s="1"/>
  <c r="J35" i="140" s="1"/>
  <c r="K35" i="140" s="1"/>
  <c r="E45" i="140" s="1"/>
  <c r="F45" i="140" s="1"/>
  <c r="G45" i="140" s="1"/>
  <c r="H45" i="140" s="1"/>
  <c r="I45" i="140" s="1"/>
  <c r="E16" i="139"/>
  <c r="F16" i="139" s="1"/>
  <c r="G16" i="139" s="1"/>
  <c r="H16" i="139" s="1"/>
  <c r="I16" i="139" s="1"/>
  <c r="J16" i="139" s="1"/>
  <c r="K16" i="139" s="1"/>
  <c r="E27" i="139" s="1"/>
  <c r="F27" i="139" s="1"/>
  <c r="G27" i="139" s="1"/>
  <c r="H27" i="139" s="1"/>
  <c r="I27" i="139" s="1"/>
  <c r="J27" i="139" s="1"/>
  <c r="K27" i="139" s="1"/>
  <c r="E38" i="139" s="1"/>
  <c r="F38" i="139" s="1"/>
  <c r="G38" i="139" s="1"/>
  <c r="H38" i="139" s="1"/>
  <c r="I38" i="139" s="1"/>
  <c r="J38" i="139" s="1"/>
  <c r="K38" i="139" s="1"/>
  <c r="E49" i="139" s="1"/>
  <c r="F49" i="139" s="1"/>
  <c r="G49" i="139" s="1"/>
  <c r="H49" i="139" s="1"/>
  <c r="E15" i="138"/>
  <c r="F15" i="138" s="1"/>
  <c r="G15" i="138" s="1"/>
  <c r="H15" i="138" s="1"/>
  <c r="I15" i="138" s="1"/>
  <c r="J15" i="138" s="1"/>
  <c r="K15" i="138" s="1"/>
  <c r="E26" i="138" s="1"/>
  <c r="F26" i="138" s="1"/>
  <c r="G26" i="138" s="1"/>
  <c r="H26" i="138" s="1"/>
  <c r="I26" i="138" s="1"/>
  <c r="J26" i="138" s="1"/>
  <c r="K26" i="138" s="1"/>
  <c r="E37" i="138" s="1"/>
  <c r="F37" i="138" s="1"/>
  <c r="G37" i="138" s="1"/>
  <c r="H37" i="138" s="1"/>
  <c r="I37" i="138" s="1"/>
  <c r="J37" i="138" s="1"/>
  <c r="K37" i="138" s="1"/>
  <c r="E48" i="138" s="1"/>
  <c r="F48" i="138" s="1"/>
  <c r="G48" i="138" s="1"/>
  <c r="H48" i="138" s="1"/>
  <c r="I48" i="138" s="1"/>
  <c r="J48" i="138" s="1"/>
  <c r="K48" i="138" s="1"/>
  <c r="E59" i="138" s="1"/>
  <c r="E16" i="136"/>
  <c r="F16" i="136" s="1"/>
  <c r="G16" i="136" s="1"/>
  <c r="H16" i="136" s="1"/>
  <c r="I16" i="136" s="1"/>
  <c r="J16" i="136" s="1"/>
  <c r="K16" i="136" s="1"/>
  <c r="E27" i="136" s="1"/>
  <c r="F27" i="136" s="1"/>
  <c r="G27" i="136" s="1"/>
  <c r="H27" i="136" s="1"/>
  <c r="I27" i="136" s="1"/>
  <c r="J27" i="136" s="1"/>
  <c r="K27" i="136" s="1"/>
  <c r="E38" i="136" s="1"/>
  <c r="F38" i="136" s="1"/>
  <c r="G38" i="136" s="1"/>
  <c r="H38" i="136" s="1"/>
  <c r="I38" i="136" s="1"/>
  <c r="J38" i="136" s="1"/>
  <c r="K38" i="136" s="1"/>
  <c r="E49" i="136" s="1"/>
  <c r="F49" i="136" s="1"/>
  <c r="G49" i="136" s="1"/>
  <c r="E14" i="135"/>
  <c r="F14" i="135" s="1"/>
  <c r="G14" i="135" s="1"/>
  <c r="H14" i="135" s="1"/>
  <c r="I14" i="135" s="1"/>
  <c r="J14" i="135" s="1"/>
  <c r="K14" i="135" s="1"/>
  <c r="E24" i="135" s="1"/>
  <c r="F24" i="135" s="1"/>
  <c r="G24" i="135" s="1"/>
  <c r="H24" i="135" s="1"/>
  <c r="I24" i="135" s="1"/>
  <c r="J24" i="135" s="1"/>
  <c r="K24" i="135" s="1"/>
  <c r="E34" i="135" s="1"/>
  <c r="F34" i="135" s="1"/>
  <c r="G34" i="135" s="1"/>
  <c r="H34" i="135" s="1"/>
  <c r="I34" i="135" s="1"/>
  <c r="J34" i="135" s="1"/>
  <c r="K34" i="135" s="1"/>
  <c r="E45" i="135" s="1"/>
  <c r="F45" i="135" s="1"/>
  <c r="G45" i="135" s="1"/>
  <c r="H45" i="135" s="1"/>
  <c r="I45" i="135" s="1"/>
  <c r="J45" i="135" s="1"/>
  <c r="K45" i="135" s="1"/>
  <c r="E14" i="134"/>
  <c r="F14" i="134" s="1"/>
  <c r="G14" i="134" s="1"/>
  <c r="H14" i="134" s="1"/>
  <c r="I14" i="134" s="1"/>
  <c r="J14" i="134" s="1"/>
  <c r="K14" i="134" s="1"/>
  <c r="E24" i="134" s="1"/>
  <c r="F24" i="134" s="1"/>
  <c r="G24" i="134" s="1"/>
  <c r="H24" i="134" s="1"/>
  <c r="I24" i="134" s="1"/>
  <c r="J24" i="134" s="1"/>
  <c r="K24" i="134" s="1"/>
  <c r="E34" i="134" s="1"/>
  <c r="F34" i="134" s="1"/>
  <c r="G34" i="134" s="1"/>
  <c r="H34" i="134" s="1"/>
  <c r="I34" i="134" s="1"/>
  <c r="J34" i="134" s="1"/>
  <c r="K34" i="134" s="1"/>
  <c r="E44" i="134" s="1"/>
  <c r="F44" i="134" s="1"/>
  <c r="G44" i="134" s="1"/>
  <c r="H44" i="134" s="1"/>
  <c r="I44" i="134" s="1"/>
  <c r="E14" i="133"/>
  <c r="F14" i="133" s="1"/>
  <c r="G14" i="133" s="1"/>
  <c r="H14" i="133" s="1"/>
  <c r="I14" i="133" s="1"/>
  <c r="J14" i="133" s="1"/>
  <c r="K14" i="133" s="1"/>
  <c r="E25" i="133" s="1"/>
  <c r="F25" i="133" s="1"/>
  <c r="G25" i="133" s="1"/>
  <c r="H25" i="133" s="1"/>
  <c r="I25" i="133" s="1"/>
  <c r="J25" i="133" s="1"/>
  <c r="K25" i="133" s="1"/>
  <c r="E35" i="133" s="1"/>
  <c r="F35" i="133" s="1"/>
  <c r="G35" i="133" s="1"/>
  <c r="H35" i="133" s="1"/>
  <c r="I35" i="133" s="1"/>
  <c r="J35" i="133" s="1"/>
  <c r="K35" i="133" s="1"/>
  <c r="E45" i="133" s="1"/>
  <c r="F45" i="133" s="1"/>
  <c r="G45" i="133" s="1"/>
  <c r="H45" i="133" s="1"/>
  <c r="I45" i="133" s="1"/>
  <c r="J45" i="133" s="1"/>
  <c r="K45" i="133" s="1"/>
  <c r="E56" i="133" s="1"/>
  <c r="F56" i="133" s="1"/>
  <c r="J5" i="132"/>
  <c r="K5" i="132" s="1"/>
  <c r="E14" i="132" s="1"/>
  <c r="F14" i="132" s="1"/>
  <c r="G14" i="132" s="1"/>
  <c r="H14" i="132" s="1"/>
  <c r="I14" i="132" s="1"/>
  <c r="J14" i="132" s="1"/>
  <c r="K14" i="132" s="1"/>
  <c r="E24" i="132" s="1"/>
  <c r="F24" i="132" s="1"/>
  <c r="G24" i="132" s="1"/>
  <c r="H24" i="132" s="1"/>
  <c r="I24" i="132" s="1"/>
  <c r="J24" i="132" s="1"/>
  <c r="K24" i="132" s="1"/>
  <c r="E34" i="132" s="1"/>
  <c r="F34" i="132" s="1"/>
  <c r="G34" i="132" s="1"/>
  <c r="H34" i="132" s="1"/>
  <c r="I34" i="132" s="1"/>
  <c r="J34" i="132" s="1"/>
  <c r="K34" i="132" s="1"/>
  <c r="E44" i="132" s="1"/>
  <c r="F44" i="132" s="1"/>
  <c r="G44" i="132" s="1"/>
  <c r="H44" i="132" s="1"/>
  <c r="I44" i="132" s="1"/>
  <c r="J44" i="132" s="1"/>
  <c r="E15" i="131"/>
  <c r="F15" i="131" s="1"/>
  <c r="G15" i="131" s="1"/>
  <c r="H15" i="131" s="1"/>
  <c r="I15" i="131" s="1"/>
  <c r="J15" i="131" s="1"/>
  <c r="K15" i="131" s="1"/>
  <c r="E25" i="131" s="1"/>
  <c r="F25" i="131" s="1"/>
  <c r="G25" i="131" s="1"/>
  <c r="H25" i="131" s="1"/>
  <c r="I25" i="131" s="1"/>
  <c r="J25" i="131" s="1"/>
  <c r="K25" i="131" s="1"/>
  <c r="E35" i="131" s="1"/>
  <c r="F35" i="131" s="1"/>
  <c r="G35" i="131" s="1"/>
  <c r="H35" i="131" s="1"/>
  <c r="I35" i="131" s="1"/>
  <c r="J35" i="131" s="1"/>
  <c r="K35" i="131" s="1"/>
  <c r="E45" i="131" s="1"/>
  <c r="F45" i="131" s="1"/>
  <c r="G45" i="131" s="1"/>
  <c r="H45" i="131" s="1"/>
  <c r="E14" i="130"/>
  <c r="F14" i="130" s="1"/>
  <c r="G14" i="130" s="1"/>
  <c r="H14" i="130" s="1"/>
  <c r="I14" i="130" s="1"/>
  <c r="J14" i="130" s="1"/>
  <c r="K14" i="130" s="1"/>
  <c r="E23" i="130" s="1"/>
  <c r="F23" i="130" s="1"/>
  <c r="G23" i="130" s="1"/>
  <c r="H23" i="130" s="1"/>
  <c r="I23" i="130" s="1"/>
  <c r="J23" i="130" s="1"/>
  <c r="K23" i="130" s="1"/>
  <c r="E33" i="130" s="1"/>
  <c r="F33" i="130" s="1"/>
  <c r="G33" i="130" s="1"/>
  <c r="H33" i="130" s="1"/>
  <c r="I33" i="130" s="1"/>
  <c r="J33" i="130" s="1"/>
  <c r="K33" i="130" s="1"/>
  <c r="E43" i="130" s="1"/>
  <c r="F43" i="130" s="1"/>
  <c r="G43" i="130" s="1"/>
  <c r="H43" i="130" s="1"/>
  <c r="I43" i="130" s="1"/>
  <c r="J43" i="130" s="1"/>
  <c r="K43" i="130" s="1"/>
  <c r="J5" i="127" l="1"/>
  <c r="K5" i="127" s="1"/>
  <c r="E14" i="127" s="1"/>
  <c r="F14" i="127" s="1"/>
  <c r="G14" i="127" s="1"/>
  <c r="H14" i="127" s="1"/>
  <c r="I14" i="127" s="1"/>
  <c r="J14" i="127" s="1"/>
  <c r="K14" i="127" s="1"/>
  <c r="E23" i="127" s="1"/>
  <c r="F23" i="127" s="1"/>
  <c r="G23" i="127" s="1"/>
  <c r="H23" i="127" s="1"/>
  <c r="I23" i="127" s="1"/>
  <c r="J23" i="127" s="1"/>
  <c r="K23" i="127" s="1"/>
  <c r="E32" i="127" s="1"/>
  <c r="F32" i="127" s="1"/>
  <c r="G32" i="127" s="1"/>
  <c r="H32" i="127" s="1"/>
  <c r="I32" i="127" s="1"/>
  <c r="J32" i="127" s="1"/>
  <c r="K32" i="127" s="1"/>
  <c r="E41" i="127" s="1"/>
  <c r="F41" i="127" s="1"/>
  <c r="J5" i="126"/>
  <c r="K5" i="126" s="1"/>
  <c r="E14" i="126" s="1"/>
  <c r="F14" i="126" s="1"/>
  <c r="G14" i="126" s="1"/>
  <c r="H14" i="126" s="1"/>
  <c r="I14" i="126" s="1"/>
  <c r="J14" i="126" s="1"/>
  <c r="K14" i="126" s="1"/>
  <c r="E23" i="126" s="1"/>
  <c r="F23" i="126" s="1"/>
  <c r="G23" i="126" s="1"/>
  <c r="H23" i="126" s="1"/>
  <c r="I23" i="126" s="1"/>
  <c r="J23" i="126" s="1"/>
  <c r="K23" i="126" s="1"/>
  <c r="E33" i="126" s="1"/>
  <c r="F33" i="126" s="1"/>
  <c r="G33" i="126" s="1"/>
  <c r="H33" i="126" s="1"/>
  <c r="I33" i="126" s="1"/>
  <c r="J33" i="126" s="1"/>
  <c r="K33" i="126" s="1"/>
  <c r="E42" i="126" s="1"/>
  <c r="F42" i="126" s="1"/>
  <c r="G42" i="126" s="1"/>
  <c r="J5" i="125"/>
  <c r="K5" i="125" s="1"/>
  <c r="E14" i="125" s="1"/>
  <c r="F14" i="125" s="1"/>
  <c r="G14" i="125" s="1"/>
  <c r="H14" i="125" s="1"/>
  <c r="I14" i="125" s="1"/>
  <c r="J14" i="125" s="1"/>
  <c r="K14" i="125" s="1"/>
  <c r="E23" i="125" s="1"/>
  <c r="F23" i="125" s="1"/>
  <c r="J5" i="124"/>
  <c r="K5" i="124" s="1"/>
  <c r="E14" i="124" s="1"/>
  <c r="F14" i="124" s="1"/>
  <c r="G14" i="124" s="1"/>
  <c r="H14" i="124" s="1"/>
  <c r="I14" i="124" s="1"/>
  <c r="J14" i="124" s="1"/>
  <c r="K14" i="124" s="1"/>
  <c r="E23" i="124" s="1"/>
  <c r="F23" i="124" s="1"/>
  <c r="G23" i="124" s="1"/>
  <c r="H23" i="124" s="1"/>
  <c r="I23" i="124" s="1"/>
  <c r="J23" i="124" s="1"/>
  <c r="K23" i="124" s="1"/>
  <c r="E32" i="124" s="1"/>
  <c r="F32" i="124" s="1"/>
  <c r="G32" i="124" s="1"/>
  <c r="H32" i="124" s="1"/>
  <c r="I32" i="124" s="1"/>
  <c r="J32" i="124" s="1"/>
  <c r="K32" i="124" s="1"/>
  <c r="E41" i="124" s="1"/>
  <c r="F41" i="124" s="1"/>
  <c r="G41" i="124" s="1"/>
  <c r="H41" i="124" s="1"/>
  <c r="I41" i="124" s="1"/>
  <c r="J41" i="124" s="1"/>
  <c r="K41" i="124" s="1"/>
  <c r="H5" i="123"/>
  <c r="I5" i="123" s="1"/>
  <c r="J5" i="123" s="1"/>
  <c r="K5" i="123" s="1"/>
  <c r="E14" i="123" s="1"/>
  <c r="F14" i="123" s="1"/>
  <c r="G14" i="123" s="1"/>
  <c r="H14" i="123" s="1"/>
  <c r="I14" i="123" s="1"/>
  <c r="J14" i="123" s="1"/>
  <c r="K14" i="123" s="1"/>
  <c r="E23" i="123" s="1"/>
  <c r="F23" i="123" s="1"/>
  <c r="G23" i="123" s="1"/>
  <c r="H23" i="123" s="1"/>
  <c r="I23" i="123" s="1"/>
  <c r="J23" i="123" s="1"/>
  <c r="K23" i="123" s="1"/>
  <c r="E32" i="123" s="1"/>
  <c r="F32" i="123" s="1"/>
  <c r="G32" i="123" s="1"/>
  <c r="H32" i="123" s="1"/>
  <c r="I32" i="123" s="1"/>
  <c r="J32" i="123" s="1"/>
  <c r="K32" i="123" s="1"/>
  <c r="E42" i="123" s="1"/>
  <c r="F42" i="123" s="1"/>
  <c r="G42" i="123" s="1"/>
  <c r="H42" i="123" s="1"/>
  <c r="E14" i="122"/>
  <c r="F14" i="122" s="1"/>
  <c r="G14" i="122" s="1"/>
  <c r="H14" i="122" s="1"/>
  <c r="I14" i="122" s="1"/>
  <c r="J14" i="122" s="1"/>
  <c r="K14" i="122" s="1"/>
  <c r="E23" i="122" s="1"/>
  <c r="F23" i="122" s="1"/>
  <c r="J5" i="121"/>
  <c r="K5" i="121" s="1"/>
  <c r="E15" i="121" s="1"/>
  <c r="F15" i="121" s="1"/>
  <c r="G15" i="121" s="1"/>
  <c r="H15" i="121" s="1"/>
  <c r="I15" i="121" s="1"/>
  <c r="J15" i="121" s="1"/>
  <c r="K15" i="121" s="1"/>
  <c r="E25" i="121" s="1"/>
  <c r="F25" i="121" s="1"/>
  <c r="G25" i="121" s="1"/>
  <c r="H25" i="121" s="1"/>
  <c r="I25" i="121" s="1"/>
  <c r="J25" i="121" s="1"/>
  <c r="K25" i="121" s="1"/>
  <c r="E35" i="121" s="1"/>
  <c r="F35" i="121" s="1"/>
  <c r="G35" i="121" s="1"/>
  <c r="H35" i="121" s="1"/>
  <c r="I35" i="121" s="1"/>
  <c r="J35" i="121" s="1"/>
  <c r="K35" i="121" s="1"/>
  <c r="E45" i="121" s="1"/>
  <c r="F45" i="121" s="1"/>
  <c r="G45" i="121" s="1"/>
  <c r="H45" i="121" s="1"/>
  <c r="I45" i="121" s="1"/>
  <c r="J45" i="121" s="1"/>
  <c r="H5" i="120"/>
  <c r="I5" i="120" s="1"/>
  <c r="J5" i="120" s="1"/>
  <c r="K5" i="120" s="1"/>
  <c r="E14" i="120" s="1"/>
  <c r="F14" i="120" s="1"/>
  <c r="G14" i="120" s="1"/>
  <c r="H14" i="120" s="1"/>
  <c r="I14" i="120" s="1"/>
  <c r="J14" i="120" s="1"/>
  <c r="K14" i="120" s="1"/>
  <c r="E23" i="120" s="1"/>
  <c r="F23" i="120" s="1"/>
  <c r="G23" i="120" s="1"/>
  <c r="H23" i="120" s="1"/>
  <c r="I23" i="120" s="1"/>
  <c r="J23" i="120" s="1"/>
  <c r="K23" i="120" s="1"/>
  <c r="E32" i="120" s="1"/>
  <c r="F32" i="120" s="1"/>
  <c r="G32" i="120" s="1"/>
  <c r="H32" i="120" s="1"/>
  <c r="I32" i="120" s="1"/>
  <c r="J32" i="120" s="1"/>
  <c r="K32" i="120" s="1"/>
  <c r="E41" i="120" s="1"/>
  <c r="F41" i="120" s="1"/>
  <c r="G41" i="120" s="1"/>
  <c r="H41" i="120" s="1"/>
  <c r="K5" i="119"/>
  <c r="E14" i="119" s="1"/>
  <c r="F14" i="119" s="1"/>
  <c r="G14" i="119" s="1"/>
  <c r="H14" i="119" s="1"/>
  <c r="I14" i="119" s="1"/>
  <c r="J14" i="119" s="1"/>
  <c r="K14" i="119" s="1"/>
  <c r="E23" i="119" s="1"/>
  <c r="F23" i="119" s="1"/>
  <c r="G23" i="119" s="1"/>
  <c r="H23" i="119" s="1"/>
  <c r="I23" i="119" s="1"/>
  <c r="J23" i="119" s="1"/>
  <c r="K23" i="119" s="1"/>
  <c r="E32" i="119" s="1"/>
  <c r="F32" i="119" s="1"/>
  <c r="G32" i="119" s="1"/>
  <c r="H32" i="119" s="1"/>
  <c r="I32" i="119" s="1"/>
  <c r="J32" i="119" s="1"/>
  <c r="K32" i="119" s="1"/>
  <c r="E41" i="119" s="1"/>
  <c r="F41" i="119" s="1"/>
  <c r="G41" i="119" s="1"/>
  <c r="H41" i="119" s="1"/>
  <c r="I41" i="119" s="1"/>
  <c r="J41" i="119" s="1"/>
  <c r="K41" i="119" s="1"/>
  <c r="I5" i="118"/>
  <c r="J5" i="118" s="1"/>
  <c r="K5" i="118" s="1"/>
  <c r="E15" i="118" s="1"/>
  <c r="F15" i="118" s="1"/>
  <c r="G15" i="118" s="1"/>
  <c r="H15" i="118" s="1"/>
  <c r="I15" i="118" s="1"/>
  <c r="J15" i="118" s="1"/>
  <c r="K15" i="118" s="1"/>
  <c r="E25" i="118" s="1"/>
  <c r="F25" i="118" s="1"/>
  <c r="G25" i="118" s="1"/>
  <c r="H25" i="118" s="1"/>
  <c r="I25" i="118" s="1"/>
  <c r="J25" i="118" s="1"/>
  <c r="K25" i="118" s="1"/>
  <c r="E35" i="118" s="1"/>
  <c r="F35" i="118" s="1"/>
  <c r="G35" i="118" s="1"/>
  <c r="H35" i="118" s="1"/>
  <c r="I35" i="118" s="1"/>
  <c r="J35" i="118" s="1"/>
  <c r="K35" i="118" s="1"/>
  <c r="E44" i="118" s="1"/>
  <c r="F44" i="118" s="1"/>
  <c r="G44" i="118" s="1"/>
  <c r="H44" i="118" s="1"/>
  <c r="I44" i="118" s="1"/>
  <c r="H5" i="117"/>
  <c r="I5" i="117" s="1"/>
  <c r="J5" i="117" s="1"/>
  <c r="K5" i="117" s="1"/>
  <c r="E14" i="117" s="1"/>
  <c r="F14" i="117" s="1"/>
  <c r="G14" i="117" s="1"/>
  <c r="H14" i="117" s="1"/>
  <c r="I14" i="117" s="1"/>
  <c r="J14" i="117" s="1"/>
  <c r="K14" i="117" s="1"/>
  <c r="E23" i="117" s="1"/>
  <c r="F23" i="117" s="1"/>
  <c r="G23" i="117" s="1"/>
  <c r="H23" i="117" s="1"/>
  <c r="I23" i="117" s="1"/>
  <c r="J23" i="117" s="1"/>
  <c r="K23" i="117" s="1"/>
  <c r="E32" i="117" s="1"/>
  <c r="F32" i="117" s="1"/>
  <c r="G32" i="117" s="1"/>
  <c r="H32" i="117" s="1"/>
  <c r="I32" i="117" s="1"/>
  <c r="J32" i="117" s="1"/>
  <c r="K32" i="117" s="1"/>
  <c r="E41" i="117" s="1"/>
  <c r="F41" i="117" s="1"/>
  <c r="G41" i="117" s="1"/>
  <c r="K5" i="116"/>
  <c r="E14" i="116" s="1"/>
  <c r="F14" i="116" s="1"/>
  <c r="G14" i="116" s="1"/>
  <c r="H14" i="116" s="1"/>
  <c r="H5" i="115"/>
  <c r="I5" i="115" s="1"/>
  <c r="J5" i="115" s="1"/>
  <c r="K5" i="115" s="1"/>
  <c r="E14" i="115" s="1"/>
  <c r="F14" i="115" s="1"/>
  <c r="G14" i="115" s="1"/>
  <c r="H14" i="115" s="1"/>
  <c r="I14" i="115" s="1"/>
  <c r="J14" i="115" s="1"/>
  <c r="K14" i="115" s="1"/>
  <c r="E23" i="115" s="1"/>
  <c r="F23" i="115" s="1"/>
  <c r="G23" i="115" s="1"/>
  <c r="H23" i="115" s="1"/>
  <c r="I23" i="115" s="1"/>
  <c r="J23" i="115" s="1"/>
  <c r="K23" i="115" s="1"/>
  <c r="E32" i="115" s="1"/>
  <c r="F32" i="115" s="1"/>
  <c r="G32" i="115" s="1"/>
  <c r="H32" i="115" s="1"/>
  <c r="I32" i="115" s="1"/>
  <c r="J32" i="115" s="1"/>
  <c r="K32" i="115" s="1"/>
  <c r="E41" i="115" s="1"/>
  <c r="F41" i="115" s="1"/>
  <c r="G41" i="115" l="1"/>
  <c r="H41" i="115" s="1"/>
  <c r="I41" i="115" s="1"/>
  <c r="G41" i="127"/>
  <c r="H41" i="127" s="1"/>
  <c r="I41" i="127" s="1"/>
  <c r="J41" i="127" s="1"/>
  <c r="G23" i="125"/>
  <c r="H23" i="125" s="1"/>
  <c r="I23" i="125" s="1"/>
  <c r="J23" i="125" s="1"/>
  <c r="K23" i="125" s="1"/>
  <c r="E32" i="125" s="1"/>
  <c r="F32" i="125" s="1"/>
  <c r="G32" i="125" s="1"/>
  <c r="H32" i="125" s="1"/>
  <c r="I32" i="125" s="1"/>
  <c r="J32" i="125" s="1"/>
  <c r="K32" i="125" s="1"/>
  <c r="E41" i="125" s="1"/>
  <c r="F41" i="125" s="1"/>
  <c r="G41" i="125" s="1"/>
  <c r="G23" i="122"/>
  <c r="H23" i="122" s="1"/>
  <c r="I23" i="122" s="1"/>
  <c r="J23" i="122" s="1"/>
  <c r="K23" i="122" s="1"/>
  <c r="E32" i="122" s="1"/>
  <c r="F32" i="122" s="1"/>
  <c r="G32" i="122" s="1"/>
  <c r="H32" i="122" s="1"/>
  <c r="I32" i="122" s="1"/>
  <c r="J32" i="122" s="1"/>
  <c r="K32" i="122" s="1"/>
  <c r="E41" i="122" s="1"/>
  <c r="F41" i="122" s="1"/>
  <c r="G41" i="122" s="1"/>
  <c r="H41" i="122" s="1"/>
  <c r="I41" i="122" s="1"/>
  <c r="J41" i="122" s="1"/>
  <c r="K41" i="122" s="1"/>
  <c r="E50" i="122" s="1"/>
  <c r="F50" i="122" s="1"/>
  <c r="I14" i="116"/>
  <c r="J14" i="116" s="1"/>
  <c r="K14" i="116" s="1"/>
  <c r="E23" i="116" s="1"/>
  <c r="F23" i="116" s="1"/>
  <c r="G23" i="116" s="1"/>
  <c r="H23" i="116" s="1"/>
  <c r="I23" i="116" s="1"/>
  <c r="J23" i="116" s="1"/>
  <c r="K23" i="116" s="1"/>
  <c r="E32" i="116" s="1"/>
  <c r="F32" i="116" s="1"/>
  <c r="G32" i="116" s="1"/>
  <c r="H32" i="116" s="1"/>
  <c r="I32" i="116" s="1"/>
  <c r="J32" i="116" s="1"/>
  <c r="K32" i="116" s="1"/>
  <c r="E41" i="116" s="1"/>
  <c r="F41" i="116" s="1"/>
  <c r="G41" i="116" s="1"/>
  <c r="H41" i="116" s="1"/>
  <c r="I41" i="116" s="1"/>
  <c r="J41" i="116" s="1"/>
  <c r="K41" i="116" s="1"/>
  <c r="G5" i="105"/>
  <c r="H5" i="105" s="1"/>
  <c r="I5" i="105" s="1"/>
  <c r="J5" i="105" s="1"/>
  <c r="K5" i="105" s="1"/>
  <c r="E14" i="105" s="1"/>
  <c r="F14" i="105" s="1"/>
  <c r="G14" i="105" s="1"/>
  <c r="H14" i="105" s="1"/>
  <c r="I14" i="105" s="1"/>
  <c r="J14" i="105" s="1"/>
  <c r="K14" i="105" s="1"/>
  <c r="E23" i="105" s="1"/>
  <c r="F23" i="105" s="1"/>
  <c r="G23" i="105" s="1"/>
  <c r="H23" i="105" s="1"/>
  <c r="I23" i="105" s="1"/>
  <c r="J23" i="105" s="1"/>
  <c r="K23" i="105" s="1"/>
  <c r="E32" i="105" s="1"/>
  <c r="F32" i="105" s="1"/>
  <c r="G32" i="105" s="1"/>
  <c r="H32" i="105" s="1"/>
  <c r="I32" i="105" s="1"/>
  <c r="J32" i="105" s="1"/>
  <c r="K32" i="105" s="1"/>
  <c r="E41" i="105" s="1"/>
  <c r="F41" i="105" s="1"/>
  <c r="G41" i="105" s="1"/>
  <c r="J5" i="104"/>
  <c r="K5" i="104" s="1"/>
  <c r="E14" i="104" s="1"/>
  <c r="F14" i="104" s="1"/>
  <c r="G14" i="104" s="1"/>
  <c r="H14" i="104" s="1"/>
  <c r="I14" i="104" s="1"/>
  <c r="J14" i="104" s="1"/>
  <c r="K14" i="104" s="1"/>
  <c r="E23" i="104" s="1"/>
  <c r="F23" i="104" s="1"/>
  <c r="G23" i="104" s="1"/>
  <c r="H23" i="104" s="1"/>
  <c r="I23" i="104" s="1"/>
  <c r="J23" i="104" s="1"/>
  <c r="K23" i="104" s="1"/>
  <c r="E32" i="104" s="1"/>
  <c r="F32" i="104" s="1"/>
  <c r="G32" i="104" s="1"/>
  <c r="H32" i="104" s="1"/>
  <c r="I32" i="104" s="1"/>
  <c r="J32" i="104" s="1"/>
  <c r="K32" i="104" s="1"/>
  <c r="E41" i="104" s="1"/>
  <c r="F41" i="104" s="1"/>
  <c r="G41" i="104" s="1"/>
  <c r="H41" i="104" s="1"/>
  <c r="I41" i="104" s="1"/>
  <c r="J41" i="104" s="1"/>
  <c r="K41" i="104" s="1"/>
  <c r="H5" i="102" l="1"/>
  <c r="I5" i="102" s="1"/>
  <c r="J5" i="102" s="1"/>
  <c r="K5" i="102" s="1"/>
  <c r="E14" i="102" s="1"/>
  <c r="F14" i="102" s="1"/>
  <c r="G14" i="102" s="1"/>
  <c r="H14" i="102" s="1"/>
  <c r="I14" i="102" s="1"/>
  <c r="J14" i="102" s="1"/>
  <c r="K14" i="102" s="1"/>
  <c r="E23" i="102" s="1"/>
  <c r="F23" i="102" s="1"/>
  <c r="G23" i="102" s="1"/>
  <c r="H23" i="102" s="1"/>
  <c r="I23" i="102" s="1"/>
  <c r="J23" i="102" s="1"/>
  <c r="K23" i="102" s="1"/>
  <c r="E32" i="102" s="1"/>
  <c r="F32" i="102" s="1"/>
  <c r="G32" i="102" s="1"/>
  <c r="H32" i="102" s="1"/>
  <c r="I32" i="102" s="1"/>
  <c r="J32" i="102" s="1"/>
  <c r="K32" i="102" s="1"/>
  <c r="E41" i="102" s="1"/>
  <c r="F41" i="102" s="1"/>
  <c r="E14" i="101"/>
  <c r="F14" i="101" s="1"/>
  <c r="G14" i="101" s="1"/>
  <c r="H14" i="101" s="1"/>
  <c r="I14" i="101" s="1"/>
  <c r="J14" i="101" s="1"/>
  <c r="K14" i="101" s="1"/>
  <c r="E23" i="101" s="1"/>
  <c r="F23" i="101" s="1"/>
  <c r="G23" i="101" s="1"/>
  <c r="H23" i="101" s="1"/>
  <c r="I23" i="101" s="1"/>
  <c r="J23" i="101" s="1"/>
  <c r="K23" i="101" s="1"/>
  <c r="E32" i="101" s="1"/>
  <c r="F32" i="101" s="1"/>
  <c r="G32" i="101" s="1"/>
  <c r="H32" i="101" s="1"/>
  <c r="I32" i="101" s="1"/>
  <c r="J32" i="101" s="1"/>
  <c r="K32" i="101" s="1"/>
  <c r="E41" i="101" s="1"/>
  <c r="F41" i="101" s="1"/>
  <c r="G41" i="101" s="1"/>
  <c r="H41" i="101" s="1"/>
  <c r="I41" i="101" s="1"/>
  <c r="J41" i="101" s="1"/>
  <c r="K41" i="101" s="1"/>
  <c r="E50" i="101" s="1"/>
  <c r="F50" i="101" s="1"/>
  <c r="K5" i="100" l="1"/>
  <c r="E14" i="100" s="1"/>
  <c r="F14" i="100" s="1"/>
  <c r="G14" i="100" s="1"/>
  <c r="H14" i="100" s="1"/>
  <c r="I14" i="100" s="1"/>
  <c r="J14" i="100" s="1"/>
  <c r="K14" i="100" s="1"/>
  <c r="E23" i="100" s="1"/>
  <c r="F23" i="100" s="1"/>
  <c r="G23" i="100" s="1"/>
  <c r="H23" i="100" s="1"/>
  <c r="I23" i="100" s="1"/>
  <c r="J23" i="100" s="1"/>
  <c r="K23" i="100" s="1"/>
  <c r="E32" i="100" s="1"/>
  <c r="F32" i="100" s="1"/>
  <c r="G32" i="100" s="1"/>
  <c r="H32" i="100" s="1"/>
  <c r="I32" i="100" s="1"/>
  <c r="J32" i="100" s="1"/>
  <c r="K32" i="100" s="1"/>
  <c r="E41" i="100" s="1"/>
  <c r="F41" i="100" s="1"/>
  <c r="G41" i="100" s="1"/>
  <c r="H41" i="100" s="1"/>
  <c r="I41" i="100" s="1"/>
  <c r="J41" i="100" s="1"/>
  <c r="K5" i="99"/>
  <c r="E14" i="99" s="1"/>
  <c r="F14" i="99" s="1"/>
  <c r="G14" i="99" s="1"/>
  <c r="H14" i="99" s="1"/>
  <c r="I14" i="99" s="1"/>
  <c r="J14" i="99" s="1"/>
  <c r="K14" i="99" s="1"/>
  <c r="E23" i="99" s="1"/>
  <c r="F23" i="99" s="1"/>
  <c r="G23" i="99" s="1"/>
  <c r="H23" i="99" s="1"/>
  <c r="I23" i="99" s="1"/>
  <c r="J23" i="99" s="1"/>
  <c r="K23" i="99" s="1"/>
  <c r="E32" i="99" s="1"/>
  <c r="F32" i="99" s="1"/>
  <c r="G32" i="99" s="1"/>
  <c r="H32" i="99" s="1"/>
  <c r="I32" i="99" s="1"/>
  <c r="J32" i="99" s="1"/>
  <c r="K32" i="99" s="1"/>
  <c r="E41" i="99" s="1"/>
  <c r="F41" i="99" s="1"/>
  <c r="G41" i="99" s="1"/>
  <c r="K5" i="98"/>
  <c r="E14" i="98" s="1"/>
  <c r="F14" i="98" s="1"/>
  <c r="G14" i="98" s="1"/>
  <c r="H14" i="98" s="1"/>
  <c r="I14" i="98" s="1"/>
  <c r="J14" i="98" s="1"/>
  <c r="K14" i="98" s="1"/>
  <c r="E23" i="98" s="1"/>
  <c r="F23" i="98" s="1"/>
  <c r="G23" i="98" s="1"/>
  <c r="H23" i="98" s="1"/>
  <c r="I23" i="98" s="1"/>
  <c r="J23" i="98" s="1"/>
  <c r="K23" i="98" s="1"/>
  <c r="E32" i="98" s="1"/>
  <c r="F32" i="98" s="1"/>
  <c r="G32" i="98" s="1"/>
  <c r="H32" i="98" s="1"/>
  <c r="I32" i="98" s="1"/>
  <c r="J32" i="98" s="1"/>
  <c r="K32" i="98" s="1"/>
  <c r="E41" i="98" s="1"/>
  <c r="F41" i="98" s="1"/>
  <c r="G41" i="98" s="1"/>
  <c r="H41" i="98" s="1"/>
  <c r="I41" i="98" s="1"/>
  <c r="J41" i="98" s="1"/>
  <c r="K41" i="98" s="1"/>
  <c r="E50" i="98" s="1"/>
  <c r="I5" i="97"/>
  <c r="J5" i="97" s="1"/>
  <c r="K5" i="97" s="1"/>
  <c r="E14" i="97" s="1"/>
  <c r="F14" i="97" s="1"/>
  <c r="G14" i="97" s="1"/>
  <c r="H14" i="97" s="1"/>
  <c r="I14" i="97" s="1"/>
  <c r="J14" i="97" s="1"/>
  <c r="K14" i="97" s="1"/>
  <c r="E23" i="97" s="1"/>
  <c r="F23" i="97" s="1"/>
  <c r="G23" i="97" s="1"/>
  <c r="H23" i="97" s="1"/>
  <c r="I23" i="97" s="1"/>
  <c r="J23" i="97" s="1"/>
  <c r="K23" i="97" s="1"/>
  <c r="E32" i="97" s="1"/>
  <c r="F32" i="97" s="1"/>
  <c r="G32" i="97" s="1"/>
  <c r="H32" i="97" s="1"/>
  <c r="I32" i="97" s="1"/>
  <c r="J32" i="97" s="1"/>
  <c r="K32" i="97" s="1"/>
  <c r="E41" i="97" s="1"/>
  <c r="F41" i="97" s="1"/>
  <c r="G41" i="97" s="1"/>
  <c r="H41" i="97" s="1"/>
  <c r="I41" i="97" s="1"/>
  <c r="G5" i="96"/>
  <c r="H5" i="96" s="1"/>
  <c r="I5" i="96" s="1"/>
  <c r="J5" i="96" s="1"/>
  <c r="K5" i="96" s="1"/>
  <c r="E14" i="96" s="1"/>
  <c r="F14" i="96" s="1"/>
  <c r="G14" i="96" s="1"/>
  <c r="H14" i="96" s="1"/>
  <c r="I14" i="96" s="1"/>
  <c r="J14" i="96" s="1"/>
  <c r="K14" i="96" s="1"/>
  <c r="E23" i="96" s="1"/>
  <c r="F23" i="96" s="1"/>
  <c r="G23" i="96" s="1"/>
  <c r="H23" i="96" s="1"/>
  <c r="I23" i="96" s="1"/>
  <c r="J23" i="96" s="1"/>
  <c r="K23" i="96" s="1"/>
  <c r="E32" i="96" s="1"/>
  <c r="F32" i="96" s="1"/>
  <c r="G32" i="96" s="1"/>
  <c r="H32" i="96" s="1"/>
  <c r="I32" i="96" s="1"/>
  <c r="J32" i="96" s="1"/>
  <c r="K32" i="96" s="1"/>
  <c r="E41" i="96" s="1"/>
  <c r="F41" i="96" s="1"/>
  <c r="G41" i="96" s="1"/>
  <c r="J5" i="95"/>
  <c r="K5" i="95" s="1"/>
  <c r="E14" i="95" s="1"/>
  <c r="F14" i="95" s="1"/>
  <c r="G14" i="95" s="1"/>
  <c r="H14" i="95" s="1"/>
  <c r="I14" i="95" s="1"/>
  <c r="J14" i="95" s="1"/>
  <c r="K14" i="95" s="1"/>
  <c r="E23" i="95" s="1"/>
  <c r="F23" i="95" s="1"/>
  <c r="G23" i="95" s="1"/>
  <c r="H23" i="95" s="1"/>
  <c r="I23" i="95" s="1"/>
  <c r="J23" i="95" s="1"/>
  <c r="K23" i="95" s="1"/>
  <c r="E32" i="95" s="1"/>
  <c r="F32" i="95" s="1"/>
  <c r="G32" i="95" s="1"/>
  <c r="H32" i="95" s="1"/>
  <c r="I32" i="95" s="1"/>
  <c r="J32" i="95" s="1"/>
  <c r="K32" i="95" s="1"/>
  <c r="E41" i="95" s="1"/>
  <c r="F41" i="95" s="1"/>
  <c r="G41" i="95" s="1"/>
  <c r="H41" i="95" s="1"/>
  <c r="I41" i="95" s="1"/>
  <c r="J41" i="95" s="1"/>
  <c r="K41" i="95" s="1"/>
  <c r="H5" i="94" l="1"/>
  <c r="I5" i="94" s="1"/>
  <c r="J5" i="94" s="1"/>
  <c r="K5" i="94" s="1"/>
  <c r="E15" i="94" s="1"/>
  <c r="F15" i="94" s="1"/>
  <c r="G15" i="94" s="1"/>
  <c r="H15" i="94" s="1"/>
  <c r="I15" i="94" s="1"/>
  <c r="J15" i="94" s="1"/>
  <c r="K15" i="94" s="1"/>
  <c r="E25" i="94" s="1"/>
  <c r="F25" i="94" s="1"/>
  <c r="G25" i="94" s="1"/>
  <c r="H25" i="94" s="1"/>
  <c r="I25" i="94" s="1"/>
  <c r="J25" i="94" s="1"/>
  <c r="K25" i="94" s="1"/>
  <c r="E35" i="94" s="1"/>
  <c r="F35" i="94" s="1"/>
  <c r="G35" i="94" s="1"/>
  <c r="H35" i="94" s="1"/>
  <c r="I35" i="94" s="1"/>
  <c r="J35" i="94" s="1"/>
  <c r="K35" i="94" s="1"/>
  <c r="E45" i="94" s="1"/>
  <c r="F45" i="94" s="1"/>
  <c r="J5" i="93"/>
  <c r="K5" i="93" s="1"/>
  <c r="E14" i="93" s="1"/>
  <c r="F14" i="93" s="1"/>
  <c r="G14" i="93" s="1"/>
  <c r="H14" i="93" s="1"/>
  <c r="I14" i="93" s="1"/>
  <c r="J14" i="93" s="1"/>
  <c r="K14" i="93" s="1"/>
  <c r="E24" i="93" s="1"/>
  <c r="F24" i="93" s="1"/>
  <c r="G24" i="93" s="1"/>
  <c r="H24" i="93" s="1"/>
  <c r="I24" i="93" s="1"/>
  <c r="J24" i="93" s="1"/>
  <c r="K24" i="93" s="1"/>
  <c r="E34" i="93" s="1"/>
  <c r="F34" i="93" s="1"/>
  <c r="G34" i="93" s="1"/>
  <c r="H34" i="93" s="1"/>
  <c r="I34" i="93" s="1"/>
  <c r="J34" i="93" s="1"/>
  <c r="K34" i="93" s="1"/>
  <c r="E44" i="93" s="1"/>
  <c r="F44" i="93" s="1"/>
  <c r="G44" i="93" s="1"/>
  <c r="H44" i="93" s="1"/>
  <c r="I44" i="93" s="1"/>
  <c r="J44" i="93" s="1"/>
  <c r="K44" i="93" s="1"/>
  <c r="H5" i="92" l="1"/>
  <c r="I5" i="92" s="1"/>
  <c r="J5" i="92" s="1"/>
  <c r="K5" i="92" s="1"/>
  <c r="E14" i="92" s="1"/>
  <c r="F14" i="92" s="1"/>
  <c r="G14" i="92" s="1"/>
  <c r="H14" i="92" s="1"/>
  <c r="I14" i="92" s="1"/>
  <c r="J14" i="92" s="1"/>
  <c r="K14" i="92" s="1"/>
  <c r="E23" i="92" s="1"/>
  <c r="F23" i="92" s="1"/>
  <c r="G23" i="92" s="1"/>
  <c r="H23" i="92" s="1"/>
  <c r="I23" i="92" s="1"/>
  <c r="J23" i="92" s="1"/>
  <c r="K23" i="92" s="1"/>
  <c r="E32" i="92" s="1"/>
  <c r="F32" i="92" s="1"/>
  <c r="G32" i="92" s="1"/>
  <c r="H32" i="92" s="1"/>
  <c r="I32" i="92" s="1"/>
  <c r="J32" i="92" s="1"/>
  <c r="K32" i="92" s="1"/>
  <c r="E41" i="92" s="1"/>
  <c r="F41" i="92" s="1"/>
  <c r="G41" i="92" s="1"/>
  <c r="H41" i="92" s="1"/>
  <c r="I41" i="92" s="1"/>
  <c r="H5" i="89" l="1"/>
  <c r="I5" i="89" s="1"/>
  <c r="J5" i="89" s="1"/>
  <c r="K5" i="89" s="1"/>
  <c r="E14" i="89" s="1"/>
  <c r="F14" i="89" s="1"/>
  <c r="G14" i="89" s="1"/>
  <c r="H14" i="89" s="1"/>
  <c r="I14" i="89" s="1"/>
  <c r="J14" i="89" s="1"/>
  <c r="K14" i="89" s="1"/>
  <c r="E23" i="89" s="1"/>
  <c r="F23" i="89" s="1"/>
  <c r="G23" i="89" s="1"/>
  <c r="H23" i="89" s="1"/>
  <c r="I23" i="89" s="1"/>
  <c r="J23" i="89" s="1"/>
  <c r="K23" i="89" s="1"/>
  <c r="E32" i="89" s="1"/>
  <c r="F32" i="89" s="1"/>
  <c r="G32" i="89" s="1"/>
  <c r="H32" i="89" s="1"/>
  <c r="I32" i="89" s="1"/>
  <c r="J32" i="89" s="1"/>
  <c r="K32" i="89" s="1"/>
  <c r="E41" i="89" s="1"/>
  <c r="F41" i="89" s="1"/>
  <c r="H5" i="88"/>
  <c r="I5" i="88" s="1"/>
  <c r="J5" i="88" s="1"/>
  <c r="K5" i="88" s="1"/>
  <c r="E14" i="88" s="1"/>
  <c r="F14" i="88" s="1"/>
  <c r="G14" i="88" s="1"/>
  <c r="H14" i="88" s="1"/>
  <c r="I14" i="88" s="1"/>
  <c r="J14" i="88" s="1"/>
  <c r="K14" i="88" s="1"/>
  <c r="E23" i="88" s="1"/>
  <c r="F23" i="88" s="1"/>
  <c r="G23" i="88" s="1"/>
  <c r="H23" i="88" s="1"/>
  <c r="I23" i="88" s="1"/>
  <c r="J23" i="88" s="1"/>
  <c r="K23" i="88" s="1"/>
  <c r="E32" i="88" s="1"/>
  <c r="F32" i="88" s="1"/>
  <c r="G32" i="88" s="1"/>
  <c r="H32" i="88" s="1"/>
  <c r="I32" i="88" s="1"/>
  <c r="J32" i="88" s="1"/>
  <c r="K32" i="88" s="1"/>
  <c r="E41" i="88" s="1"/>
  <c r="F41" i="88" s="1"/>
  <c r="G41" i="88" s="1"/>
  <c r="H41" i="88" s="1"/>
  <c r="I41" i="88" s="1"/>
  <c r="E14" i="87" l="1"/>
  <c r="F14" i="87" s="1"/>
  <c r="G14" i="87" s="1"/>
  <c r="H14" i="87" s="1"/>
  <c r="I14" i="87" s="1"/>
  <c r="J14" i="87" s="1"/>
  <c r="K14" i="87" s="1"/>
  <c r="E23" i="87" s="1"/>
  <c r="F23" i="87" s="1"/>
  <c r="G23" i="87" s="1"/>
  <c r="H23" i="87" s="1"/>
  <c r="I23" i="87" s="1"/>
  <c r="J23" i="87" s="1"/>
  <c r="K23" i="87" s="1"/>
  <c r="E32" i="87" s="1"/>
  <c r="F32" i="87" s="1"/>
  <c r="G32" i="87" s="1"/>
  <c r="H32" i="87" s="1"/>
  <c r="I32" i="87" s="1"/>
  <c r="J32" i="87" s="1"/>
  <c r="K32" i="87" s="1"/>
  <c r="E41" i="87" s="1"/>
  <c r="F41" i="87" s="1"/>
  <c r="G41" i="87" s="1"/>
  <c r="H41" i="87" s="1"/>
  <c r="E14" i="86"/>
  <c r="F14" i="86" s="1"/>
  <c r="G14" i="86" s="1"/>
  <c r="H14" i="86" s="1"/>
  <c r="I14" i="86" s="1"/>
  <c r="J14" i="86" s="1"/>
  <c r="K14" i="86" s="1"/>
  <c r="E23" i="86" s="1"/>
  <c r="F23" i="86" s="1"/>
  <c r="G23" i="86" s="1"/>
  <c r="H23" i="86" s="1"/>
  <c r="I23" i="86" s="1"/>
  <c r="J23" i="86" s="1"/>
  <c r="K23" i="86" s="1"/>
  <c r="E32" i="86" s="1"/>
  <c r="F32" i="86" s="1"/>
  <c r="G32" i="86" s="1"/>
  <c r="H32" i="86" s="1"/>
  <c r="I32" i="86" s="1"/>
  <c r="J32" i="86" s="1"/>
  <c r="K32" i="86" s="1"/>
  <c r="E41" i="86" s="1"/>
  <c r="F41" i="86" s="1"/>
  <c r="K5" i="85"/>
  <c r="E14" i="85" s="1"/>
  <c r="F14" i="85" s="1"/>
  <c r="G14" i="85" s="1"/>
  <c r="H14" i="85" s="1"/>
  <c r="I14" i="85" s="1"/>
  <c r="J14" i="85" s="1"/>
  <c r="K14" i="85" s="1"/>
  <c r="E23" i="85" s="1"/>
  <c r="F23" i="85" s="1"/>
  <c r="G23" i="85" s="1"/>
  <c r="H23" i="85" s="1"/>
  <c r="I23" i="85" s="1"/>
  <c r="J23" i="85" s="1"/>
  <c r="K23" i="85" s="1"/>
  <c r="E32" i="85" s="1"/>
  <c r="F32" i="85" s="1"/>
  <c r="G32" i="85" s="1"/>
  <c r="H32" i="85" s="1"/>
  <c r="I32" i="85" s="1"/>
  <c r="J32" i="85" s="1"/>
  <c r="K32" i="85" s="1"/>
  <c r="E41" i="85" s="1"/>
  <c r="F41" i="85" s="1"/>
  <c r="G41" i="85" s="1"/>
  <c r="H41" i="85" s="1"/>
  <c r="I41" i="85" s="1"/>
  <c r="J41" i="85" s="1"/>
  <c r="K5" i="84"/>
  <c r="E14" i="84" s="1"/>
  <c r="F14" i="84" s="1"/>
  <c r="G14" i="84" s="1"/>
  <c r="H14" i="84" s="1"/>
  <c r="I14" i="84" s="1"/>
  <c r="J14" i="84" s="1"/>
  <c r="K14" i="84" s="1"/>
  <c r="E23" i="84" s="1"/>
  <c r="F23" i="84" s="1"/>
  <c r="G23" i="84" s="1"/>
  <c r="H23" i="84" s="1"/>
  <c r="I23" i="84" s="1"/>
  <c r="J23" i="84" s="1"/>
  <c r="K23" i="84" s="1"/>
  <c r="E32" i="84" s="1"/>
  <c r="F32" i="84" s="1"/>
  <c r="G32" i="84" s="1"/>
  <c r="H32" i="84" s="1"/>
  <c r="I32" i="84" s="1"/>
  <c r="J32" i="84" s="1"/>
  <c r="K32" i="84" s="1"/>
  <c r="E41" i="84" s="1"/>
  <c r="F41" i="84" s="1"/>
  <c r="G41" i="84" s="1"/>
  <c r="H41" i="84" s="1"/>
  <c r="I5" i="83"/>
  <c r="J5" i="83" s="1"/>
  <c r="K5" i="83" s="1"/>
  <c r="E14" i="83" s="1"/>
  <c r="F14" i="83" s="1"/>
  <c r="G14" i="83" s="1"/>
  <c r="H14" i="83" s="1"/>
  <c r="I14" i="83" s="1"/>
  <c r="J14" i="83" s="1"/>
  <c r="K14" i="83" s="1"/>
  <c r="E23" i="83" s="1"/>
  <c r="F23" i="83" s="1"/>
  <c r="G23" i="83" s="1"/>
  <c r="H23" i="83" s="1"/>
  <c r="I23" i="83" s="1"/>
  <c r="J23" i="83" s="1"/>
  <c r="K23" i="83" s="1"/>
  <c r="E32" i="83" s="1"/>
  <c r="F32" i="83" s="1"/>
  <c r="G32" i="83" s="1"/>
  <c r="H32" i="83" s="1"/>
  <c r="I32" i="83" s="1"/>
  <c r="J32" i="83" s="1"/>
  <c r="K32" i="83" s="1"/>
  <c r="E41" i="83" s="1"/>
  <c r="K5" i="82"/>
  <c r="E14" i="82" s="1"/>
  <c r="F14" i="82" s="1"/>
  <c r="G14" i="82" s="1"/>
  <c r="H14" i="82" s="1"/>
  <c r="I14" i="82" s="1"/>
  <c r="J14" i="82" s="1"/>
  <c r="K14" i="82" s="1"/>
  <c r="E23" i="82" s="1"/>
  <c r="F23" i="82" s="1"/>
  <c r="G23" i="82" s="1"/>
  <c r="H23" i="82" s="1"/>
  <c r="I23" i="82" s="1"/>
  <c r="J23" i="82" s="1"/>
  <c r="K23" i="82" s="1"/>
  <c r="E32" i="82" s="1"/>
  <c r="F32" i="82" s="1"/>
  <c r="G32" i="82" s="1"/>
  <c r="H32" i="82" s="1"/>
  <c r="I32" i="82" s="1"/>
  <c r="J32" i="82" s="1"/>
  <c r="K32" i="82" s="1"/>
  <c r="E41" i="82" s="1"/>
  <c r="F41" i="82" s="1"/>
  <c r="G41" i="82" s="1"/>
  <c r="H41" i="82" s="1"/>
  <c r="I41" i="82" s="1"/>
  <c r="J41" i="82" s="1"/>
  <c r="K41" i="82" s="1"/>
  <c r="E50" i="82" s="1"/>
  <c r="G41" i="86" l="1"/>
  <c r="H41" i="86" s="1"/>
  <c r="I41" i="86" s="1"/>
  <c r="J41" i="86" s="1"/>
  <c r="K41" i="86" s="1"/>
  <c r="E50" i="86" s="1"/>
  <c r="F50" i="86" s="1"/>
  <c r="E14" i="81"/>
  <c r="F14" i="81" s="1"/>
  <c r="G14" i="81" s="1"/>
  <c r="H14" i="81" s="1"/>
  <c r="I14" i="81" s="1"/>
  <c r="J14" i="81" s="1"/>
  <c r="K14" i="81" s="1"/>
  <c r="E23" i="81" s="1"/>
  <c r="F23" i="81" s="1"/>
  <c r="G23" i="81" s="1"/>
  <c r="H23" i="81" s="1"/>
  <c r="I23" i="81" s="1"/>
  <c r="J23" i="81" s="1"/>
  <c r="K23" i="81" s="1"/>
  <c r="E32" i="81" s="1"/>
  <c r="F32" i="81" s="1"/>
  <c r="G32" i="81" s="1"/>
  <c r="H32" i="81" s="1"/>
  <c r="I32" i="81" s="1"/>
  <c r="J32" i="81" s="1"/>
  <c r="K32" i="81" s="1"/>
  <c r="E41" i="81" s="1"/>
  <c r="F41" i="81" s="1"/>
  <c r="G41" i="81" s="1"/>
  <c r="H41" i="81" s="1"/>
  <c r="I41" i="81" s="1"/>
  <c r="J41" i="81" s="1"/>
  <c r="K41" i="81" s="1"/>
  <c r="E50" i="81" s="1"/>
  <c r="F50" i="81" s="1"/>
  <c r="E14" i="80" l="1"/>
  <c r="F14" i="80" s="1"/>
  <c r="G14" i="80" s="1"/>
  <c r="H14" i="80" s="1"/>
  <c r="I14" i="80" s="1"/>
  <c r="J14" i="80" s="1"/>
  <c r="K14" i="80" s="1"/>
  <c r="E23" i="80" s="1"/>
  <c r="F23" i="80" s="1"/>
  <c r="G23" i="80" s="1"/>
  <c r="H23" i="80" s="1"/>
  <c r="I23" i="80" s="1"/>
  <c r="J23" i="80" s="1"/>
  <c r="K23" i="80" s="1"/>
  <c r="E32" i="80" s="1"/>
  <c r="F32" i="80" s="1"/>
  <c r="G32" i="80" s="1"/>
  <c r="H32" i="80" s="1"/>
  <c r="I32" i="80" s="1"/>
  <c r="J32" i="80" s="1"/>
  <c r="K32" i="80" s="1"/>
  <c r="E41" i="80" s="1"/>
  <c r="F41" i="80" s="1"/>
  <c r="G41" i="80" s="1"/>
  <c r="H41" i="80" s="1"/>
  <c r="I41" i="80" s="1"/>
  <c r="J41" i="80" s="1"/>
  <c r="K41" i="80" s="1"/>
  <c r="E14" i="79" l="1"/>
  <c r="F14" i="79" s="1"/>
  <c r="G14" i="79" s="1"/>
  <c r="H14" i="79" s="1"/>
  <c r="I14" i="79" s="1"/>
  <c r="J14" i="79" s="1"/>
  <c r="K14" i="79" s="1"/>
  <c r="E23" i="79" s="1"/>
  <c r="F23" i="79" s="1"/>
  <c r="G23" i="79" s="1"/>
  <c r="H23" i="79" s="1"/>
  <c r="I23" i="79" s="1"/>
  <c r="J23" i="79" s="1"/>
  <c r="K23" i="79" s="1"/>
  <c r="E32" i="79" s="1"/>
  <c r="F32" i="79" s="1"/>
  <c r="G32" i="79" s="1"/>
  <c r="H32" i="79" s="1"/>
  <c r="I32" i="79" s="1"/>
  <c r="J32" i="79" s="1"/>
  <c r="K32" i="79" s="1"/>
  <c r="E41" i="79" s="1"/>
  <c r="F41" i="79" s="1"/>
  <c r="G41" i="79" s="1"/>
  <c r="H41" i="79" s="1"/>
  <c r="I41" i="79" s="1"/>
  <c r="J41" i="79" s="1"/>
  <c r="K41" i="79" s="1"/>
  <c r="E14" i="78" l="1"/>
  <c r="F14" i="78" s="1"/>
  <c r="G14" i="78" s="1"/>
  <c r="H14" i="78" s="1"/>
  <c r="I14" i="78" s="1"/>
  <c r="J14" i="78" s="1"/>
  <c r="K14" i="78" s="1"/>
  <c r="E23" i="78" s="1"/>
  <c r="F23" i="78" s="1"/>
  <c r="G23" i="78" s="1"/>
  <c r="H23" i="78" s="1"/>
  <c r="I23" i="78" s="1"/>
  <c r="J23" i="78" s="1"/>
  <c r="K23" i="78" s="1"/>
  <c r="E32" i="78" s="1"/>
  <c r="F32" i="78" s="1"/>
  <c r="G32" i="78" s="1"/>
  <c r="H32" i="78" s="1"/>
  <c r="I32" i="78" s="1"/>
  <c r="J32" i="78" s="1"/>
  <c r="K32" i="78" s="1"/>
  <c r="E41" i="78" s="1"/>
  <c r="F41" i="78" s="1"/>
  <c r="G41" i="78" s="1"/>
  <c r="H41" i="78" s="1"/>
  <c r="I41" i="78" s="1"/>
  <c r="E14" i="77" l="1"/>
  <c r="F14" i="77" s="1"/>
  <c r="G14" i="77" s="1"/>
  <c r="H14" i="77" s="1"/>
  <c r="I14" i="77" s="1"/>
  <c r="J14" i="77" s="1"/>
  <c r="K14" i="77" s="1"/>
  <c r="E23" i="77" s="1"/>
  <c r="F23" i="77" s="1"/>
  <c r="G23" i="77" s="1"/>
  <c r="H23" i="77" s="1"/>
  <c r="I23" i="77" s="1"/>
  <c r="J23" i="77" s="1"/>
  <c r="K23" i="77" s="1"/>
  <c r="E32" i="77" s="1"/>
  <c r="F32" i="77" s="1"/>
  <c r="G32" i="77" s="1"/>
  <c r="H32" i="77" s="1"/>
  <c r="I32" i="77" s="1"/>
  <c r="J32" i="77" l="1"/>
  <c r="K32" i="77" s="1"/>
  <c r="E41" i="77" s="1"/>
  <c r="F41" i="77" s="1"/>
  <c r="G41" i="77" s="1"/>
  <c r="E14" i="76" l="1"/>
  <c r="F14" i="76" s="1"/>
  <c r="G14" i="76" s="1"/>
  <c r="H14" i="76" s="1"/>
  <c r="I14" i="76" s="1"/>
  <c r="J14" i="76" l="1"/>
  <c r="K14" i="76" s="1"/>
  <c r="E23" i="76" s="1"/>
  <c r="F23" i="76" s="1"/>
  <c r="G23" i="76" s="1"/>
  <c r="H23" i="76" s="1"/>
  <c r="I23" i="76" s="1"/>
  <c r="J23" i="76" s="1"/>
  <c r="K23" i="76" s="1"/>
  <c r="E32" i="76" s="1"/>
  <c r="F32" i="76" s="1"/>
  <c r="G32" i="76" s="1"/>
  <c r="H32" i="76" s="1"/>
  <c r="I32" i="76" s="1"/>
  <c r="J32" i="76" s="1"/>
  <c r="K32" i="76" s="1"/>
  <c r="E41" i="76" s="1"/>
  <c r="F41" i="76" s="1"/>
  <c r="G41" i="76" s="1"/>
  <c r="H41" i="76" s="1"/>
  <c r="I41" i="76" s="1"/>
  <c r="E14" i="75"/>
  <c r="F14" i="75" s="1"/>
  <c r="G14" i="75" s="1"/>
  <c r="H14" i="75" s="1"/>
  <c r="I14" i="75" s="1"/>
  <c r="J14" i="75" s="1"/>
  <c r="K14" i="75" s="1"/>
  <c r="E23" i="75" s="1"/>
  <c r="F23" i="75" s="1"/>
  <c r="G23" i="75" s="1"/>
  <c r="H23" i="75" s="1"/>
  <c r="I23" i="75" s="1"/>
  <c r="J23" i="75" s="1"/>
  <c r="K23" i="75" s="1"/>
  <c r="E32" i="75" s="1"/>
  <c r="F32" i="75" s="1"/>
  <c r="G32" i="75" s="1"/>
  <c r="H32" i="75" s="1"/>
  <c r="I32" i="75" s="1"/>
  <c r="J32" i="75" s="1"/>
  <c r="K32" i="75" s="1"/>
  <c r="E41" i="75" s="1"/>
  <c r="F41" i="75" s="1"/>
  <c r="G41" i="75" s="1"/>
  <c r="E14" i="74" l="1"/>
  <c r="F14" i="74" s="1"/>
  <c r="G14" i="74" s="1"/>
  <c r="H14" i="74" s="1"/>
  <c r="I14" i="74" s="1"/>
  <c r="J14" i="74" s="1"/>
  <c r="K14" i="74" s="1"/>
  <c r="E23" i="74" s="1"/>
  <c r="F23" i="74" s="1"/>
  <c r="G23" i="74" s="1"/>
  <c r="H23" i="74" s="1"/>
  <c r="I23" i="74" s="1"/>
  <c r="J23" i="74" s="1"/>
  <c r="K23" i="74" s="1"/>
  <c r="E32" i="74" s="1"/>
  <c r="F32" i="74" s="1"/>
  <c r="G32" i="74" s="1"/>
  <c r="H32" i="74" s="1"/>
  <c r="I32" i="74" s="1"/>
  <c r="J32" i="74" s="1"/>
  <c r="K32" i="74" s="1"/>
  <c r="E41" i="74" s="1"/>
  <c r="F41" i="74" s="1"/>
  <c r="G41" i="74" s="1"/>
  <c r="E14" i="73" l="1"/>
  <c r="F14" i="73" s="1"/>
  <c r="G14" i="73" s="1"/>
  <c r="H14" i="73" s="1"/>
  <c r="I14" i="73" s="1"/>
  <c r="J14" i="73" s="1"/>
  <c r="K14" i="73" s="1"/>
  <c r="E23" i="73" s="1"/>
  <c r="F23" i="73" s="1"/>
  <c r="G23" i="73" s="1"/>
  <c r="H23" i="73" s="1"/>
  <c r="I23" i="73" s="1"/>
  <c r="J23" i="73" s="1"/>
  <c r="K23" i="73" s="1"/>
  <c r="E32" i="73" s="1"/>
  <c r="F32" i="73" s="1"/>
  <c r="G32" i="73" s="1"/>
  <c r="H32" i="73" s="1"/>
  <c r="I32" i="73" s="1"/>
  <c r="J32" i="73" s="1"/>
  <c r="K32" i="73" s="1"/>
  <c r="E41" i="73" s="1"/>
  <c r="F41" i="73" s="1"/>
  <c r="G41" i="73" s="1"/>
  <c r="E14" i="72" l="1"/>
  <c r="F14" i="72" s="1"/>
  <c r="G14" i="72" s="1"/>
  <c r="H14" i="72" s="1"/>
  <c r="I14" i="72" s="1"/>
  <c r="J14" i="72" s="1"/>
  <c r="K14" i="72" s="1"/>
  <c r="E23" i="72" s="1"/>
  <c r="F23" i="72" s="1"/>
  <c r="G23" i="72" s="1"/>
  <c r="H23" i="72" s="1"/>
  <c r="I23" i="72" s="1"/>
  <c r="J23" i="72" s="1"/>
  <c r="K23" i="72" s="1"/>
  <c r="E32" i="72" s="1"/>
  <c r="F32" i="72" s="1"/>
  <c r="G32" i="72" s="1"/>
  <c r="H32" i="72" s="1"/>
  <c r="I32" i="72" s="1"/>
  <c r="J32" i="72" s="1"/>
  <c r="K32" i="72" s="1"/>
  <c r="E41" i="72" s="1"/>
  <c r="F41" i="72" s="1"/>
  <c r="G41" i="72" s="1"/>
  <c r="E14" i="71"/>
  <c r="F14" i="71" s="1"/>
  <c r="G14" i="71" s="1"/>
  <c r="H14" i="71" s="1"/>
  <c r="I14" i="71" s="1"/>
  <c r="J14" i="71" s="1"/>
  <c r="K14" i="71" s="1"/>
  <c r="E23" i="71" s="1"/>
  <c r="F23" i="71" s="1"/>
  <c r="G23" i="71" s="1"/>
  <c r="H23" i="71" s="1"/>
  <c r="I23" i="71" s="1"/>
  <c r="J23" i="71" s="1"/>
  <c r="K23" i="71" s="1"/>
  <c r="E32" i="71" s="1"/>
  <c r="F32" i="71" s="1"/>
  <c r="G32" i="71" s="1"/>
  <c r="H32" i="71" s="1"/>
  <c r="I32" i="71" l="1"/>
  <c r="J32" i="71" s="1"/>
  <c r="K32" i="71" s="1"/>
  <c r="E41" i="71" s="1"/>
  <c r="F41" i="71" s="1"/>
  <c r="G41" i="71" s="1"/>
  <c r="H5" i="70" l="1"/>
  <c r="I5" i="70" s="1"/>
  <c r="J5" i="70" s="1"/>
  <c r="K5" i="70" s="1"/>
  <c r="E14" i="70" s="1"/>
  <c r="F14" i="70" s="1"/>
  <c r="G14" i="70" s="1"/>
  <c r="H14" i="70" s="1"/>
  <c r="I14" i="70" s="1"/>
  <c r="J14" i="70" s="1"/>
  <c r="K14" i="70" s="1"/>
  <c r="E23" i="70" s="1"/>
  <c r="F23" i="70" s="1"/>
  <c r="G23" i="70" s="1"/>
  <c r="H23" i="70" s="1"/>
  <c r="I23" i="70" s="1"/>
  <c r="J23" i="70" s="1"/>
  <c r="K23" i="70" s="1"/>
  <c r="E32" i="70" s="1"/>
  <c r="F32" i="70" s="1"/>
  <c r="G32" i="70" s="1"/>
  <c r="H32" i="70" s="1"/>
  <c r="I32" i="70" s="1"/>
  <c r="J32" i="70" s="1"/>
  <c r="K32" i="70" s="1"/>
  <c r="E41" i="70" s="1"/>
  <c r="F41" i="70" s="1"/>
  <c r="G41" i="70" s="1"/>
  <c r="H41" i="70" s="1"/>
  <c r="I41" i="70" s="1"/>
  <c r="H5" i="69"/>
  <c r="I5" i="69" s="1"/>
  <c r="J5" i="69" s="1"/>
  <c r="K5" i="69" s="1"/>
  <c r="E14" i="69" s="1"/>
  <c r="F14" i="69" s="1"/>
  <c r="G14" i="69" s="1"/>
  <c r="H14" i="69" s="1"/>
  <c r="I14" i="69" s="1"/>
  <c r="J14" i="69" s="1"/>
  <c r="K14" i="69" s="1"/>
  <c r="E23" i="69" s="1"/>
  <c r="F23" i="69" s="1"/>
  <c r="G23" i="69" s="1"/>
  <c r="H23" i="69" s="1"/>
  <c r="I23" i="69" s="1"/>
  <c r="J23" i="69" s="1"/>
  <c r="K23" i="69" s="1"/>
  <c r="E32" i="69" s="1"/>
  <c r="F32" i="69" s="1"/>
  <c r="G32" i="69" s="1"/>
  <c r="H32" i="69" s="1"/>
  <c r="I32" i="69" s="1"/>
  <c r="J32" i="69" s="1"/>
  <c r="K32" i="69" s="1"/>
  <c r="E41" i="69" s="1"/>
  <c r="F41" i="69" s="1"/>
  <c r="J5" i="68"/>
  <c r="K5" i="68" s="1"/>
  <c r="E14" i="68" s="1"/>
  <c r="F14" i="68" s="1"/>
  <c r="G14" i="68" s="1"/>
  <c r="H14" i="68" s="1"/>
  <c r="I14" i="68" s="1"/>
  <c r="J14" i="68" s="1"/>
  <c r="K14" i="68" s="1"/>
  <c r="E23" i="68" s="1"/>
  <c r="F23" i="68" s="1"/>
  <c r="G23" i="68" s="1"/>
  <c r="H23" i="68" s="1"/>
  <c r="I23" i="68" s="1"/>
  <c r="J23" i="68" s="1"/>
  <c r="K23" i="68" s="1"/>
  <c r="E32" i="68" s="1"/>
  <c r="F32" i="68" s="1"/>
  <c r="G32" i="68" s="1"/>
  <c r="H32" i="68" s="1"/>
  <c r="I32" i="68" s="1"/>
  <c r="J32" i="68" s="1"/>
  <c r="K32" i="68" s="1"/>
  <c r="E41" i="68" s="1"/>
  <c r="F41" i="68" s="1"/>
  <c r="G41" i="68" s="1"/>
  <c r="H41" i="68" s="1"/>
  <c r="I41" i="68" s="1"/>
  <c r="J41" i="68" s="1"/>
  <c r="K41" i="68" s="1"/>
  <c r="H5" i="67" l="1"/>
  <c r="I5" i="67" s="1"/>
  <c r="J5" i="67" s="1"/>
  <c r="K5" i="67" s="1"/>
  <c r="E15" i="67" s="1"/>
  <c r="F15" i="67" s="1"/>
  <c r="G15" i="67" s="1"/>
  <c r="H15" i="67" s="1"/>
  <c r="I15" i="67" s="1"/>
  <c r="J15" i="67" s="1"/>
  <c r="K15" i="67" s="1"/>
  <c r="E25" i="67" s="1"/>
  <c r="F25" i="67" s="1"/>
  <c r="G25" i="67" s="1"/>
  <c r="H25" i="67" s="1"/>
  <c r="I25" i="67" s="1"/>
  <c r="J25" i="67" s="1"/>
  <c r="K25" i="67" s="1"/>
  <c r="E35" i="67" s="1"/>
  <c r="F35" i="67" s="1"/>
  <c r="G35" i="67" s="1"/>
  <c r="H35" i="67" s="1"/>
  <c r="I35" i="67" s="1"/>
  <c r="J35" i="67" s="1"/>
  <c r="K35" i="67" s="1"/>
  <c r="E45" i="67" s="1"/>
  <c r="F45" i="67" s="1"/>
  <c r="G45" i="67" s="1"/>
  <c r="H5" i="66" l="1"/>
  <c r="I5" i="66" s="1"/>
  <c r="J5" i="66" s="1"/>
  <c r="K5" i="66" s="1"/>
  <c r="E15" i="66" s="1"/>
  <c r="F15" i="66" s="1"/>
  <c r="G15" i="66" s="1"/>
  <c r="H15" i="66" s="1"/>
  <c r="I15" i="66" s="1"/>
  <c r="J15" i="66" s="1"/>
  <c r="K15" i="66" s="1"/>
  <c r="E25" i="66" s="1"/>
  <c r="F25" i="66" s="1"/>
  <c r="G25" i="66" s="1"/>
  <c r="H25" i="66" s="1"/>
  <c r="I25" i="66" s="1"/>
  <c r="J25" i="66" s="1"/>
  <c r="K25" i="66" s="1"/>
  <c r="E35" i="66" s="1"/>
  <c r="F35" i="66" s="1"/>
  <c r="G35" i="66" s="1"/>
  <c r="H35" i="66" s="1"/>
  <c r="I35" i="66" s="1"/>
  <c r="J35" i="66" s="1"/>
  <c r="K35" i="66" s="1"/>
  <c r="E45" i="66" s="1"/>
  <c r="F45" i="66" s="1"/>
  <c r="G45" i="66" s="1"/>
  <c r="H5" i="65" l="1"/>
  <c r="I5" i="65" s="1"/>
  <c r="J5" i="65" s="1"/>
  <c r="K5" i="65" s="1"/>
  <c r="E14" i="65" s="1"/>
  <c r="F14" i="65" s="1"/>
  <c r="E14" i="64"/>
  <c r="F14" i="64" s="1"/>
  <c r="G14" i="64" s="1"/>
  <c r="H14" i="64" s="1"/>
  <c r="I14" i="64" s="1"/>
  <c r="J14" i="64" s="1"/>
  <c r="K14" i="64" s="1"/>
  <c r="E23" i="64" s="1"/>
  <c r="F23" i="64" s="1"/>
  <c r="G23" i="64" s="1"/>
  <c r="H23" i="64" s="1"/>
  <c r="I23" i="64" s="1"/>
  <c r="J23" i="64" s="1"/>
  <c r="K23" i="64" s="1"/>
  <c r="E32" i="64" s="1"/>
  <c r="F32" i="64" s="1"/>
  <c r="G32" i="64" s="1"/>
  <c r="H32" i="64" s="1"/>
  <c r="I32" i="64" s="1"/>
  <c r="J32" i="64" s="1"/>
  <c r="K32" i="64" s="1"/>
  <c r="E41" i="64" s="1"/>
  <c r="F41" i="64" s="1"/>
  <c r="G41" i="64" s="1"/>
  <c r="H41" i="64" s="1"/>
  <c r="I41" i="64" s="1"/>
  <c r="J41" i="64" s="1"/>
  <c r="K41" i="64" s="1"/>
  <c r="E50" i="64" s="1"/>
  <c r="F50" i="64" s="1"/>
  <c r="I5" i="63"/>
  <c r="J5" i="63" s="1"/>
  <c r="K5" i="63" s="1"/>
  <c r="E14" i="63" s="1"/>
  <c r="F14" i="63" s="1"/>
  <c r="G14" i="63" s="1"/>
  <c r="H14" i="63" s="1"/>
  <c r="I14" i="63" s="1"/>
  <c r="J14" i="63" s="1"/>
  <c r="K14" i="63" s="1"/>
  <c r="E23" i="63" s="1"/>
  <c r="F23" i="63" s="1"/>
  <c r="G23" i="63" s="1"/>
  <c r="H23" i="63" s="1"/>
  <c r="I23" i="63" s="1"/>
  <c r="J23" i="63" s="1"/>
  <c r="K23" i="63" s="1"/>
  <c r="E32" i="63" s="1"/>
  <c r="F32" i="63" s="1"/>
  <c r="G32" i="63" s="1"/>
  <c r="H32" i="63" s="1"/>
  <c r="I32" i="63" s="1"/>
  <c r="J32" i="63" s="1"/>
  <c r="K32" i="63" s="1"/>
  <c r="E41" i="63" s="1"/>
  <c r="F41" i="63" s="1"/>
  <c r="G41" i="63" s="1"/>
  <c r="H41" i="63" s="1"/>
  <c r="I41" i="63" s="1"/>
  <c r="J41" i="63" s="1"/>
  <c r="G14" i="65" l="1"/>
  <c r="H14" i="65" s="1"/>
  <c r="I14" i="65" s="1"/>
  <c r="J14" i="65" s="1"/>
  <c r="K14" i="65" s="1"/>
  <c r="E23" i="65" s="1"/>
  <c r="F23" i="65" s="1"/>
  <c r="G23" i="65" s="1"/>
  <c r="H23" i="65" s="1"/>
  <c r="I23" i="65" s="1"/>
  <c r="J23" i="65" s="1"/>
  <c r="K23" i="65" s="1"/>
  <c r="E32" i="65" s="1"/>
  <c r="F32" i="65" s="1"/>
  <c r="G32" i="65" s="1"/>
  <c r="H32" i="65" s="1"/>
  <c r="I32" i="65" s="1"/>
  <c r="J32" i="65" s="1"/>
  <c r="K32" i="65" s="1"/>
  <c r="E41" i="65" s="1"/>
  <c r="F41" i="65" s="1"/>
  <c r="G41" i="65" s="1"/>
  <c r="H41" i="65" s="1"/>
  <c r="H5" i="62"/>
  <c r="I5" i="62" s="1"/>
  <c r="J5" i="62" s="1"/>
  <c r="K5" i="62" s="1"/>
  <c r="E15" i="62" s="1"/>
  <c r="F15" i="62" s="1"/>
  <c r="G15" i="62" s="1"/>
  <c r="H15" i="62" s="1"/>
  <c r="I15" i="62" s="1"/>
  <c r="J15" i="62" s="1"/>
  <c r="K15" i="62" s="1"/>
  <c r="E25" i="62" s="1"/>
  <c r="F25" i="62" s="1"/>
  <c r="G25" i="62" s="1"/>
  <c r="H25" i="62" s="1"/>
  <c r="I25" i="62" s="1"/>
  <c r="J25" i="62" s="1"/>
  <c r="K25" i="62" s="1"/>
  <c r="E35" i="62" s="1"/>
  <c r="F35" i="62" s="1"/>
  <c r="G35" i="62" s="1"/>
  <c r="H35" i="62" s="1"/>
  <c r="I35" i="62" s="1"/>
  <c r="J35" i="62" s="1"/>
  <c r="K35" i="62" s="1"/>
  <c r="E45" i="62" s="1"/>
  <c r="F45" i="62" s="1"/>
  <c r="G45" i="62" s="1"/>
  <c r="H5" i="61" l="1"/>
  <c r="I5" i="61" s="1"/>
  <c r="J5" i="61" s="1"/>
  <c r="K5" i="61" s="1"/>
  <c r="E15" i="61" s="1"/>
  <c r="F15" i="61" s="1"/>
  <c r="G15" i="61" s="1"/>
  <c r="H15" i="61" s="1"/>
  <c r="I15" i="61" s="1"/>
  <c r="J15" i="61" s="1"/>
  <c r="K15" i="61" s="1"/>
  <c r="E25" i="61" s="1"/>
  <c r="F25" i="61" s="1"/>
  <c r="G25" i="61" s="1"/>
  <c r="H25" i="61" s="1"/>
  <c r="I25" i="61" s="1"/>
  <c r="J25" i="61" s="1"/>
  <c r="K25" i="61" s="1"/>
  <c r="E35" i="61" s="1"/>
  <c r="F35" i="61" s="1"/>
  <c r="G35" i="61" s="1"/>
  <c r="H35" i="61" s="1"/>
  <c r="I35" i="61" s="1"/>
  <c r="J35" i="61" s="1"/>
  <c r="K35" i="61" s="1"/>
  <c r="E45" i="61" s="1"/>
  <c r="F45" i="61" s="1"/>
  <c r="G45" i="61" s="1"/>
  <c r="E14" i="60" l="1"/>
  <c r="F14" i="60" s="1"/>
  <c r="G14" i="60" s="1"/>
  <c r="H14" i="60" s="1"/>
  <c r="I14" i="60" s="1"/>
  <c r="J14" i="60" s="1"/>
  <c r="K14" i="60" s="1"/>
  <c r="E23" i="60" s="1"/>
  <c r="F23" i="60" s="1"/>
  <c r="G23" i="60" s="1"/>
  <c r="H23" i="60" s="1"/>
  <c r="I23" i="60" s="1"/>
  <c r="J23" i="60" s="1"/>
  <c r="K23" i="60" s="1"/>
  <c r="E32" i="60" s="1"/>
  <c r="F32" i="60" s="1"/>
  <c r="G32" i="60" s="1"/>
  <c r="H32" i="60" s="1"/>
  <c r="I32" i="60" s="1"/>
  <c r="J32" i="60" s="1"/>
  <c r="K32" i="60" s="1"/>
  <c r="E41" i="60" s="1"/>
  <c r="F41" i="60" s="1"/>
  <c r="G41" i="60" s="1"/>
  <c r="E14" i="59"/>
  <c r="F14" i="59" s="1"/>
  <c r="G14" i="59" s="1"/>
  <c r="H14" i="59" s="1"/>
  <c r="I14" i="59" s="1"/>
  <c r="J14" i="59" s="1"/>
  <c r="K14" i="59" s="1"/>
  <c r="E23" i="59" s="1"/>
  <c r="F23" i="59" s="1"/>
  <c r="G23" i="59" s="1"/>
  <c r="H23" i="59" s="1"/>
  <c r="I23" i="59" s="1"/>
  <c r="J23" i="59" s="1"/>
  <c r="K23" i="59" s="1"/>
  <c r="E32" i="59" s="1"/>
  <c r="F32" i="59" s="1"/>
  <c r="G32" i="59" s="1"/>
  <c r="H32" i="59" s="1"/>
  <c r="I32" i="59" s="1"/>
  <c r="J32" i="59" s="1"/>
  <c r="K32" i="59" s="1"/>
  <c r="E41" i="59" s="1"/>
  <c r="F41" i="59" s="1"/>
  <c r="G41" i="59" s="1"/>
  <c r="H41" i="59" s="1"/>
  <c r="I41" i="59" s="1"/>
  <c r="J41" i="59" s="1"/>
  <c r="K41" i="59" s="1"/>
  <c r="E14" i="58"/>
  <c r="F14" i="58" s="1"/>
  <c r="G14" i="58" s="1"/>
  <c r="H14" i="58" s="1"/>
  <c r="I14" i="58" s="1"/>
  <c r="J14" i="58" s="1"/>
  <c r="K14" i="58" s="1"/>
  <c r="E23" i="58" s="1"/>
  <c r="F23" i="58" s="1"/>
  <c r="G23" i="58" s="1"/>
  <c r="H23" i="58" s="1"/>
  <c r="I23" i="58" s="1"/>
  <c r="J23" i="58" s="1"/>
  <c r="K23" i="58" s="1"/>
  <c r="E32" i="58" s="1"/>
  <c r="F32" i="58" s="1"/>
  <c r="G32" i="58" s="1"/>
  <c r="H32" i="58" s="1"/>
  <c r="I32" i="58" s="1"/>
  <c r="J32" i="58" s="1"/>
  <c r="K32" i="58" s="1"/>
  <c r="E41" i="58" s="1"/>
  <c r="F41" i="58" s="1"/>
  <c r="G41" i="58" s="1"/>
  <c r="H41" i="58" s="1"/>
  <c r="I41" i="58" s="1"/>
  <c r="E14" i="57"/>
  <c r="F14" i="57" s="1"/>
  <c r="G14" i="57" s="1"/>
  <c r="H14" i="57" s="1"/>
  <c r="I14" i="57" s="1"/>
  <c r="J14" i="57" s="1"/>
  <c r="K14" i="57" s="1"/>
  <c r="E23" i="57" s="1"/>
  <c r="F23" i="57" s="1"/>
  <c r="G23" i="57" s="1"/>
  <c r="H23" i="57" s="1"/>
  <c r="I23" i="57" s="1"/>
  <c r="J23" i="57" s="1"/>
  <c r="K23" i="57" s="1"/>
  <c r="E32" i="57" s="1"/>
  <c r="F32" i="57" s="1"/>
  <c r="G32" i="57" s="1"/>
  <c r="H32" i="57" s="1"/>
  <c r="I32" i="57" s="1"/>
  <c r="J32" i="57" s="1"/>
  <c r="K32" i="57" s="1"/>
  <c r="E41" i="57" s="1"/>
  <c r="F41" i="57" s="1"/>
  <c r="G41" i="57" s="1"/>
  <c r="E14" i="56"/>
  <c r="F14" i="56" s="1"/>
  <c r="G14" i="56" s="1"/>
  <c r="H14" i="56" s="1"/>
  <c r="I14" i="56" s="1"/>
  <c r="J14" i="56" s="1"/>
  <c r="K14" i="56" s="1"/>
  <c r="E24" i="56" s="1"/>
  <c r="F24" i="56" s="1"/>
  <c r="G24" i="56" s="1"/>
  <c r="H24" i="56" s="1"/>
  <c r="H5" i="55"/>
  <c r="I5" i="55" s="1"/>
  <c r="J5" i="55" s="1"/>
  <c r="K5" i="55" s="1"/>
  <c r="E14" i="55" s="1"/>
  <c r="F14" i="55" s="1"/>
  <c r="G14" i="55" s="1"/>
  <c r="H14" i="55" s="1"/>
  <c r="I14" i="55" s="1"/>
  <c r="J14" i="55" s="1"/>
  <c r="K14" i="55" s="1"/>
  <c r="E23" i="55" s="1"/>
  <c r="F23" i="55" s="1"/>
  <c r="G23" i="55" s="1"/>
  <c r="H23" i="55" s="1"/>
  <c r="I23" i="55" s="1"/>
  <c r="J23" i="55" s="1"/>
  <c r="K23" i="55" s="1"/>
  <c r="E32" i="55" s="1"/>
  <c r="F32" i="55" s="1"/>
  <c r="G32" i="55" s="1"/>
  <c r="H32" i="55" s="1"/>
  <c r="I32" i="55" s="1"/>
  <c r="J32" i="55" s="1"/>
  <c r="K32" i="55" s="1"/>
  <c r="E41" i="55" s="1"/>
  <c r="F41" i="55" s="1"/>
  <c r="G41" i="55" s="1"/>
  <c r="H41" i="55" s="1"/>
  <c r="I41" i="55" s="1"/>
  <c r="J41" i="55" s="1"/>
  <c r="I24" i="56" l="1"/>
  <c r="J24" i="56" s="1"/>
  <c r="K24" i="56" s="1"/>
  <c r="E34" i="56" s="1"/>
  <c r="F34" i="56" s="1"/>
  <c r="G34" i="56" s="1"/>
  <c r="H34" i="56" s="1"/>
  <c r="I34" i="56" s="1"/>
  <c r="J34" i="56" s="1"/>
  <c r="K34" i="56" s="1"/>
  <c r="E44" i="56" s="1"/>
  <c r="F44" i="56" s="1"/>
  <c r="G44" i="56" s="1"/>
  <c r="H44" i="56" s="1"/>
  <c r="I44" i="56" s="1"/>
  <c r="J44" i="56" s="1"/>
  <c r="K44" i="56" s="1"/>
  <c r="F5" i="54" l="1"/>
  <c r="G5" i="54" s="1"/>
  <c r="H5" i="54" s="1"/>
  <c r="I5" i="54" s="1"/>
  <c r="J5" i="54" s="1"/>
  <c r="K5" i="54" s="1"/>
  <c r="E14" i="54" s="1"/>
  <c r="F14" i="54" l="1"/>
  <c r="G14" i="54" s="1"/>
  <c r="H14" i="54" s="1"/>
  <c r="I14" i="54" s="1"/>
  <c r="J14" i="54" s="1"/>
  <c r="K14" i="54" s="1"/>
  <c r="E23" i="54" s="1"/>
  <c r="F23" i="54" s="1"/>
  <c r="G23" i="54" s="1"/>
  <c r="H23" i="54" s="1"/>
  <c r="I23" i="54" s="1"/>
  <c r="J23" i="54" s="1"/>
  <c r="K23" i="54" s="1"/>
  <c r="E32" i="54" s="1"/>
  <c r="F32" i="54" s="1"/>
  <c r="G32" i="54" s="1"/>
  <c r="H32" i="54" s="1"/>
  <c r="I32" i="54" s="1"/>
  <c r="J32" i="54" s="1"/>
  <c r="K32" i="54" s="1"/>
  <c r="E41" i="54" s="1"/>
  <c r="F41" i="54" s="1"/>
  <c r="H5" i="53"/>
  <c r="I5" i="53" s="1"/>
  <c r="J5" i="53" s="1"/>
  <c r="K5" i="53" s="1"/>
  <c r="E15" i="53" s="1"/>
  <c r="F15" i="53" s="1"/>
  <c r="G15" i="53" s="1"/>
  <c r="K5" i="52"/>
  <c r="E14" i="52" s="1"/>
  <c r="F14" i="52" s="1"/>
  <c r="G14" i="52" s="1"/>
  <c r="H14" i="52" s="1"/>
  <c r="I14" i="52" s="1"/>
  <c r="J14" i="52" s="1"/>
  <c r="K14" i="52" s="1"/>
  <c r="E25" i="52" s="1"/>
  <c r="F25" i="52" s="1"/>
  <c r="G25" i="52" s="1"/>
  <c r="H25" i="52" s="1"/>
  <c r="I25" i="52" s="1"/>
  <c r="J25" i="52" s="1"/>
  <c r="K25" i="52" s="1"/>
  <c r="E36" i="52" s="1"/>
  <c r="F36" i="52" s="1"/>
  <c r="G36" i="52" s="1"/>
  <c r="H36" i="52" s="1"/>
  <c r="I36" i="52" s="1"/>
  <c r="J36" i="52" s="1"/>
  <c r="K36" i="52" s="1"/>
  <c r="E47" i="52" s="1"/>
  <c r="F47" i="52" s="1"/>
  <c r="G47" i="52" s="1"/>
  <c r="H47" i="52" s="1"/>
  <c r="I47" i="52" s="1"/>
  <c r="J47" i="52" s="1"/>
  <c r="K47" i="52" s="1"/>
  <c r="H5" i="51"/>
  <c r="I5" i="51" s="1"/>
  <c r="J5" i="51" s="1"/>
  <c r="K5" i="51" s="1"/>
  <c r="E14" i="51" s="1"/>
  <c r="F14" i="51" s="1"/>
  <c r="G14" i="51" s="1"/>
  <c r="H14" i="51" s="1"/>
  <c r="I14" i="51" s="1"/>
  <c r="J14" i="51" s="1"/>
  <c r="K14" i="51" s="1"/>
  <c r="E23" i="51" s="1"/>
  <c r="F23" i="51" s="1"/>
  <c r="G23" i="51" s="1"/>
  <c r="H23" i="51" s="1"/>
  <c r="I23" i="51" s="1"/>
  <c r="J23" i="51" s="1"/>
  <c r="K23" i="51" s="1"/>
  <c r="E32" i="51" s="1"/>
  <c r="F32" i="51" s="1"/>
  <c r="G32" i="51" s="1"/>
  <c r="H32" i="51" s="1"/>
  <c r="I32" i="51" s="1"/>
  <c r="J32" i="51" s="1"/>
  <c r="K32" i="51" s="1"/>
  <c r="E41" i="51" s="1"/>
  <c r="F41" i="51" s="1"/>
  <c r="G41" i="51" s="1"/>
  <c r="H41" i="51" s="1"/>
  <c r="I41" i="51" s="1"/>
  <c r="F5" i="50"/>
  <c r="G5" i="50" s="1"/>
  <c r="H5" i="50" s="1"/>
  <c r="I5" i="50" s="1"/>
  <c r="J5" i="50" s="1"/>
  <c r="K5" i="50" s="1"/>
  <c r="E14" i="50" s="1"/>
  <c r="F14" i="50" s="1"/>
  <c r="G14" i="50" s="1"/>
  <c r="H14" i="50" s="1"/>
  <c r="I14" i="50" s="1"/>
  <c r="J14" i="50" s="1"/>
  <c r="K14" i="50" s="1"/>
  <c r="E23" i="50" s="1"/>
  <c r="F23" i="50" s="1"/>
  <c r="G23" i="50" s="1"/>
  <c r="H23" i="50" s="1"/>
  <c r="I23" i="50" s="1"/>
  <c r="J23" i="50" s="1"/>
  <c r="K23" i="50" s="1"/>
  <c r="E32" i="50" s="1"/>
  <c r="F32" i="50" s="1"/>
  <c r="G32" i="50" s="1"/>
  <c r="H32" i="50" s="1"/>
  <c r="I32" i="50" s="1"/>
  <c r="J32" i="50" s="1"/>
  <c r="K32" i="50" s="1"/>
  <c r="E41" i="50" s="1"/>
  <c r="F41" i="50" s="1"/>
  <c r="J5" i="49"/>
  <c r="K5" i="49" s="1"/>
  <c r="E14" i="49" s="1"/>
  <c r="F14" i="49" s="1"/>
  <c r="G14" i="49" s="1"/>
  <c r="H14" i="49" s="1"/>
  <c r="I14" i="49" s="1"/>
  <c r="J14" i="49" s="1"/>
  <c r="K14" i="49" s="1"/>
  <c r="E23" i="49" s="1"/>
  <c r="F23" i="49" s="1"/>
  <c r="G23" i="49" s="1"/>
  <c r="H23" i="49" s="1"/>
  <c r="I23" i="49" s="1"/>
  <c r="J23" i="49" s="1"/>
  <c r="K23" i="49" s="1"/>
  <c r="E32" i="49" s="1"/>
  <c r="F32" i="49" s="1"/>
  <c r="H15" i="53" l="1"/>
  <c r="I15" i="53" s="1"/>
  <c r="J15" i="53" s="1"/>
  <c r="K15" i="53" s="1"/>
  <c r="E25" i="53" s="1"/>
  <c r="F25" i="53" s="1"/>
  <c r="G25" i="53" s="1"/>
  <c r="H25" i="53" s="1"/>
  <c r="I25" i="53" s="1"/>
  <c r="J25" i="53" s="1"/>
  <c r="K25" i="53" s="1"/>
  <c r="E35" i="53" s="1"/>
  <c r="F35" i="53" s="1"/>
  <c r="G35" i="53" s="1"/>
  <c r="H35" i="53" s="1"/>
  <c r="I35" i="53" s="1"/>
  <c r="J35" i="53" s="1"/>
  <c r="K35" i="53" s="1"/>
  <c r="E45" i="53" s="1"/>
  <c r="F45" i="53" s="1"/>
  <c r="G45" i="53" s="1"/>
  <c r="G32" i="49"/>
  <c r="H32" i="49" s="1"/>
  <c r="G5" i="47"/>
  <c r="H5" i="47" s="1"/>
  <c r="I5" i="47" s="1"/>
  <c r="J5" i="47" s="1"/>
  <c r="K5" i="47" s="1"/>
  <c r="E14" i="47" s="1"/>
  <c r="F14" i="47" s="1"/>
  <c r="G14" i="47" s="1"/>
  <c r="H14" i="47" s="1"/>
  <c r="I14" i="47" s="1"/>
  <c r="J14" i="47" s="1"/>
  <c r="K14" i="47" s="1"/>
  <c r="E23" i="47" s="1"/>
  <c r="F23" i="47" s="1"/>
  <c r="G23" i="47" s="1"/>
  <c r="H23" i="47" s="1"/>
  <c r="I23" i="47" s="1"/>
  <c r="J23" i="47" s="1"/>
  <c r="K23" i="47" s="1"/>
  <c r="E32" i="47" s="1"/>
  <c r="F32" i="47" s="1"/>
  <c r="G32" i="47" s="1"/>
  <c r="H32" i="47" s="1"/>
  <c r="I32" i="47" s="1"/>
  <c r="J32" i="47" s="1"/>
  <c r="K32" i="47" s="1"/>
  <c r="E41" i="47" s="1"/>
  <c r="F41" i="47" s="1"/>
  <c r="G41" i="47" s="1"/>
  <c r="H41" i="47" s="1"/>
  <c r="I32" i="49" l="1"/>
  <c r="J32" i="49" s="1"/>
  <c r="K32" i="49" s="1"/>
  <c r="E41" i="49" s="1"/>
  <c r="F41" i="49" s="1"/>
  <c r="G41" i="49" s="1"/>
  <c r="H41" i="49" s="1"/>
  <c r="I41" i="49" s="1"/>
  <c r="J41" i="49" s="1"/>
  <c r="K41" i="49" s="1"/>
  <c r="E14" i="46"/>
  <c r="F14" i="46" s="1"/>
  <c r="G14" i="46" s="1"/>
  <c r="H14" i="46" s="1"/>
  <c r="I14" i="46" s="1"/>
  <c r="J14" i="46" s="1"/>
  <c r="K14" i="46" s="1"/>
  <c r="E23" i="46" s="1"/>
  <c r="F23" i="46" s="1"/>
  <c r="G23" i="46" s="1"/>
  <c r="H23" i="46" s="1"/>
  <c r="I23" i="46" s="1"/>
  <c r="J23" i="46" s="1"/>
  <c r="K23" i="46" s="1"/>
  <c r="E32" i="46" s="1"/>
  <c r="F32" i="46" s="1"/>
  <c r="G32" i="46" s="1"/>
  <c r="H32" i="46" s="1"/>
  <c r="I32" i="46" s="1"/>
  <c r="J32" i="46" s="1"/>
  <c r="K32" i="46" s="1"/>
  <c r="E41" i="46" s="1"/>
  <c r="F41" i="46" s="1"/>
  <c r="G41" i="46" s="1"/>
  <c r="H41" i="46" s="1"/>
  <c r="I41" i="46" s="1"/>
  <c r="J41" i="46" s="1"/>
  <c r="E14" i="45" l="1"/>
  <c r="F14" i="45" s="1"/>
  <c r="G14" i="45" s="1"/>
  <c r="H14" i="45" s="1"/>
  <c r="I14" i="45" s="1"/>
  <c r="J14" i="45" s="1"/>
  <c r="K14" i="45" s="1"/>
  <c r="E23" i="45" s="1"/>
  <c r="F23" i="45" s="1"/>
  <c r="G23" i="45" s="1"/>
  <c r="H23" i="45" s="1"/>
  <c r="I23" i="45" s="1"/>
  <c r="J23" i="45" s="1"/>
  <c r="K23" i="45" s="1"/>
  <c r="E32" i="45" s="1"/>
  <c r="F32" i="45" s="1"/>
  <c r="G32" i="45" s="1"/>
  <c r="H32" i="45" s="1"/>
  <c r="I32" i="45" s="1"/>
  <c r="J32" i="45" s="1"/>
  <c r="K32" i="45" s="1"/>
  <c r="E41" i="45" s="1"/>
  <c r="F41" i="45" s="1"/>
  <c r="G41" i="45" s="1"/>
  <c r="H41" i="45" s="1"/>
  <c r="I41" i="45" s="1"/>
  <c r="J41" i="45" s="1"/>
  <c r="E14" i="44" l="1"/>
  <c r="F14" i="44" s="1"/>
  <c r="G14" i="44" s="1"/>
  <c r="H14" i="44" s="1"/>
  <c r="I14" i="44" s="1"/>
  <c r="J14" i="44" s="1"/>
  <c r="K14" i="44" s="1"/>
  <c r="E23" i="44" s="1"/>
  <c r="F23" i="44" s="1"/>
  <c r="G23" i="44" s="1"/>
  <c r="H23" i="44" s="1"/>
  <c r="I23" i="44" s="1"/>
  <c r="J23" i="44" s="1"/>
  <c r="K23" i="44" s="1"/>
  <c r="E32" i="44" s="1"/>
  <c r="F32" i="44" s="1"/>
  <c r="G32" i="44" s="1"/>
  <c r="H32" i="44" s="1"/>
  <c r="I32" i="44" s="1"/>
  <c r="J32" i="44" s="1"/>
  <c r="K32" i="44" s="1"/>
  <c r="E41" i="44" s="1"/>
  <c r="F41" i="44" s="1"/>
  <c r="G41" i="44" s="1"/>
  <c r="E14" i="43"/>
  <c r="F14" i="43" s="1"/>
  <c r="G14" i="43" s="1"/>
  <c r="H14" i="43" s="1"/>
  <c r="I14" i="43" s="1"/>
  <c r="J14" i="43" s="1"/>
  <c r="K14" i="43" s="1"/>
  <c r="E23" i="43" s="1"/>
  <c r="F23" i="43" s="1"/>
  <c r="G23" i="43" s="1"/>
  <c r="H23" i="43" s="1"/>
  <c r="I23" i="43" s="1"/>
  <c r="J23" i="43" s="1"/>
  <c r="K23" i="43" s="1"/>
  <c r="E32" i="43" s="1"/>
  <c r="F32" i="43" s="1"/>
  <c r="G32" i="43" s="1"/>
  <c r="H32" i="43" s="1"/>
  <c r="I32" i="43" s="1"/>
  <c r="J32" i="43" s="1"/>
  <c r="K32" i="43" s="1"/>
  <c r="E41" i="43" s="1"/>
  <c r="F41" i="43" s="1"/>
  <c r="G41" i="43" s="1"/>
  <c r="H41" i="43" s="1"/>
  <c r="I41" i="43" s="1"/>
  <c r="J41" i="43" s="1"/>
  <c r="K41" i="43" s="1"/>
  <c r="E14" i="42"/>
  <c r="F14" i="42" s="1"/>
  <c r="G14" i="42" s="1"/>
  <c r="H14" i="42" s="1"/>
  <c r="I14" i="42" s="1"/>
  <c r="J14" i="42" s="1"/>
  <c r="K14" i="42" s="1"/>
  <c r="E23" i="42" s="1"/>
  <c r="F23" i="42" s="1"/>
  <c r="G23" i="42" s="1"/>
  <c r="H23" i="42" s="1"/>
  <c r="I23" i="42" s="1"/>
  <c r="J23" i="42" s="1"/>
  <c r="K23" i="42" s="1"/>
  <c r="E32" i="42" s="1"/>
  <c r="F32" i="42" s="1"/>
  <c r="G32" i="42" s="1"/>
  <c r="H32" i="42" s="1"/>
  <c r="I32" i="42" s="1"/>
  <c r="J32" i="42" s="1"/>
  <c r="K32" i="42" s="1"/>
  <c r="E41" i="42" s="1"/>
  <c r="F41" i="42" s="1"/>
  <c r="G41" i="42" s="1"/>
  <c r="H41" i="42" s="1"/>
  <c r="I41" i="42" s="1"/>
  <c r="I9" i="27" l="1"/>
  <c r="H9" i="27"/>
  <c r="G9" i="27"/>
  <c r="F9" i="27"/>
  <c r="E9" i="27"/>
  <c r="J8" i="27"/>
  <c r="J7" i="27"/>
  <c r="J6" i="27"/>
  <c r="J5" i="27"/>
  <c r="J4" i="27"/>
  <c r="F24" i="27"/>
  <c r="G24" i="27"/>
  <c r="E24" i="27"/>
  <c r="H22" i="27"/>
  <c r="H23" i="27"/>
  <c r="H21" i="27"/>
  <c r="I18" i="27"/>
  <c r="H18" i="27"/>
  <c r="G18" i="27"/>
  <c r="F18" i="27"/>
  <c r="E18" i="27"/>
  <c r="J14" i="27"/>
  <c r="J15" i="27"/>
  <c r="J16" i="27"/>
  <c r="J17" i="27"/>
  <c r="J13" i="27"/>
  <c r="J55" i="25"/>
  <c r="J52" i="24"/>
  <c r="J44" i="23"/>
  <c r="J44" i="22"/>
  <c r="I44" i="21"/>
  <c r="I55" i="25"/>
  <c r="I52" i="24"/>
  <c r="I44" i="23"/>
  <c r="I44" i="22"/>
  <c r="H44" i="21"/>
  <c r="G43" i="20"/>
  <c r="H45" i="19"/>
  <c r="G45" i="19"/>
  <c r="H40" i="18"/>
  <c r="G40" i="18"/>
  <c r="H43" i="17"/>
  <c r="G43" i="17"/>
  <c r="O7" i="26"/>
  <c r="N7" i="26"/>
  <c r="N8" i="26"/>
  <c r="D9" i="26"/>
  <c r="E9" i="26"/>
  <c r="F9" i="26"/>
  <c r="G9" i="26"/>
  <c r="H9" i="26"/>
  <c r="I9" i="26"/>
  <c r="J9" i="26"/>
  <c r="K9" i="26"/>
  <c r="L9" i="26"/>
  <c r="M9" i="26"/>
  <c r="C9" i="26"/>
  <c r="H43" i="16"/>
  <c r="G43" i="16"/>
  <c r="G42" i="15"/>
  <c r="F42" i="15"/>
  <c r="E15" i="21"/>
  <c r="F15" i="21" s="1"/>
  <c r="G15" i="21" s="1"/>
  <c r="H15" i="21" s="1"/>
  <c r="I15" i="21" s="1"/>
  <c r="J15" i="21" s="1"/>
  <c r="K15" i="21" s="1"/>
  <c r="E20" i="21" s="1"/>
  <c r="F20" i="21" s="1"/>
  <c r="G20" i="21" s="1"/>
  <c r="H20" i="21" s="1"/>
  <c r="I20" i="21" s="1"/>
  <c r="J20" i="21" s="1"/>
  <c r="K20" i="21" s="1"/>
  <c r="E25" i="21" s="1"/>
  <c r="F25" i="21" s="1"/>
  <c r="G25" i="21" s="1"/>
  <c r="H25" i="21" s="1"/>
  <c r="I25" i="21" s="1"/>
  <c r="E15" i="22"/>
  <c r="F15" i="22" s="1"/>
  <c r="G15" i="22" s="1"/>
  <c r="H15" i="22" s="1"/>
  <c r="I15" i="22" s="1"/>
  <c r="J15" i="22" s="1"/>
  <c r="K15" i="22" s="1"/>
  <c r="E20" i="22" s="1"/>
  <c r="F20" i="22" s="1"/>
  <c r="G20" i="22" s="1"/>
  <c r="H20" i="22" s="1"/>
  <c r="I20" i="22" s="1"/>
  <c r="J20" i="22" s="1"/>
  <c r="K20" i="22" s="1"/>
  <c r="E25" i="22" s="1"/>
  <c r="F25" i="22" s="1"/>
  <c r="G25" i="22" s="1"/>
  <c r="H25" i="22" s="1"/>
  <c r="I25" i="22" s="1"/>
  <c r="J25" i="22" s="1"/>
  <c r="K25" i="22" s="1"/>
  <c r="O8" i="26"/>
  <c r="O5" i="26"/>
  <c r="O6" i="26"/>
  <c r="O4" i="26"/>
  <c r="N6" i="26"/>
  <c r="N5" i="26"/>
  <c r="N4" i="26"/>
  <c r="B9" i="26"/>
  <c r="E19" i="25"/>
  <c r="F19" i="25" s="1"/>
  <c r="G19" i="25" s="1"/>
  <c r="H19" i="25" s="1"/>
  <c r="I19" i="25" s="1"/>
  <c r="J19" i="25" s="1"/>
  <c r="K19" i="25" s="1"/>
  <c r="E26" i="25" s="1"/>
  <c r="F26" i="25" s="1"/>
  <c r="G26" i="25" s="1"/>
  <c r="H26" i="25" s="1"/>
  <c r="I26" i="25" s="1"/>
  <c r="J26" i="25" s="1"/>
  <c r="K26" i="25" s="1"/>
  <c r="E33" i="25" s="1"/>
  <c r="F33" i="25" s="1"/>
  <c r="G33" i="25" s="1"/>
  <c r="H33" i="25" s="1"/>
  <c r="I33" i="25" s="1"/>
  <c r="J33" i="25" s="1"/>
  <c r="K33" i="25" s="1"/>
  <c r="E12" i="25"/>
  <c r="E19" i="24"/>
  <c r="F19" i="24" s="1"/>
  <c r="G19" i="24" s="1"/>
  <c r="H19" i="24" s="1"/>
  <c r="I19" i="24" s="1"/>
  <c r="J19" i="24" s="1"/>
  <c r="K19" i="24" s="1"/>
  <c r="E26" i="24" s="1"/>
  <c r="F26" i="24" s="1"/>
  <c r="G26" i="24" s="1"/>
  <c r="H26" i="24" s="1"/>
  <c r="I26" i="24" s="1"/>
  <c r="J26" i="24" s="1"/>
  <c r="K26" i="24" s="1"/>
  <c r="E33" i="24" s="1"/>
  <c r="F33" i="24" s="1"/>
  <c r="G33" i="24" s="1"/>
  <c r="H33" i="24" s="1"/>
  <c r="I33" i="24" s="1"/>
  <c r="E12" i="24"/>
  <c r="E15" i="23"/>
  <c r="F15" i="23" s="1"/>
  <c r="G15" i="23" s="1"/>
  <c r="H15" i="23" s="1"/>
  <c r="I15" i="23" s="1"/>
  <c r="J15" i="23" s="1"/>
  <c r="K15" i="23" s="1"/>
  <c r="E20" i="23" s="1"/>
  <c r="F20" i="23" s="1"/>
  <c r="G20" i="23" s="1"/>
  <c r="H20" i="23" s="1"/>
  <c r="I20" i="23" s="1"/>
  <c r="J20" i="23" s="1"/>
  <c r="K20" i="23" s="1"/>
  <c r="E25" i="23" s="1"/>
  <c r="F25" i="23" s="1"/>
  <c r="G25" i="23" s="1"/>
  <c r="E10" i="23"/>
  <c r="E10" i="22"/>
  <c r="E10" i="21"/>
  <c r="E15" i="20"/>
  <c r="F15" i="20" s="1"/>
  <c r="G15" i="20" s="1"/>
  <c r="H15" i="20" s="1"/>
  <c r="I15" i="20" s="1"/>
  <c r="J15" i="20" s="1"/>
  <c r="K15" i="20" s="1"/>
  <c r="E20" i="20" s="1"/>
  <c r="F20" i="20" s="1"/>
  <c r="G20" i="20" s="1"/>
  <c r="H20" i="20" s="1"/>
  <c r="I20" i="20" s="1"/>
  <c r="J20" i="20" s="1"/>
  <c r="K20" i="20" s="1"/>
  <c r="E25" i="20" s="1"/>
  <c r="F25" i="20" s="1"/>
  <c r="G25" i="20" s="1"/>
  <c r="H25" i="20" s="1"/>
  <c r="I25" i="20" s="1"/>
  <c r="J25" i="20" s="1"/>
  <c r="K25" i="20" s="1"/>
  <c r="E10" i="20"/>
  <c r="E15" i="19"/>
  <c r="F15" i="19" s="1"/>
  <c r="G15" i="19" s="1"/>
  <c r="H15" i="19" s="1"/>
  <c r="I15" i="19" s="1"/>
  <c r="J15" i="19" s="1"/>
  <c r="K15" i="19" s="1"/>
  <c r="E20" i="19" s="1"/>
  <c r="F20" i="19" s="1"/>
  <c r="G20" i="19" s="1"/>
  <c r="H20" i="19" s="1"/>
  <c r="I20" i="19" s="1"/>
  <c r="J20" i="19" s="1"/>
  <c r="K20" i="19" s="1"/>
  <c r="E25" i="19" s="1"/>
  <c r="F25" i="19" s="1"/>
  <c r="G25" i="19" s="1"/>
  <c r="H25" i="19" s="1"/>
  <c r="I25" i="19" s="1"/>
  <c r="J25" i="19" s="1"/>
  <c r="E10" i="19"/>
  <c r="E10" i="18"/>
  <c r="F10" i="18" s="1"/>
  <c r="G10" i="18" s="1"/>
  <c r="H10" i="18" s="1"/>
  <c r="I10" i="18" s="1"/>
  <c r="J10" i="18" s="1"/>
  <c r="K10" i="18" s="1"/>
  <c r="E15" i="18" s="1"/>
  <c r="F15" i="18" s="1"/>
  <c r="G15" i="18" s="1"/>
  <c r="H15" i="18" s="1"/>
  <c r="I15" i="18" s="1"/>
  <c r="J15" i="18" s="1"/>
  <c r="K15" i="18" s="1"/>
  <c r="E20" i="18" s="1"/>
  <c r="F20" i="18" s="1"/>
  <c r="G20" i="18" s="1"/>
  <c r="H20" i="18" s="1"/>
  <c r="I20" i="18" s="1"/>
  <c r="E25" i="18"/>
  <c r="F25" i="18" s="1"/>
  <c r="G25" i="18" s="1"/>
  <c r="H25" i="18" s="1"/>
  <c r="E10" i="17"/>
  <c r="F10" i="17" s="1"/>
  <c r="G10" i="17" s="1"/>
  <c r="H10" i="17" s="1"/>
  <c r="I10" i="17" s="1"/>
  <c r="J10" i="17" s="1"/>
  <c r="K10" i="17" s="1"/>
  <c r="E15" i="17" s="1"/>
  <c r="F15" i="17" s="1"/>
  <c r="G15" i="17" s="1"/>
  <c r="H15" i="17" s="1"/>
  <c r="I15" i="17" s="1"/>
  <c r="J15" i="17" s="1"/>
  <c r="K15" i="17" s="1"/>
  <c r="E20" i="17" s="1"/>
  <c r="F20" i="17" s="1"/>
  <c r="G20" i="17" s="1"/>
  <c r="H20" i="17" s="1"/>
  <c r="I20" i="17" s="1"/>
  <c r="J20" i="17" s="1"/>
  <c r="K20" i="17" s="1"/>
  <c r="E25" i="17" s="1"/>
  <c r="F25" i="17" s="1"/>
  <c r="G25" i="17" s="1"/>
  <c r="H25" i="17" s="1"/>
  <c r="I25" i="17" s="1"/>
  <c r="J25" i="17" s="1"/>
  <c r="K25" i="17" s="1"/>
  <c r="E10" i="16"/>
  <c r="F10" i="16" s="1"/>
  <c r="G10" i="16" s="1"/>
  <c r="H10" i="16" s="1"/>
  <c r="I10" i="16" s="1"/>
  <c r="J10" i="16" s="1"/>
  <c r="K10" i="16" s="1"/>
  <c r="E15" i="16" s="1"/>
  <c r="F15" i="16" s="1"/>
  <c r="G15" i="16" s="1"/>
  <c r="H15" i="16" s="1"/>
  <c r="I15" i="16" s="1"/>
  <c r="J15" i="16" s="1"/>
  <c r="K15" i="16" s="1"/>
  <c r="E20" i="16" s="1"/>
  <c r="F20" i="16" s="1"/>
  <c r="G20" i="16" s="1"/>
  <c r="H20" i="16" s="1"/>
  <c r="I20" i="16" s="1"/>
  <c r="J20" i="16" s="1"/>
  <c r="K20" i="16" s="1"/>
  <c r="E25" i="16" s="1"/>
  <c r="F25" i="16" s="1"/>
  <c r="G25" i="16" s="1"/>
  <c r="H25" i="16" s="1"/>
  <c r="I25" i="16" s="1"/>
  <c r="J25" i="16" s="1"/>
  <c r="E10" i="15"/>
  <c r="F10" i="15" s="1"/>
  <c r="G10" i="15" s="1"/>
  <c r="H10" i="15" s="1"/>
  <c r="I10" i="15" s="1"/>
  <c r="J10" i="15" s="1"/>
  <c r="K10" i="15" s="1"/>
  <c r="E15" i="15" s="1"/>
  <c r="F15" i="15" s="1"/>
  <c r="G15" i="15" s="1"/>
  <c r="H15" i="15" s="1"/>
  <c r="I15" i="15" s="1"/>
  <c r="J15" i="15" s="1"/>
  <c r="K15" i="15" s="1"/>
  <c r="E20" i="15" s="1"/>
  <c r="F20" i="15" s="1"/>
  <c r="G20" i="15" s="1"/>
  <c r="H20" i="15" s="1"/>
  <c r="I20" i="15" s="1"/>
  <c r="J20" i="15" s="1"/>
  <c r="K20" i="15" s="1"/>
  <c r="E25" i="15" s="1"/>
  <c r="F25" i="15" s="1"/>
  <c r="G25" i="15" s="1"/>
  <c r="F29" i="14"/>
  <c r="F10" i="14"/>
  <c r="G10" i="14" s="1"/>
  <c r="H10" i="14" s="1"/>
  <c r="I10" i="14" s="1"/>
  <c r="J10" i="14" s="1"/>
  <c r="K10" i="14" s="1"/>
  <c r="E15" i="14" s="1"/>
  <c r="F15" i="14" s="1"/>
  <c r="G15" i="14" s="1"/>
  <c r="H15" i="14" s="1"/>
  <c r="I15" i="14" s="1"/>
  <c r="J15" i="14" s="1"/>
  <c r="K15" i="14" s="1"/>
  <c r="E20" i="14" s="1"/>
  <c r="F20" i="14" s="1"/>
  <c r="G20" i="14" s="1"/>
  <c r="H20" i="14" s="1"/>
  <c r="I20" i="14" s="1"/>
  <c r="J20" i="14" s="1"/>
  <c r="K20" i="14" s="1"/>
  <c r="E25" i="14" s="1"/>
  <c r="F25" i="14" s="1"/>
  <c r="G25" i="14" s="1"/>
  <c r="H25" i="14" s="1"/>
  <c r="I25" i="14" s="1"/>
  <c r="J25" i="14" s="1"/>
  <c r="K25" i="14" s="1"/>
  <c r="H24" i="27" l="1"/>
  <c r="N9" i="26"/>
  <c r="J18" i="27"/>
  <c r="O9" i="26"/>
  <c r="J9" i="27"/>
</calcChain>
</file>

<file path=xl/comments1.xml><?xml version="1.0" encoding="utf-8"?>
<comments xmlns="http://schemas.openxmlformats.org/spreadsheetml/2006/main">
  <authors>
    <author>W7PRO_X64</author>
  </authors>
  <commentList>
    <comment ref="F15" authorId="0" shapeId="0">
      <text>
        <r>
          <rPr>
            <b/>
            <sz val="9"/>
            <color indexed="81"/>
            <rFont val="Tahoma"/>
            <family val="2"/>
          </rPr>
          <t>SHT 3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2.xml><?xml version="1.0" encoding="utf-8"?>
<comments xmlns="http://schemas.openxmlformats.org/spreadsheetml/2006/main">
  <authors>
    <author>W7PRO_X64</author>
  </authors>
  <commentList>
    <comment ref="G42" authorId="0" shapeId="0">
      <text>
        <r>
          <rPr>
            <b/>
            <sz val="9"/>
            <color indexed="81"/>
            <rFont val="돋움"/>
            <family val="3"/>
            <charset val="129"/>
          </rPr>
          <t>기초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물량이었으나</t>
        </r>
        <r>
          <rPr>
            <b/>
            <sz val="9"/>
            <color indexed="81"/>
            <rFont val="Tahoma"/>
            <family val="2"/>
          </rPr>
          <t>, X20045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9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I42" authorId="0" shapeId="0">
      <text>
        <r>
          <rPr>
            <b/>
            <sz val="9"/>
            <color indexed="81"/>
            <rFont val="돋움"/>
            <family val="3"/>
            <charset val="129"/>
          </rPr>
          <t>기초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물량이었으나</t>
        </r>
        <r>
          <rPr>
            <b/>
            <sz val="9"/>
            <color indexed="81"/>
            <rFont val="Tahoma"/>
            <family val="2"/>
          </rPr>
          <t>, X20046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9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comments3.xml><?xml version="1.0" encoding="utf-8"?>
<comments xmlns="http://schemas.openxmlformats.org/spreadsheetml/2006/main">
  <authors>
    <author>W7PRO_X64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미착수분</t>
        </r>
        <r>
          <rPr>
            <b/>
            <sz val="9"/>
            <color indexed="81"/>
            <rFont val="Tahoma"/>
            <family val="2"/>
          </rPr>
          <t xml:space="preserve"> 9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착수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</rPr>
          <t xml:space="preserve">IMA </t>
        </r>
        <r>
          <rPr>
            <b/>
            <sz val="9"/>
            <color indexed="81"/>
            <rFont val="돋움"/>
            <family val="3"/>
            <charset val="129"/>
          </rPr>
          <t>동결건조기의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트러블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미착수</t>
        </r>
      </text>
    </comment>
  </commentList>
</comments>
</file>

<file path=xl/comments4.xml><?xml version="1.0" encoding="utf-8"?>
<comments xmlns="http://schemas.openxmlformats.org/spreadsheetml/2006/main">
  <authors>
    <author>박수창</author>
  </authors>
  <commentList>
    <comment ref="F19" authorId="0" shapeId="0">
      <text>
        <r>
          <rPr>
            <b/>
            <sz val="9"/>
            <color indexed="81"/>
            <rFont val="Tahoma"/>
            <family val="2"/>
          </rPr>
          <t>9/30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</commentList>
</comments>
</file>

<file path=xl/comments5.xml><?xml version="1.0" encoding="utf-8"?>
<comments xmlns="http://schemas.openxmlformats.org/spreadsheetml/2006/main">
  <authors>
    <author>W7PRO_X64</author>
  </authors>
  <commentList>
    <comment ref="I11" authorId="0" shapeId="0">
      <text>
        <r>
          <rPr>
            <b/>
            <sz val="9"/>
            <color indexed="81"/>
            <rFont val="Tahoma"/>
            <family val="2"/>
          </rPr>
          <t xml:space="preserve">10EA CASE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</text>
    </comment>
    <comment ref="H15" authorId="0" shapeId="0">
      <text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안함</t>
        </r>
      </text>
    </comment>
    <comment ref="F25" authorId="0" shapeId="0">
      <text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공백으로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I38" authorId="0" shapeId="0">
      <text>
        <r>
          <rPr>
            <b/>
            <sz val="9"/>
            <color indexed="81"/>
            <rFont val="돋움"/>
            <family val="3"/>
            <charset val="129"/>
          </rPr>
          <t>이물검사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G47" authorId="0" shapeId="0">
      <text>
        <r>
          <rPr>
            <b/>
            <sz val="9"/>
            <color indexed="81"/>
            <rFont val="돋움"/>
            <family val="3"/>
            <charset val="129"/>
          </rPr>
          <t>이물검사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부족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휴가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(X20100)</t>
        </r>
      </text>
    </comment>
    <comment ref="H47" authorId="0" shapeId="0">
      <text>
        <r>
          <rPr>
            <b/>
            <sz val="9"/>
            <color indexed="81"/>
            <rFont val="돋움"/>
            <family val="3"/>
            <charset val="129"/>
          </rPr>
          <t>국내용</t>
        </r>
        <r>
          <rPr>
            <b/>
            <sz val="9"/>
            <color indexed="81"/>
            <rFont val="Tahoma"/>
            <family val="2"/>
          </rPr>
          <t xml:space="preserve"> 200U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이물검사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변경함</t>
        </r>
        <r>
          <rPr>
            <b/>
            <sz val="9"/>
            <color indexed="81"/>
            <rFont val="Tahoma"/>
            <family val="2"/>
          </rPr>
          <t>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주차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>
  <authors>
    <author>W7PRO_X64</author>
  </authors>
  <commentList>
    <comment ref="H20" authorId="0" shapeId="0">
      <text>
        <r>
          <rPr>
            <b/>
            <sz val="11"/>
            <color indexed="81"/>
            <rFont val="돋움"/>
            <family val="3"/>
            <charset val="129"/>
          </rPr>
          <t>이물검사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일정에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따라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뒤로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변경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필요</t>
        </r>
      </text>
    </comment>
    <comment ref="I38" authorId="0" shapeId="0">
      <text>
        <r>
          <rPr>
            <b/>
            <sz val="9"/>
            <color indexed="81"/>
            <rFont val="Tahoma"/>
            <family val="2"/>
          </rPr>
          <t xml:space="preserve">ITC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 xml:space="preserve">ITC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</text>
    </comment>
  </commentList>
</comments>
</file>

<file path=xl/comments7.xml><?xml version="1.0" encoding="utf-8"?>
<comments xmlns="http://schemas.openxmlformats.org/spreadsheetml/2006/main">
  <authors>
    <author>W7PRO_X64</author>
  </authors>
  <commentList>
    <comment ref="F37" authorId="0" shapeId="0">
      <text>
        <r>
          <rPr>
            <b/>
            <sz val="9"/>
            <color indexed="81"/>
            <rFont val="Tahoma"/>
            <family val="2"/>
          </rPr>
          <t>20002096(</t>
        </r>
        <r>
          <rPr>
            <b/>
            <sz val="9"/>
            <color indexed="81"/>
            <rFont val="돋움"/>
            <family val="3"/>
            <charset val="129"/>
          </rPr>
          <t>오더번호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37" authorId="0" shapeId="0">
      <text>
        <r>
          <rPr>
            <b/>
            <sz val="9"/>
            <color indexed="81"/>
            <rFont val="Tahoma"/>
            <family val="2"/>
          </rPr>
          <t xml:space="preserve">X21019 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칭량하였으나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원인파악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F38" authorId="0" shapeId="0">
      <text>
        <r>
          <rPr>
            <b/>
            <sz val="9"/>
            <color indexed="81"/>
            <rFont val="Tahoma"/>
            <family val="2"/>
          </rPr>
          <t xml:space="preserve">X21008 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완료하였으나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원인파악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I38" authorId="0" shapeId="0">
      <text>
        <r>
          <rPr>
            <b/>
            <sz val="9"/>
            <color indexed="81"/>
            <rFont val="Tahoma"/>
            <family val="2"/>
          </rPr>
          <t xml:space="preserve">X21019 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칭량하였으나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원인파악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F46" authorId="0" shapeId="0">
      <text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원인파악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미착수
</t>
        </r>
      </text>
    </comment>
  </commentList>
</comments>
</file>

<file path=xl/comments8.xml><?xml version="1.0" encoding="utf-8"?>
<comments xmlns="http://schemas.openxmlformats.org/spreadsheetml/2006/main">
  <authors>
    <author>W7PRO_X64</author>
  </authors>
  <commentList>
    <comment ref="F38" authorId="0" shapeId="0">
      <text>
        <r>
          <rPr>
            <b/>
            <sz val="9"/>
            <color indexed="81"/>
            <rFont val="Tahoma"/>
            <family val="2"/>
          </rPr>
          <t xml:space="preserve">X21025 </t>
        </r>
        <r>
          <rPr>
            <b/>
            <sz val="9"/>
            <color indexed="81"/>
            <rFont val="돋움"/>
            <family val="3"/>
            <charset val="129"/>
          </rPr>
          <t>필터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Cancel </t>
        </r>
        <r>
          <rPr>
            <b/>
            <sz val="9"/>
            <color indexed="81"/>
            <rFont val="돋움"/>
            <family val="3"/>
            <charset val="129"/>
          </rPr>
          <t>결과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홀딩</t>
        </r>
      </text>
    </comment>
  </commentList>
</comments>
</file>

<file path=xl/comments9.xml><?xml version="1.0" encoding="utf-8"?>
<comments xmlns="http://schemas.openxmlformats.org/spreadsheetml/2006/main">
  <authors>
    <author>W7PRO_X64</author>
  </authors>
  <commentList>
    <comment ref="F29" authorId="0" shapeId="0">
      <text>
        <r>
          <rPr>
            <b/>
            <sz val="9"/>
            <color indexed="81"/>
            <rFont val="돋움"/>
            <family val="3"/>
            <charset val="129"/>
          </rPr>
          <t>포장중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</text>
    </comment>
  </commentList>
</comments>
</file>

<file path=xl/comments10.xml><?xml version="1.0" encoding="utf-8"?>
<comments xmlns="http://schemas.openxmlformats.org/spreadsheetml/2006/main">
  <authors>
    <author>W7PRO_X64</author>
  </authors>
  <commentList>
    <comment ref="G34" authorId="0" shapeId="0">
      <text>
        <r>
          <rPr>
            <b/>
            <sz val="9"/>
            <color indexed="81"/>
            <rFont val="돋움"/>
            <family val="3"/>
            <charset val="129"/>
          </rPr>
          <t>규제 기관 제출을 위한 포장 진행</t>
        </r>
      </text>
    </comment>
    <comment ref="I34" authorId="0" shapeId="0">
      <text>
        <r>
          <rPr>
            <b/>
            <sz val="9"/>
            <color indexed="81"/>
            <rFont val="돋움"/>
            <family val="3"/>
            <charset val="129"/>
          </rPr>
          <t>역가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11.xml><?xml version="1.0" encoding="utf-8"?>
<comments xmlns="http://schemas.openxmlformats.org/spreadsheetml/2006/main">
  <authors>
    <author>W7PRO_X64</author>
  </authors>
  <commentList>
    <comment ref="G34" authorId="0" shapeId="0">
      <text>
        <r>
          <rPr>
            <b/>
            <sz val="9"/>
            <color indexed="81"/>
            <rFont val="돋움"/>
            <family val="3"/>
            <charset val="129"/>
          </rPr>
          <t>규제 기관 제출을 위한 포장 진행</t>
        </r>
      </text>
    </comment>
    <comment ref="F43" authorId="0" shapeId="0">
      <text>
        <r>
          <rPr>
            <b/>
            <sz val="9"/>
            <color indexed="81"/>
            <rFont val="돋움"/>
            <family val="3"/>
            <charset val="129"/>
          </rPr>
          <t>역가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12.xml><?xml version="1.0" encoding="utf-8"?>
<comments xmlns="http://schemas.openxmlformats.org/spreadsheetml/2006/main">
  <authors>
    <author>W7PRO_X64</author>
  </authors>
  <commentList>
    <comment ref="J29" authorId="0" shapeId="0">
      <text>
        <r>
          <rPr>
            <b/>
            <sz val="9"/>
            <color indexed="81"/>
            <rFont val="돋움"/>
            <family val="3"/>
            <charset val="129"/>
          </rPr>
          <t>브라질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  <comment ref="F38" authorId="0" shapeId="0">
      <text>
        <r>
          <rPr>
            <b/>
            <sz val="9"/>
            <color indexed="81"/>
            <rFont val="돋움"/>
            <family val="3"/>
            <charset val="129"/>
          </rPr>
          <t>브라질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</commentList>
</comments>
</file>

<file path=xl/comments13.xml><?xml version="1.0" encoding="utf-8"?>
<comments xmlns="http://schemas.openxmlformats.org/spreadsheetml/2006/main">
  <authors>
    <author>W7PRO_X64</author>
  </authors>
  <commentLis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진공펌프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오버홀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생산착수일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</text>
    </comment>
  </commentList>
</comments>
</file>

<file path=xl/comments14.xml><?xml version="1.0" encoding="utf-8"?>
<comments xmlns="http://schemas.openxmlformats.org/spreadsheetml/2006/main">
  <authors>
    <author>W7PRO_X64</author>
  </authors>
  <commentList>
    <comment ref="H47" authorId="0" shapeId="0">
      <text>
        <r>
          <rPr>
            <b/>
            <sz val="9"/>
            <color indexed="81"/>
            <rFont val="Tahoma"/>
            <family val="2"/>
          </rPr>
          <t xml:space="preserve">X21090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X21086 </t>
        </r>
        <r>
          <rPr>
            <b/>
            <sz val="9"/>
            <color indexed="81"/>
            <rFont val="돋움"/>
            <family val="3"/>
            <charset val="129"/>
          </rPr>
          <t>국내료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예정
</t>
        </r>
        <r>
          <rPr>
            <b/>
            <sz val="9"/>
            <color indexed="81"/>
            <rFont val="Tahoma"/>
            <family val="2"/>
          </rPr>
          <t>9/30~10/01</t>
        </r>
      </text>
    </comment>
  </commentList>
</comments>
</file>

<file path=xl/comments15.xml><?xml version="1.0" encoding="utf-8"?>
<comments xmlns="http://schemas.openxmlformats.org/spreadsheetml/2006/main">
  <authors>
    <author>User</author>
    <author>W7PRO_X64</author>
  </authors>
  <commentList>
    <comment ref="J10" authorId="0" shapeId="0">
      <text>
        <r>
          <rPr>
            <b/>
            <sz val="9"/>
            <color indexed="81"/>
            <rFont val="Tahoma"/>
            <family val="2"/>
          </rPr>
          <t xml:space="preserve">9/30 </t>
        </r>
        <r>
          <rPr>
            <b/>
            <sz val="9"/>
            <color indexed="81"/>
            <rFont val="돋움"/>
            <family val="3"/>
            <charset val="129"/>
          </rPr>
          <t>여과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10/1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재착수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F37" authorId="1" shapeId="0">
      <text>
        <r>
          <rPr>
            <b/>
            <sz val="9"/>
            <color indexed="81"/>
            <rFont val="돋움"/>
            <family val="3"/>
            <charset val="129"/>
          </rPr>
          <t>연구팀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200U TEST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수립</t>
        </r>
      </text>
    </comment>
    <comment ref="H38" authorId="1" shapeId="0">
      <text>
        <r>
          <rPr>
            <b/>
            <sz val="9"/>
            <color indexed="81"/>
            <rFont val="Tahoma"/>
            <family val="2"/>
          </rPr>
          <t>9-9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</text>
    </comment>
    <comment ref="F41" authorId="1" shapeId="0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계획이었으나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기술이전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생산계획으로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</text>
    </comment>
  </commentList>
</comments>
</file>

<file path=xl/comments16.xml><?xml version="1.0" encoding="utf-8"?>
<comments xmlns="http://schemas.openxmlformats.org/spreadsheetml/2006/main">
  <authors>
    <author>User</author>
  </authors>
  <commentList>
    <comment ref="F20" authorId="0" shapeId="0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X21106 </t>
        </r>
        <r>
          <rPr>
            <b/>
            <sz val="9"/>
            <color indexed="81"/>
            <rFont val="돋움"/>
            <family val="3"/>
            <charset val="129"/>
          </rPr>
          <t>포장예쩡이었으나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일탈로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시험결과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 xml:space="preserve">X21121 </t>
        </r>
        <r>
          <rPr>
            <b/>
            <sz val="9"/>
            <color indexed="81"/>
            <rFont val="돋움"/>
            <family val="3"/>
            <charset val="129"/>
          </rPr>
          <t>바이알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성형불량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원인조사에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X21122</t>
        </r>
        <r>
          <rPr>
            <b/>
            <sz val="9"/>
            <color indexed="81"/>
            <rFont val="돋움"/>
            <family val="3"/>
            <charset val="129"/>
          </rPr>
          <t>배치부터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</commentList>
</comments>
</file>

<file path=xl/comments17.xml><?xml version="1.0" encoding="utf-8"?>
<comments xmlns="http://schemas.openxmlformats.org/spreadsheetml/2006/main">
  <authors>
    <author>W7PRO_X64</author>
    <author>User</author>
  </authors>
  <commentList>
    <comment ref="F19" authorId="0" shapeId="0">
      <text>
        <r>
          <rPr>
            <b/>
            <sz val="9"/>
            <color indexed="81"/>
            <rFont val="돋움"/>
            <family val="3"/>
            <charset val="129"/>
          </rPr>
          <t>커머셜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계획이었으나</t>
        </r>
        <r>
          <rPr>
            <b/>
            <sz val="9"/>
            <color indexed="81"/>
            <rFont val="Tahoma"/>
            <family val="2"/>
          </rPr>
          <t>, CV(</t>
        </r>
        <r>
          <rPr>
            <b/>
            <sz val="9"/>
            <color indexed="81"/>
            <rFont val="돋움"/>
            <family val="3"/>
            <charset val="129"/>
          </rPr>
          <t>세척밸리데이션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PV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J24" authorId="1" shapeId="0">
      <text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긴급</t>
        </r>
        <r>
          <rPr>
            <b/>
            <sz val="9"/>
            <color indexed="81"/>
            <rFont val="Tahoma"/>
            <family val="2"/>
          </rPr>
          <t xml:space="preserve"> PO(3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)  </t>
        </r>
        <r>
          <rPr>
            <b/>
            <sz val="9"/>
            <color indexed="81"/>
            <rFont val="돋움"/>
            <family val="3"/>
            <charset val="129"/>
          </rPr>
          <t>요청에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생산계획에서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사업센터장님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사업팀장님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소통함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8.xml><?xml version="1.0" encoding="utf-8"?>
<comments xmlns="http://schemas.openxmlformats.org/spreadsheetml/2006/main">
  <authors>
    <author>User</author>
  </authors>
  <commentList>
    <comment ref="H47" authorId="0" shapeId="0">
      <text>
        <r>
          <rPr>
            <b/>
            <sz val="9"/>
            <color indexed="81"/>
            <rFont val="Tahoma"/>
            <family val="2"/>
          </rPr>
          <t xml:space="preserve">25~27 </t>
        </r>
        <r>
          <rPr>
            <b/>
            <sz val="9"/>
            <color indexed="81"/>
            <rFont val="돋움"/>
            <family val="3"/>
            <charset val="129"/>
          </rPr>
          <t>오전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훈증에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공조기</t>
        </r>
        <r>
          <rPr>
            <b/>
            <sz val="9"/>
            <color indexed="81"/>
            <rFont val="Tahoma"/>
            <family val="2"/>
          </rPr>
          <t xml:space="preserve"> off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불가능으로</t>
        </r>
        <r>
          <rPr>
            <b/>
            <sz val="9"/>
            <color indexed="81"/>
            <rFont val="Tahoma"/>
            <family val="2"/>
          </rPr>
          <t xml:space="preserve"> 26~28</t>
        </r>
        <r>
          <rPr>
            <b/>
            <sz val="9"/>
            <color indexed="81"/>
            <rFont val="돋움"/>
            <family val="3"/>
            <charset val="129"/>
          </rPr>
          <t>일간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진행예정</t>
        </r>
      </text>
    </comment>
  </commentList>
</comments>
</file>

<file path=xl/comments19.xml><?xml version="1.0" encoding="utf-8"?>
<comments xmlns="http://schemas.openxmlformats.org/spreadsheetml/2006/main">
  <authors>
    <author>User</author>
  </authors>
  <commentList>
    <comment ref="G15" authorId="0" shapeId="0">
      <text>
        <r>
          <rPr>
            <b/>
            <sz val="9"/>
            <color indexed="81"/>
            <rFont val="돋움"/>
            <family val="3"/>
            <charset val="129"/>
          </rPr>
          <t>진정은님과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수립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0.xml><?xml version="1.0" encoding="utf-8"?>
<comments xmlns="http://schemas.openxmlformats.org/spreadsheetml/2006/main">
  <authors>
    <author>User</author>
    <author>SHIN.K.C</author>
  </authors>
  <commentList>
    <comment ref="I6" authorId="0" shapeId="0">
      <text>
        <r>
          <rPr>
            <b/>
            <sz val="9"/>
            <color indexed="81"/>
            <rFont val="돋움"/>
            <family val="3"/>
            <charset val="129"/>
          </rPr>
          <t>진정은님과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수립</t>
        </r>
      </text>
    </comment>
    <comment ref="I29" authorId="0" shapeId="0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C</t>
        </r>
        <r>
          <rPr>
            <b/>
            <sz val="9"/>
            <color indexed="81"/>
            <rFont val="돋움"/>
            <family val="3"/>
            <charset val="129"/>
          </rPr>
          <t>동</t>
        </r>
        <r>
          <rPr>
            <b/>
            <sz val="9"/>
            <color indexed="81"/>
            <rFont val="Tahoma"/>
            <family val="2"/>
          </rPr>
          <t xml:space="preserve"> 2-3(002B </t>
        </r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42" authorId="1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동결건조기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칠러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(-&gt; 4/1)</t>
        </r>
      </text>
    </comment>
  </commentList>
</comments>
</file>

<file path=xl/comments21.xml><?xml version="1.0" encoding="utf-8"?>
<comments xmlns="http://schemas.openxmlformats.org/spreadsheetml/2006/main">
  <authors>
    <author>SHIN.K.C</author>
  </authors>
  <commentList>
    <comment ref="F3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생산중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일탈발생</t>
        </r>
      </text>
    </comment>
    <comment ref="J3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홀딩</t>
        </r>
        <r>
          <rPr>
            <sz val="9"/>
            <color indexed="81"/>
            <rFont val="Tahoma"/>
            <family val="2"/>
          </rPr>
          <t>(6/1~2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)</t>
        </r>
      </text>
    </comment>
    <comment ref="I38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부적합으로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부적합으로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</t>
        </r>
      </text>
    </comment>
  </commentList>
</comments>
</file>

<file path=xl/comments22.xml><?xml version="1.0" encoding="utf-8"?>
<comments xmlns="http://schemas.openxmlformats.org/spreadsheetml/2006/main">
  <authors>
    <author>SHIN.K.C</author>
  </authors>
  <commentList>
    <comment ref="F3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 xml:space="preserve"> X22101 </t>
        </r>
        <r>
          <rPr>
            <sz val="9"/>
            <color indexed="81"/>
            <rFont val="돋움"/>
            <family val="3"/>
            <charset val="129"/>
          </rPr>
          <t>오더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발행하였으나</t>
        </r>
        <r>
          <rPr>
            <sz val="9"/>
            <color indexed="81"/>
            <rFont val="Tahoma"/>
            <family val="2"/>
          </rPr>
          <t>, 100</t>
        </r>
        <r>
          <rPr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이슈로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단위는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오더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3.xml><?xml version="1.0" encoding="utf-8"?>
<comments xmlns="http://schemas.openxmlformats.org/spreadsheetml/2006/main">
  <authors>
    <author>SHIN.K.C</author>
  </authors>
  <commentList>
    <comment ref="G2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허가변경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J2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F29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comments24.xml><?xml version="1.0" encoding="utf-8"?>
<comments xmlns="http://schemas.openxmlformats.org/spreadsheetml/2006/main">
  <authors>
    <author>SHIN.K.C</author>
  </authors>
  <commentList>
    <comment ref="H19" authorId="0" shapeId="0">
      <text>
        <r>
          <rPr>
            <b/>
            <sz val="11"/>
            <color indexed="81"/>
            <rFont val="Tahoma"/>
            <family val="2"/>
          </rPr>
          <t xml:space="preserve">SHIN.K.C:
</t>
        </r>
        <r>
          <rPr>
            <b/>
            <sz val="11"/>
            <color indexed="81"/>
            <rFont val="돋움"/>
            <family val="3"/>
            <charset val="129"/>
          </rPr>
          <t>동결건조기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선반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이슈로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생산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착수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불가</t>
        </r>
      </text>
    </comment>
    <comment ref="F37" authorId="0" shapeId="0">
      <text>
        <r>
          <rPr>
            <b/>
            <sz val="11"/>
            <color indexed="81"/>
            <rFont val="Tahoma"/>
            <family val="2"/>
          </rPr>
          <t xml:space="preserve">SHIN.K.C:
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국내</t>
        </r>
        <r>
          <rPr>
            <b/>
            <sz val="11"/>
            <color indexed="81"/>
            <rFont val="Tahoma"/>
            <family val="2"/>
          </rPr>
          <t xml:space="preserve"> 50</t>
        </r>
        <r>
          <rPr>
            <b/>
            <sz val="11"/>
            <color indexed="81"/>
            <rFont val="돋움"/>
            <family val="3"/>
            <charset val="129"/>
          </rPr>
          <t>단위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계획이었으나</t>
        </r>
        <r>
          <rPr>
            <b/>
            <sz val="11"/>
            <color indexed="81"/>
            <rFont val="Tahoma"/>
            <family val="2"/>
          </rPr>
          <t xml:space="preserve">, X21135 </t>
        </r>
        <r>
          <rPr>
            <b/>
            <sz val="11"/>
            <color indexed="81"/>
            <rFont val="돋움"/>
            <family val="3"/>
            <charset val="129"/>
          </rPr>
          <t>유럽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배치를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국내로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전환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가능함에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따라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국내</t>
        </r>
        <r>
          <rPr>
            <b/>
            <sz val="11"/>
            <color indexed="81"/>
            <rFont val="Tahoma"/>
            <family val="2"/>
          </rPr>
          <t xml:space="preserve"> 100</t>
        </r>
        <r>
          <rPr>
            <b/>
            <sz val="11"/>
            <color indexed="81"/>
            <rFont val="돋움"/>
            <family val="3"/>
            <charset val="129"/>
          </rPr>
          <t>단위로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생산계획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변경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>
  <authors>
    <author>SHIN.K.C</author>
  </authors>
  <commentList>
    <comment ref="H2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X22135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생산계획이었으나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동결건조기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  <r>
          <rPr>
            <sz val="9"/>
            <color indexed="81"/>
            <rFont val="Tahoma"/>
            <family val="2"/>
          </rPr>
          <t>2. C</t>
        </r>
        <r>
          <rPr>
            <sz val="9"/>
            <color indexed="81"/>
            <rFont val="돋움"/>
            <family val="3"/>
            <charset val="129"/>
          </rPr>
          <t>동</t>
        </r>
        <r>
          <rPr>
            <sz val="9"/>
            <color indexed="81"/>
            <rFont val="Tahoma"/>
            <family val="2"/>
          </rPr>
          <t xml:space="preserve"> IMA </t>
        </r>
        <r>
          <rPr>
            <sz val="9"/>
            <color indexed="81"/>
            <rFont val="돋움"/>
            <family val="3"/>
            <charset val="129"/>
          </rPr>
          <t>동결건조기의</t>
        </r>
        <r>
          <rPr>
            <sz val="9"/>
            <color indexed="81"/>
            <rFont val="Tahoma"/>
            <family val="2"/>
          </rPr>
          <t xml:space="preserve"> main PC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중단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 xml:space="preserve">SHIN.K.C:
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X22111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예정이었으나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수율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잠시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홀딩</t>
        </r>
      </text>
    </comment>
    <comment ref="F5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터널멸균기의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패널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메인스위치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탄화로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준단</t>
        </r>
      </text>
    </comment>
    <comment ref="H5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설비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중단
</t>
        </r>
      </text>
    </comment>
  </commentList>
</comments>
</file>

<file path=xl/comments26.xml><?xml version="1.0" encoding="utf-8"?>
<comments xmlns="http://schemas.openxmlformats.org/spreadsheetml/2006/main">
  <authors>
    <author>SHIN.K.C</author>
  </authors>
  <commentList>
    <comment ref="F37" authorId="0" shapeId="0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중단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10-13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계획이었으나</t>
        </r>
        <r>
          <rPr>
            <sz val="9"/>
            <color indexed="81"/>
            <rFont val="Tahoma"/>
            <family val="2"/>
          </rPr>
          <t xml:space="preserve">, 10/17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</t>
        </r>
      </text>
    </comment>
  </commentList>
</comments>
</file>

<file path=xl/comments27.xml><?xml version="1.0" encoding="utf-8"?>
<comments xmlns="http://schemas.openxmlformats.org/spreadsheetml/2006/main">
  <authors>
    <author>SHIN.K.C</author>
  </authors>
  <commentList>
    <comment ref="H11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9/26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9-9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중단으로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H3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</t>
        </r>
        <r>
          <rPr>
            <sz val="9"/>
            <color indexed="81"/>
            <rFont val="Tahoma"/>
            <family val="2"/>
          </rPr>
          <t xml:space="preserve"> TEST </t>
        </r>
        <r>
          <rPr>
            <sz val="9"/>
            <color indexed="81"/>
            <rFont val="돋움"/>
            <family val="3"/>
            <charset val="129"/>
          </rPr>
          <t>계획이었으나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알캡</t>
        </r>
        <r>
          <rPr>
            <sz val="9"/>
            <color indexed="81"/>
            <rFont val="Tahoma"/>
            <family val="2"/>
          </rPr>
          <t xml:space="preserve"> SMALL TEST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FULL TEST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소통하여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
→</t>
        </r>
        <r>
          <rPr>
            <sz val="9"/>
            <color indexed="81"/>
            <rFont val="Tahoma"/>
            <family val="2"/>
          </rPr>
          <t xml:space="preserve"> C</t>
        </r>
        <r>
          <rPr>
            <sz val="9"/>
            <color indexed="81"/>
            <rFont val="돋움"/>
            <family val="3"/>
            <charset val="129"/>
          </rPr>
          <t>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고압증기멸균기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cycle fail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착수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</t>
        </r>
      </text>
    </comment>
    <comment ref="J37" authorId="0" shapeId="0">
      <text>
        <r>
          <rPr>
            <b/>
            <sz val="9"/>
            <color indexed="81"/>
            <rFont val="Tahoma"/>
            <family val="2"/>
          </rPr>
          <t xml:space="preserve">SHIN.K.C:
</t>
        </r>
        <r>
          <rPr>
            <sz val="9"/>
            <color indexed="81"/>
            <rFont val="돋움"/>
            <family val="3"/>
            <charset val="129"/>
          </rPr>
          <t>기초</t>
        </r>
        <r>
          <rPr>
            <sz val="9"/>
            <color indexed="81"/>
            <rFont val="Tahoma"/>
            <family val="2"/>
          </rPr>
          <t xml:space="preserve"> 12/16 </t>
        </r>
        <r>
          <rPr>
            <sz val="9"/>
            <color indexed="81"/>
            <rFont val="돋움"/>
            <family val="3"/>
            <charset val="129"/>
          </rPr>
          <t>생산계획이었으나</t>
        </r>
        <r>
          <rPr>
            <sz val="9"/>
            <color indexed="81"/>
            <rFont val="Tahoma"/>
            <family val="2"/>
          </rPr>
          <t>, X21135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이슈로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당겨는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F44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부적합으로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H4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사용하고자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했으나</t>
        </r>
        <r>
          <rPr>
            <sz val="9"/>
            <color indexed="81"/>
            <rFont val="Tahoma"/>
            <family val="2"/>
          </rPr>
          <t xml:space="preserve">, 11/23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미착수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배치는</t>
        </r>
        <r>
          <rPr>
            <sz val="9"/>
            <color indexed="81"/>
            <rFont val="Tahoma"/>
            <family val="2"/>
          </rPr>
          <t xml:space="preserve"> ROW </t>
        </r>
        <r>
          <rPr>
            <sz val="9"/>
            <color indexed="81"/>
            <rFont val="돋움"/>
            <family val="3"/>
            <charset val="129"/>
          </rPr>
          <t>일정에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</commentList>
</comments>
</file>

<file path=xl/comments28.xml><?xml version="1.0" encoding="utf-8"?>
<comments xmlns="http://schemas.openxmlformats.org/spreadsheetml/2006/main">
  <authors>
    <author>SHIN.K.C</author>
  </authors>
  <commentList>
    <comment ref="J19" authorId="0" shapeId="0">
      <text>
        <r>
          <rPr>
            <b/>
            <sz val="12"/>
            <color indexed="81"/>
            <rFont val="Tahoma"/>
            <family val="2"/>
          </rPr>
          <t>SHIN.K.C: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특정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중국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원액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사용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</text>
    </comment>
    <comment ref="I28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생산계획이었으나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12/12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fail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100u 1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100u 1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J3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생산계획이었으나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허가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29.xml><?xml version="1.0" encoding="utf-8"?>
<comments xmlns="http://schemas.openxmlformats.org/spreadsheetml/2006/main">
  <authors>
    <author>SHIN.K.C</author>
  </authors>
  <commentList>
    <comment ref="J19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X23007 </t>
        </r>
        <r>
          <rPr>
            <sz val="9"/>
            <color indexed="81"/>
            <rFont val="돋움"/>
            <family val="3"/>
            <charset val="129"/>
          </rPr>
          <t>배치가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</t>
        </r>
        <r>
          <rPr>
            <sz val="9"/>
            <color indexed="81"/>
            <rFont val="Tahoma"/>
            <family val="2"/>
          </rPr>
          <t xml:space="preserve">(5,000 </t>
        </r>
        <r>
          <rPr>
            <sz val="9"/>
            <color indexed="81"/>
            <rFont val="돋움"/>
            <family val="3"/>
            <charset val="129"/>
          </rPr>
          <t>바이알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로스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인하여</t>
        </r>
        <r>
          <rPr>
            <sz val="9"/>
            <color indexed="81"/>
            <rFont val="Tahoma"/>
            <family val="2"/>
          </rPr>
          <t xml:space="preserve"> X23003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브라질로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</rPr>
          <t xml:space="preserve">SHIN.K.C:
</t>
        </r>
        <r>
          <rPr>
            <sz val="9"/>
            <color indexed="81"/>
            <rFont val="돋움"/>
            <family val="3"/>
            <charset val="129"/>
          </rPr>
          <t>기초</t>
        </r>
        <r>
          <rPr>
            <sz val="9"/>
            <color indexed="81"/>
            <rFont val="Tahoma"/>
            <family val="2"/>
          </rPr>
          <t xml:space="preserve"> 12/16 </t>
        </r>
        <r>
          <rPr>
            <sz val="9"/>
            <color indexed="81"/>
            <rFont val="돋움"/>
            <family val="3"/>
            <charset val="129"/>
          </rPr>
          <t>생산계획이었으나</t>
        </r>
        <r>
          <rPr>
            <sz val="9"/>
            <color indexed="81"/>
            <rFont val="Tahoma"/>
            <family val="2"/>
          </rPr>
          <t>, X21135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이슈로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당겨는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MF </t>
        </r>
        <r>
          <rPr>
            <sz val="9"/>
            <color indexed="81"/>
            <rFont val="돋움"/>
            <family val="3"/>
            <charset val="129"/>
          </rPr>
          <t>진행으로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커머셜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이로인하여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2/1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>)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도안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변겅</t>
        </r>
      </text>
    </comment>
    <comment ref="H3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배치이나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5,000</t>
        </r>
        <r>
          <rPr>
            <sz val="9"/>
            <color indexed="81"/>
            <rFont val="돋움"/>
            <family val="3"/>
            <charset val="129"/>
          </rPr>
          <t>바이알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로스로</t>
        </r>
        <r>
          <rPr>
            <sz val="9"/>
            <color indexed="81"/>
            <rFont val="Tahoma"/>
            <family val="2"/>
          </rPr>
          <t xml:space="preserve"> ROW </t>
        </r>
        <r>
          <rPr>
            <sz val="9"/>
            <color indexed="81"/>
            <rFont val="돋움"/>
            <family val="3"/>
            <charset val="129"/>
          </rPr>
          <t>수출용으로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J3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MF </t>
        </r>
        <r>
          <rPr>
            <sz val="9"/>
            <color indexed="81"/>
            <rFont val="돋움"/>
            <family val="3"/>
            <charset val="129"/>
          </rPr>
          <t>진행으로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커머셜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이로인하여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2/3 </t>
        </r>
        <r>
          <rPr>
            <sz val="9"/>
            <color indexed="81"/>
            <rFont val="돋움"/>
            <family val="3"/>
            <charset val="129"/>
          </rPr>
          <t>생산물량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0.xml><?xml version="1.0" encoding="utf-8"?>
<comments xmlns="http://schemas.openxmlformats.org/spreadsheetml/2006/main">
  <authors>
    <author>SHIN.K.C</author>
  </authors>
  <commentList>
    <comment ref="H11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AEON </t>
        </r>
        <r>
          <rPr>
            <sz val="9"/>
            <color indexed="81"/>
            <rFont val="돋움"/>
            <family val="3"/>
            <charset val="129"/>
          </rPr>
          <t>임상약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comments31.xml><?xml version="1.0" encoding="utf-8"?>
<comments xmlns="http://schemas.openxmlformats.org/spreadsheetml/2006/main">
  <authors>
    <author>SHIN.K.C</author>
  </authors>
  <commentList>
    <comment ref="I11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H15" authorId="0" shapeId="0">
      <text>
        <r>
          <rPr>
            <strike/>
            <sz val="11"/>
            <color indexed="81"/>
            <rFont val="맑은 고딕"/>
            <family val="3"/>
            <charset val="129"/>
          </rPr>
          <t>오더 발행 전 , 태국 100U 허가 변경 사항(A동→C동) 必 확인 필요</t>
        </r>
        <r>
          <rPr>
            <b/>
            <sz val="11"/>
            <color indexed="81"/>
            <rFont val="맑은 고딕"/>
            <family val="3"/>
            <charset val="129"/>
          </rPr>
          <t xml:space="preserve">
4월 태국 100U 선적 물량은 A동 제조소 제품으로 하는 것으로 확정"포장#1-6 브라질용 100단위 X23003
(5월 선적 건)" 
`</t>
        </r>
      </text>
    </comment>
    <comment ref="I2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기초</t>
        </r>
        <r>
          <rPr>
            <sz val="9"/>
            <color indexed="81"/>
            <rFont val="Tahoma"/>
            <family val="2"/>
          </rPr>
          <t xml:space="preserve"> ROW </t>
        </r>
        <r>
          <rPr>
            <sz val="9"/>
            <color indexed="81"/>
            <rFont val="돋움"/>
            <family val="3"/>
            <charset val="129"/>
          </rPr>
          <t>목적으로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생산하였으나</t>
        </r>
        <r>
          <rPr>
            <sz val="9"/>
            <color indexed="81"/>
            <rFont val="Tahoma"/>
            <family val="2"/>
          </rPr>
          <t xml:space="preserve">, X23007 5,000EA </t>
        </r>
        <r>
          <rPr>
            <sz val="9"/>
            <color indexed="81"/>
            <rFont val="돋움"/>
            <family val="3"/>
            <charset val="129"/>
          </rPr>
          <t>로스로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브라질로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수출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생산의뢰서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확인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반제품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생산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오더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발행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필요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수출의뢰서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수령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  <r>
          <rPr>
            <b/>
            <sz val="12"/>
            <color indexed="81"/>
            <rFont val="Tahoma"/>
            <family val="2"/>
          </rPr>
          <t>3/15)</t>
        </r>
      </text>
    </comment>
  </commentList>
</comments>
</file>

<file path=xl/comments32.xml><?xml version="1.0" encoding="utf-8"?>
<comments xmlns="http://schemas.openxmlformats.org/spreadsheetml/2006/main">
  <authors>
    <author>SHIN.K.C</author>
  </authors>
  <commentList>
    <comment ref="G15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돋움"/>
            <family val="3"/>
            <charset val="129"/>
          </rPr>
          <t>담당</t>
        </r>
        <r>
          <rPr>
            <sz val="14"/>
            <color indexed="81"/>
            <rFont val="Tahoma"/>
            <family val="2"/>
          </rPr>
          <t xml:space="preserve"> PM(</t>
        </r>
        <r>
          <rPr>
            <sz val="14"/>
            <color indexed="81"/>
            <rFont val="돋움"/>
            <family val="3"/>
            <charset val="129"/>
          </rPr>
          <t>김희연님</t>
        </r>
        <r>
          <rPr>
            <sz val="14"/>
            <color indexed="81"/>
            <rFont val="Tahoma"/>
            <family val="2"/>
          </rPr>
          <t>)</t>
        </r>
        <r>
          <rPr>
            <sz val="14"/>
            <color indexed="81"/>
            <rFont val="돋움"/>
            <family val="3"/>
            <charset val="129"/>
          </rPr>
          <t>에게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추가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오더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전달받았으나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오더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발생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실제</t>
        </r>
        <r>
          <rPr>
            <sz val="14"/>
            <color indexed="81"/>
            <rFont val="Tahoma"/>
            <family val="2"/>
          </rPr>
          <t xml:space="preserve"> PO </t>
        </r>
        <r>
          <rPr>
            <sz val="14"/>
            <color indexed="81"/>
            <rFont val="돋움"/>
            <family val="3"/>
            <charset val="129"/>
          </rPr>
          <t>수령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여부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확인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필요</t>
        </r>
        <r>
          <rPr>
            <sz val="14"/>
            <color indexed="81"/>
            <rFont val="Tahoma"/>
            <family val="2"/>
          </rPr>
          <t xml:space="preserve"> - PO </t>
        </r>
        <r>
          <rPr>
            <sz val="14"/>
            <color indexed="81"/>
            <rFont val="돋움"/>
            <family val="3"/>
            <charset val="129"/>
          </rPr>
          <t>수령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확인</t>
        </r>
        <r>
          <rPr>
            <sz val="14"/>
            <color indexed="81"/>
            <rFont val="Tahoma"/>
            <family val="2"/>
          </rPr>
          <t>(3/20)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돋움"/>
            <family val="3"/>
            <charset val="129"/>
          </rPr>
          <t>담당</t>
        </r>
        <r>
          <rPr>
            <sz val="14"/>
            <color indexed="81"/>
            <rFont val="Tahoma"/>
            <family val="2"/>
          </rPr>
          <t xml:space="preserve"> PM(</t>
        </r>
        <r>
          <rPr>
            <sz val="14"/>
            <color indexed="81"/>
            <rFont val="돋움"/>
            <family val="3"/>
            <charset val="129"/>
          </rPr>
          <t>김희연님</t>
        </r>
        <r>
          <rPr>
            <sz val="14"/>
            <color indexed="81"/>
            <rFont val="Tahoma"/>
            <family val="2"/>
          </rPr>
          <t>)</t>
        </r>
        <r>
          <rPr>
            <sz val="14"/>
            <color indexed="81"/>
            <rFont val="돋움"/>
            <family val="3"/>
            <charset val="129"/>
          </rPr>
          <t>에게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추가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오더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전달받았으나</t>
        </r>
        <r>
          <rPr>
            <sz val="14"/>
            <color indexed="81"/>
            <rFont val="Tahoma"/>
            <family val="2"/>
          </rPr>
          <t xml:space="preserve">, </t>
        </r>
        <r>
          <rPr>
            <sz val="14"/>
            <color indexed="81"/>
            <rFont val="돋움"/>
            <family val="3"/>
            <charset val="129"/>
          </rPr>
          <t>오더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발생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전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실제</t>
        </r>
        <r>
          <rPr>
            <sz val="14"/>
            <color indexed="81"/>
            <rFont val="Tahoma"/>
            <family val="2"/>
          </rPr>
          <t xml:space="preserve"> PO </t>
        </r>
        <r>
          <rPr>
            <sz val="14"/>
            <color indexed="81"/>
            <rFont val="돋움"/>
            <family val="3"/>
            <charset val="129"/>
          </rPr>
          <t>수령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여부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확인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필요</t>
        </r>
        <r>
          <rPr>
            <sz val="14"/>
            <color indexed="81"/>
            <rFont val="Tahoma"/>
            <family val="2"/>
          </rPr>
          <t xml:space="preserve"> - PO </t>
        </r>
        <r>
          <rPr>
            <sz val="14"/>
            <color indexed="81"/>
            <rFont val="돋움"/>
            <family val="3"/>
            <charset val="129"/>
          </rPr>
          <t>수령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확인</t>
        </r>
        <r>
          <rPr>
            <sz val="14"/>
            <color indexed="81"/>
            <rFont val="Tahoma"/>
            <family val="2"/>
          </rPr>
          <t>(3/20)</t>
        </r>
      </text>
    </comment>
    <comment ref="J19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ROW </t>
        </r>
        <r>
          <rPr>
            <sz val="9"/>
            <color indexed="81"/>
            <rFont val="돋움"/>
            <family val="3"/>
            <charset val="129"/>
          </rPr>
          <t>제품이나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FAIL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</rPr>
          <t xml:space="preserve">SHIN.K.C:
</t>
        </r>
        <r>
          <rPr>
            <sz val="12"/>
            <color indexed="81"/>
            <rFont val="돋움"/>
            <family val="3"/>
            <charset val="129"/>
          </rPr>
          <t>기존</t>
        </r>
        <r>
          <rPr>
            <sz val="12"/>
            <color indexed="81"/>
            <rFont val="Tahoma"/>
            <family val="2"/>
          </rPr>
          <t xml:space="preserve"> 4/19 </t>
        </r>
        <r>
          <rPr>
            <sz val="12"/>
            <color indexed="81"/>
            <rFont val="돋움"/>
            <family val="3"/>
            <charset val="129"/>
          </rPr>
          <t>듀얼브랜드</t>
        </r>
        <r>
          <rPr>
            <sz val="12"/>
            <color indexed="81"/>
            <rFont val="Tahoma"/>
            <family val="2"/>
          </rPr>
          <t xml:space="preserve"> IND </t>
        </r>
        <r>
          <rPr>
            <sz val="12"/>
            <color indexed="81"/>
            <rFont val="돋움"/>
            <family val="3"/>
            <charset val="129"/>
          </rPr>
          <t>추가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생산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예정이었으나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실활율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개선을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위하여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생산일정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변경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→</t>
        </r>
        <r>
          <rPr>
            <sz val="12"/>
            <color indexed="81"/>
            <rFont val="Tahoma"/>
            <family val="2"/>
          </rPr>
          <t xml:space="preserve"> 5/4</t>
        </r>
      </text>
    </comment>
    <comment ref="H38" authorId="0" shapeId="0">
      <text>
        <r>
          <rPr>
            <b/>
            <sz val="11"/>
            <color indexed="81"/>
            <rFont val="Tahoma"/>
            <family val="2"/>
          </rPr>
          <t>SHIN.K.C:</t>
        </r>
        <r>
          <rPr>
            <sz val="11"/>
            <color indexed="81"/>
            <rFont val="Tahoma"/>
            <family val="2"/>
          </rPr>
          <t xml:space="preserve">
7</t>
        </r>
        <r>
          <rPr>
            <sz val="11"/>
            <color indexed="81"/>
            <rFont val="돋움"/>
            <family val="3"/>
            <charset val="129"/>
          </rPr>
          <t>월</t>
        </r>
        <r>
          <rPr>
            <sz val="11"/>
            <color indexed="81"/>
            <rFont val="Tahoma"/>
            <family val="2"/>
          </rPr>
          <t xml:space="preserve"> SF </t>
        </r>
        <r>
          <rPr>
            <sz val="11"/>
            <color indexed="81"/>
            <rFont val="돋움"/>
            <family val="3"/>
            <charset val="129"/>
          </rPr>
          <t>기반으로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생산계획으로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허가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고려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국내</t>
        </r>
        <r>
          <rPr>
            <b/>
            <sz val="11"/>
            <color indexed="81"/>
            <rFont val="Tahoma"/>
            <family val="2"/>
          </rPr>
          <t xml:space="preserve"> 100U </t>
        </r>
        <r>
          <rPr>
            <b/>
            <sz val="11"/>
            <color indexed="81"/>
            <rFont val="돋움"/>
            <family val="3"/>
            <charset val="129"/>
          </rPr>
          <t>생산으로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변경될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가능성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↑</t>
        </r>
      </text>
    </comment>
    <comment ref="J38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미국이였으나</t>
        </r>
        <r>
          <rPr>
            <sz val="9"/>
            <color indexed="81"/>
            <rFont val="Tahoma"/>
            <family val="2"/>
          </rPr>
          <t>, 6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SF </t>
        </r>
        <r>
          <rPr>
            <sz val="9"/>
            <color indexed="81"/>
            <rFont val="돋움"/>
            <family val="3"/>
            <charset val="129"/>
          </rPr>
          <t>업데이트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선적시점이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캐나다로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7</t>
        </r>
        <r>
          <rPr>
            <sz val="11"/>
            <color indexed="81"/>
            <rFont val="돋움"/>
            <family val="3"/>
            <charset val="129"/>
          </rPr>
          <t>월</t>
        </r>
        <r>
          <rPr>
            <sz val="11"/>
            <color indexed="81"/>
            <rFont val="Tahoma"/>
            <family val="2"/>
          </rPr>
          <t xml:space="preserve"> SF </t>
        </r>
        <r>
          <rPr>
            <sz val="11"/>
            <color indexed="81"/>
            <rFont val="돋움"/>
            <family val="3"/>
            <charset val="129"/>
          </rPr>
          <t>기반으로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생산계획으로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허가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진행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고려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</t>
        </r>
        <r>
          <rPr>
            <sz val="11"/>
            <color indexed="81"/>
            <rFont val="Tahoma"/>
            <family val="2"/>
          </rPr>
          <t xml:space="preserve"> 100U </t>
        </r>
        <r>
          <rPr>
            <sz val="11"/>
            <color indexed="81"/>
            <rFont val="돋움"/>
            <family val="3"/>
            <charset val="129"/>
          </rPr>
          <t>생산으로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변경될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가능성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허가변경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완로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생산으로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배치는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튀르키예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생산으로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변경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돋움"/>
            <family val="3"/>
            <charset val="129"/>
          </rPr>
          <t>→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튀르키예</t>
        </r>
        <r>
          <rPr>
            <b/>
            <sz val="11"/>
            <color indexed="81"/>
            <rFont val="Tahoma"/>
            <family val="2"/>
          </rPr>
          <t xml:space="preserve"> 7</t>
        </r>
        <r>
          <rPr>
            <b/>
            <sz val="11"/>
            <color indexed="81"/>
            <rFont val="돋움"/>
            <family val="3"/>
            <charset val="129"/>
          </rPr>
          <t>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선적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물량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취소되어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국내용으로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변경</t>
        </r>
      </text>
    </comment>
    <comment ref="H48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4/19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200U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100U </t>
        </r>
        <r>
          <rPr>
            <sz val="9"/>
            <color indexed="81"/>
            <rFont val="돋움"/>
            <family val="3"/>
            <charset val="129"/>
          </rPr>
          <t>생산이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사업팀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3.xml><?xml version="1.0" encoding="utf-8"?>
<comments xmlns="http://schemas.openxmlformats.org/spreadsheetml/2006/main">
  <authors>
    <author>SHIN.K.C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PMS </t>
        </r>
        <r>
          <rPr>
            <sz val="9"/>
            <color indexed="81"/>
            <rFont val="돋움"/>
            <family val="3"/>
            <charset val="129"/>
          </rPr>
          <t>컴퓨터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부유입자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고장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/IOQ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일정으로</t>
        </r>
        <r>
          <rPr>
            <sz val="9"/>
            <color indexed="81"/>
            <rFont val="Tahoma"/>
            <family val="2"/>
          </rPr>
          <t xml:space="preserve"> 5/9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5/3)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충전기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TEST </t>
        </r>
        <r>
          <rPr>
            <sz val="9"/>
            <color indexed="81"/>
            <rFont val="돋움"/>
            <family val="3"/>
            <charset val="129"/>
          </rPr>
          <t>불필요하여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커머셜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태국</t>
        </r>
        <r>
          <rPr>
            <sz val="9"/>
            <color indexed="81"/>
            <rFont val="Tahoma"/>
            <family val="2"/>
          </rPr>
          <t xml:space="preserve"> 100U </t>
        </r>
        <r>
          <rPr>
            <sz val="9"/>
            <color indexed="81"/>
            <rFont val="돋움"/>
            <family val="3"/>
            <charset val="129"/>
          </rPr>
          <t>일탈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포장자재로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J3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150U </t>
        </r>
        <r>
          <rPr>
            <sz val="9"/>
            <color indexed="81"/>
            <rFont val="돋움"/>
            <family val="3"/>
            <charset val="129"/>
          </rPr>
          <t>시생산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계획이었으나</t>
        </r>
        <r>
          <rPr>
            <sz val="9"/>
            <color indexed="81"/>
            <rFont val="Tahoma"/>
            <family val="2"/>
          </rPr>
          <t>, 150U 1</t>
        </r>
        <r>
          <rPr>
            <sz val="9"/>
            <color indexed="81"/>
            <rFont val="돋움"/>
            <family val="3"/>
            <charset val="129"/>
          </rPr>
          <t>배치만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시생산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기술이전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100U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변경함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34.xml><?xml version="1.0" encoding="utf-8"?>
<comments xmlns="http://schemas.openxmlformats.org/spreadsheetml/2006/main">
  <authors>
    <author>SHIN.K.C</author>
  </authors>
  <commentList>
    <comment ref="F49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터키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고려하였으나</t>
        </r>
        <r>
          <rPr>
            <sz val="9"/>
            <color indexed="81"/>
            <rFont val="Tahoma"/>
            <family val="2"/>
          </rPr>
          <t xml:space="preserve">, SF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미확정으로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고려하였으나</t>
        </r>
        <r>
          <rPr>
            <sz val="9"/>
            <color indexed="81"/>
            <rFont val="Tahoma"/>
            <family val="2"/>
          </rPr>
          <t xml:space="preserve">, SF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I5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코멘트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</commentList>
</comments>
</file>

<file path=xl/comments35.xml><?xml version="1.0" encoding="utf-8"?>
<comments xmlns="http://schemas.openxmlformats.org/spreadsheetml/2006/main">
  <authors>
    <author>SHIN.K.C</author>
  </authors>
  <commentList>
    <comment ref="I36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'23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배치에서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배치로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감소하면서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오더</t>
        </r>
        <r>
          <rPr>
            <sz val="9"/>
            <color indexed="81"/>
            <rFont val="Tahoma"/>
            <family val="2"/>
          </rPr>
          <t xml:space="preserve"> VOID</t>
        </r>
      </text>
    </comment>
    <comment ref="F4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표준품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F41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변경관리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코멘트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F5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원액은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I5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원자재로</t>
        </r>
        <r>
          <rPr>
            <sz val="9"/>
            <color indexed="81"/>
            <rFont val="Tahoma"/>
            <family val="2"/>
          </rPr>
          <t xml:space="preserve"> DOE </t>
        </r>
        <r>
          <rPr>
            <sz val="9"/>
            <color indexed="81"/>
            <rFont val="돋움"/>
            <family val="3"/>
            <charset val="129"/>
          </rPr>
          <t>수행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36.xml><?xml version="1.0" encoding="utf-8"?>
<comments xmlns="http://schemas.openxmlformats.org/spreadsheetml/2006/main">
  <authors>
    <author>SHIN.K.C</author>
  </authors>
  <commentList>
    <comment ref="P1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터키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고려하였으나</t>
        </r>
        <r>
          <rPr>
            <sz val="9"/>
            <color indexed="81"/>
            <rFont val="Tahoma"/>
            <family val="2"/>
          </rPr>
          <t xml:space="preserve">, SF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미확정으로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P11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고려하였으나</t>
        </r>
        <r>
          <rPr>
            <sz val="9"/>
            <color indexed="81"/>
            <rFont val="Tahoma"/>
            <family val="2"/>
          </rPr>
          <t xml:space="preserve">, SF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P14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표준품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F5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터키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고려하였으나</t>
        </r>
        <r>
          <rPr>
            <sz val="9"/>
            <color indexed="81"/>
            <rFont val="Tahoma"/>
            <family val="2"/>
          </rPr>
          <t xml:space="preserve">, SF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미확정으로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37.xml><?xml version="1.0" encoding="utf-8"?>
<comments xmlns="http://schemas.openxmlformats.org/spreadsheetml/2006/main">
  <authors>
    <author>SHIN.K.C</author>
  </authors>
  <commentList>
    <comment ref="P10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표준품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I29" authorId="0" shapeId="0">
      <text>
        <r>
          <rPr>
            <b/>
            <sz val="9"/>
            <color indexed="81"/>
            <rFont val="Tahoma"/>
            <family val="2"/>
          </rPr>
          <t>SHIN.K.C: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부유입자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착수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38.xml><?xml version="1.0" encoding="utf-8"?>
<comments xmlns="http://schemas.openxmlformats.org/spreadsheetml/2006/main">
  <authors>
    <author>Youngrok</author>
  </authors>
  <commentList>
    <comment ref="I34" authorId="0" shapeId="0">
      <text>
        <r>
          <rPr>
            <b/>
            <sz val="9"/>
            <color indexed="81"/>
            <rFont val="Tahoma"/>
            <family val="2"/>
          </rPr>
          <t>Youngrok: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봉함라벨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에디션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변경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확인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</text>
    </comment>
  </commentList>
</comments>
</file>

<file path=xl/comments39.xml><?xml version="1.0" encoding="utf-8"?>
<comments xmlns="http://schemas.openxmlformats.org/spreadsheetml/2006/main">
  <authors>
    <author>Youngrok</author>
  </authors>
  <commentList>
    <comment ref="I43" authorId="0" shapeId="0">
      <text>
        <r>
          <rPr>
            <b/>
            <sz val="9"/>
            <color indexed="81"/>
            <rFont val="Tahoma"/>
            <family val="2"/>
          </rPr>
          <t>Youngrok: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튀르키예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Youngrok: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튀르키예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</text>
    </comment>
  </commentList>
</comments>
</file>

<file path=xl/comments40.xml><?xml version="1.0" encoding="utf-8"?>
<comments xmlns="http://schemas.openxmlformats.org/spreadsheetml/2006/main">
  <authors>
    <author>Youngrok</author>
  </authors>
  <commentList>
    <comment ref="F20" authorId="0" shapeId="0">
      <text>
        <r>
          <rPr>
            <b/>
            <sz val="9"/>
            <color indexed="81"/>
            <rFont val="Tahoma"/>
            <family val="2"/>
          </rPr>
          <t>Youngrok: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동결건조기</t>
        </r>
        <r>
          <rPr>
            <sz val="11"/>
            <color indexed="81"/>
            <rFont val="Tahoma"/>
            <family val="2"/>
          </rPr>
          <t xml:space="preserve"> LT Fail </t>
        </r>
        <r>
          <rPr>
            <sz val="11"/>
            <color indexed="81"/>
            <rFont val="돋움"/>
            <family val="3"/>
            <charset val="129"/>
          </rPr>
          <t>일탈로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폐기
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Youngrok: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동결건조기</t>
        </r>
        <r>
          <rPr>
            <sz val="9"/>
            <color indexed="81"/>
            <rFont val="Tahoma"/>
            <family val="2"/>
          </rPr>
          <t xml:space="preserve"> LT Fail </t>
        </r>
        <r>
          <rPr>
            <sz val="9"/>
            <color indexed="81"/>
            <rFont val="돋움"/>
            <family val="3"/>
            <charset val="129"/>
          </rPr>
          <t>일탈로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착수</t>
        </r>
        <r>
          <rPr>
            <sz val="9"/>
            <color indexed="81"/>
            <rFont val="Tahoma"/>
            <family val="2"/>
          </rPr>
          <t xml:space="preserve"> X</t>
        </r>
      </text>
    </comment>
    <comment ref="G32" authorId="0" shapeId="0">
      <text>
        <r>
          <rPr>
            <b/>
            <sz val="9"/>
            <color indexed="81"/>
            <rFont val="Tahoma"/>
            <family val="2"/>
          </rPr>
          <t>Youngrok: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</text>
    </comment>
  </commentList>
</comments>
</file>

<file path=xl/comments41.xml><?xml version="1.0" encoding="utf-8"?>
<comments xmlns="http://schemas.openxmlformats.org/spreadsheetml/2006/main">
  <authors>
    <author>Youngrok</author>
    <author>User</author>
  </authors>
  <commentList>
    <comment ref="J10" authorId="0" shapeId="0">
      <text>
        <r>
          <rPr>
            <b/>
            <sz val="9"/>
            <color indexed="81"/>
            <rFont val="Tahoma"/>
            <family val="2"/>
          </rPr>
          <t>Youngrok: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생산
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>Youngrok: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생산
</t>
        </r>
      </text>
    </comment>
    <comment ref="J22" authorId="0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튀르키예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목적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생산에서</t>
        </r>
        <r>
          <rPr>
            <sz val="12"/>
            <color indexed="81"/>
            <rFont val="Tahoma"/>
            <family val="2"/>
          </rPr>
          <t xml:space="preserve"> ROW </t>
        </r>
        <r>
          <rPr>
            <sz val="12"/>
            <color indexed="81"/>
            <rFont val="돋움"/>
            <family val="3"/>
            <charset val="129"/>
          </rPr>
          <t>목적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생산으로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변경
</t>
        </r>
      </text>
    </comment>
    <comment ref="F32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PR-109646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중단</t>
        </r>
      </text>
    </comment>
    <comment ref="F43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튀르키예</t>
        </r>
        <r>
          <rPr>
            <sz val="12"/>
            <color indexed="81"/>
            <rFont val="Tahoma"/>
            <family val="2"/>
          </rPr>
          <t xml:space="preserve"> 6</t>
        </r>
        <r>
          <rPr>
            <sz val="12"/>
            <color indexed="81"/>
            <rFont val="돋움"/>
            <family val="3"/>
            <charset val="129"/>
          </rPr>
          <t>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대응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물량</t>
        </r>
      </text>
    </comment>
    <comment ref="G44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7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태국</t>
        </r>
        <r>
          <rPr>
            <sz val="12"/>
            <color indexed="81"/>
            <rFont val="Tahoma"/>
            <family val="2"/>
          </rPr>
          <t xml:space="preserve"> 200U 4~7</t>
        </r>
        <r>
          <rPr>
            <sz val="12"/>
            <color indexed="81"/>
            <rFont val="돋움"/>
            <family val="3"/>
            <charset val="129"/>
          </rPr>
          <t>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물량</t>
        </r>
        <r>
          <rPr>
            <sz val="12"/>
            <color indexed="81"/>
            <rFont val="Tahoma"/>
            <family val="2"/>
          </rPr>
          <t xml:space="preserve"> 16,800VI </t>
        </r>
        <r>
          <rPr>
            <sz val="12"/>
            <color indexed="81"/>
            <rFont val="돋움"/>
            <family val="3"/>
            <charset val="129"/>
          </rPr>
          <t>제외하고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국내</t>
        </r>
        <r>
          <rPr>
            <sz val="12"/>
            <color indexed="81"/>
            <rFont val="Tahoma"/>
            <family val="2"/>
          </rPr>
          <t xml:space="preserve"> 200U </t>
        </r>
        <r>
          <rPr>
            <sz val="12"/>
            <color indexed="81"/>
            <rFont val="돋움"/>
            <family val="3"/>
            <charset val="129"/>
          </rPr>
          <t>포장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</text>
    </comment>
  </commentList>
</comments>
</file>

<file path=xl/comments42.xml><?xml version="1.0" encoding="utf-8"?>
<comments xmlns="http://schemas.openxmlformats.org/spreadsheetml/2006/main">
  <authors>
    <author>User</author>
  </authors>
  <commentList>
    <comment ref="I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국내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예정이었으나</t>
        </r>
        <r>
          <rPr>
            <sz val="9"/>
            <color indexed="81"/>
            <rFont val="Tahoma"/>
            <family val="2"/>
          </rPr>
          <t xml:space="preserve">, X24002 </t>
        </r>
        <r>
          <rPr>
            <sz val="9"/>
            <color indexed="81"/>
            <rFont val="돋움"/>
            <family val="3"/>
            <charset val="129"/>
          </rPr>
          <t>폐기로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인해</t>
        </r>
        <r>
          <rPr>
            <sz val="9"/>
            <color indexed="81"/>
            <rFont val="Tahoma"/>
            <family val="2"/>
          </rPr>
          <t xml:space="preserve"> ROW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43.xml><?xml version="1.0" encoding="utf-8"?>
<comments xmlns="http://schemas.openxmlformats.org/spreadsheetml/2006/main">
  <authors>
    <author>User</author>
  </authors>
  <commentList>
    <comment ref="I5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>(26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44.xml><?xml version="1.0" encoding="utf-8"?>
<comments xmlns="http://schemas.openxmlformats.org/spreadsheetml/2006/main">
  <authors>
    <author>정예빈</author>
    <author>User</author>
  </authors>
  <commentList>
    <comment ref="R8" authorId="0" shapeId="0">
      <text>
        <r>
          <rPr>
            <b/>
            <sz val="9"/>
            <color indexed="81"/>
            <rFont val="Tahoma"/>
            <family val="2"/>
          </rPr>
          <t xml:space="preserve">PO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J32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스페인</t>
        </r>
        <r>
          <rPr>
            <sz val="9"/>
            <color indexed="81"/>
            <rFont val="Tahoma"/>
            <family val="2"/>
          </rPr>
          <t xml:space="preserve"> 4,000VI</t>
        </r>
      </text>
    </comment>
    <comment ref="H33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가안</t>
        </r>
      </text>
    </comment>
    <comment ref="I42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가안</t>
        </r>
      </text>
    </comment>
    <comment ref="H43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가안</t>
        </r>
      </text>
    </comment>
  </commentList>
</comments>
</file>

<file path=xl/comments45.xml><?xml version="1.0" encoding="utf-8"?>
<comments xmlns="http://schemas.openxmlformats.org/spreadsheetml/2006/main">
  <authors>
    <author>정예빈</author>
    <author>User</author>
  </authors>
  <commentList>
    <comment ref="J13" authorId="0" shapeId="0">
      <text>
        <r>
          <rPr>
            <b/>
            <sz val="9"/>
            <color indexed="81"/>
            <rFont val="돋움"/>
            <family val="3"/>
            <charset val="129"/>
          </rPr>
          <t>최소한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역가까지는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의견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22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PO </t>
        </r>
        <r>
          <rPr>
            <sz val="12"/>
            <color indexed="81"/>
            <rFont val="돋움"/>
            <family val="3"/>
            <charset val="129"/>
          </rPr>
          <t>수령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X24009A </t>
        </r>
        <r>
          <rPr>
            <sz val="9"/>
            <color indexed="81"/>
            <rFont val="돋움"/>
            <family val="3"/>
            <charset val="129"/>
          </rPr>
          <t>이태리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'23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연간안정성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650VIAL</t>
        </r>
      </text>
    </comment>
    <comment ref="J23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가능여부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I32" authorId="1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po</t>
        </r>
        <r>
          <rPr>
            <sz val="12"/>
            <color indexed="81"/>
            <rFont val="돋움"/>
            <family val="3"/>
            <charset val="129"/>
          </rPr>
          <t>수령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</text>
    </comment>
    <comment ref="J32" authorId="0" shapeId="0">
      <text>
        <r>
          <rPr>
            <b/>
            <sz val="12"/>
            <color indexed="81"/>
            <rFont val="돋움"/>
            <family val="3"/>
            <charset val="129"/>
          </rPr>
          <t>po수량 확인 필요
도안 변경 필요(일자표기방법, 허가변경)</t>
        </r>
      </text>
    </comment>
  </commentList>
</comments>
</file>

<file path=xl/comments46.xml><?xml version="1.0" encoding="utf-8"?>
<comments xmlns="http://schemas.openxmlformats.org/spreadsheetml/2006/main">
  <authors>
    <author>User</author>
  </authors>
  <commentList>
    <comment ref="G3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프로모션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>(4/11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47.xml><?xml version="1.0" encoding="utf-8"?>
<comments xmlns="http://schemas.openxmlformats.org/spreadsheetml/2006/main">
  <authors>
    <author>User</author>
  </authors>
  <commentList>
    <comment ref="F4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6/25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성적처리</t>
        </r>
      </text>
    </comment>
  </commentList>
</comments>
</file>

<file path=xl/comments48.xml><?xml version="1.0" encoding="utf-8"?>
<comments xmlns="http://schemas.openxmlformats.org/spreadsheetml/2006/main">
  <authors>
    <author>YB.Jeong</author>
    <author>User</author>
  </authors>
  <commentList>
    <comment ref="O7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N9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8/13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성적처리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예정
</t>
        </r>
      </text>
    </comment>
    <comment ref="N15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8/21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성적처리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예정</t>
        </r>
      </text>
    </comment>
    <comment ref="N17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8/21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성적처리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예정</t>
        </r>
      </text>
    </comment>
    <comment ref="F30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8/13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성적처리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예정
</t>
        </r>
      </text>
    </comment>
    <comment ref="G30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8/13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성적처리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예정
</t>
        </r>
      </text>
    </comment>
    <comment ref="J38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8/21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성적처리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예정</t>
        </r>
      </text>
    </comment>
    <comment ref="H48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8/21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성적처리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예정</t>
        </r>
      </text>
    </comment>
  </commentList>
</comments>
</file>

<file path=xl/comments49.xml><?xml version="1.0" encoding="utf-8"?>
<comments xmlns="http://schemas.openxmlformats.org/spreadsheetml/2006/main">
  <authors>
    <author>YB.Jeong</author>
    <author>User</author>
  </authors>
  <commentList>
    <comment ref="O7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N14" authorId="1" shapeId="0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8/21</t>
        </r>
        <r>
          <rPr>
            <sz val="12"/>
            <color indexed="81"/>
            <rFont val="돋움"/>
            <family val="3"/>
            <charset val="129"/>
          </rPr>
          <t>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성적처리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예정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 xml:space="preserve">YB.Jeong
ROW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</text>
    </comment>
    <comment ref="G38" authorId="0" shapeId="0">
      <text>
        <r>
          <rPr>
            <b/>
            <sz val="9"/>
            <color indexed="81"/>
            <rFont val="Tahoma"/>
            <family val="2"/>
          </rPr>
          <t xml:space="preserve">YB.Jeong:
</t>
        </r>
        <r>
          <rPr>
            <b/>
            <sz val="9"/>
            <color indexed="81"/>
            <rFont val="돋움"/>
            <family val="3"/>
            <charset val="129"/>
          </rPr>
          <t>포장은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J38" authorId="0" shapeId="0">
      <text>
        <r>
          <rPr>
            <b/>
            <sz val="9"/>
            <color indexed="81"/>
            <rFont val="Tahoma"/>
            <family val="2"/>
          </rPr>
          <t>YB.Jeong: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기존표준품사용필요</t>
        </r>
      </text>
    </comment>
  </commentList>
</comments>
</file>

<file path=xl/comments50.xml><?xml version="1.0" encoding="utf-8"?>
<comments xmlns="http://schemas.openxmlformats.org/spreadsheetml/2006/main">
  <authors>
    <author>YB.Jeong</author>
    <author>User</author>
  </authors>
  <commentList>
    <comment ref="P7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YB.Jeong: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기존표준품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F30" authorId="1" shapeId="0">
      <text>
        <r>
          <rPr>
            <b/>
            <sz val="14"/>
            <color indexed="81"/>
            <rFont val="돋움"/>
            <family val="3"/>
            <charset val="129"/>
          </rPr>
          <t>외안각주름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도안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마지막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적용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배치</t>
        </r>
        <r>
          <rPr>
            <sz val="14"/>
            <color indexed="81"/>
            <rFont val="Tahoma"/>
            <family val="2"/>
          </rPr>
          <t xml:space="preserve">
</t>
        </r>
      </text>
    </comment>
  </commentList>
</comments>
</file>

<file path=xl/comments51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J21" authorId="0" shapeId="0">
      <text>
        <r>
          <rPr>
            <sz val="9"/>
            <color indexed="81"/>
            <rFont val="돋움"/>
            <family val="3"/>
            <charset val="129"/>
          </rPr>
          <t>일탈에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PR141742</t>
        </r>
      </text>
    </comment>
  </commentList>
</comments>
</file>

<file path=xl/comments52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53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54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55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H21" authorId="0" shapeId="0">
      <text>
        <r>
          <rPr>
            <b/>
            <sz val="9"/>
            <color indexed="81"/>
            <rFont val="Tahoma"/>
            <family val="2"/>
          </rPr>
          <t>YB.Jeong: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포장재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기준임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56.xml><?xml version="1.0" encoding="utf-8"?>
<comments xmlns="http://schemas.openxmlformats.org/spreadsheetml/2006/main">
  <authors>
    <author>YB.Jeong</author>
    <author>user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F12" authorId="1" shapeId="0">
      <text>
        <r>
          <rPr>
            <b/>
            <sz val="9"/>
            <color indexed="81"/>
            <rFont val="돋움"/>
            <family val="3"/>
            <charset val="129"/>
          </rPr>
          <t>제조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부형제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샘플링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, DS </t>
        </r>
        <r>
          <rPr>
            <b/>
            <sz val="9"/>
            <color indexed="81"/>
            <rFont val="돋움"/>
            <family val="3"/>
            <charset val="129"/>
          </rPr>
          <t>원액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재착수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제조번호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
X25010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) </t>
        </r>
      </text>
    </comment>
    <comment ref="H21" authorId="1" shapeId="0">
      <text>
        <r>
          <rPr>
            <b/>
            <sz val="9"/>
            <color indexed="81"/>
            <rFont val="돋움"/>
            <family val="3"/>
            <charset val="129"/>
          </rPr>
          <t>긴급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
자재</t>
        </r>
        <r>
          <rPr>
            <b/>
            <sz val="9"/>
            <color indexed="81"/>
            <rFont val="Tahoma"/>
            <family val="2"/>
          </rPr>
          <t xml:space="preserve"> 4/2 
</t>
        </r>
        <r>
          <rPr>
            <b/>
            <sz val="9"/>
            <color indexed="81"/>
            <rFont val="돋움"/>
            <family val="3"/>
            <charset val="129"/>
          </rPr>
          <t>성적</t>
        </r>
        <r>
          <rPr>
            <b/>
            <sz val="9"/>
            <color indexed="81"/>
            <rFont val="Tahoma"/>
            <family val="2"/>
          </rPr>
          <t xml:space="preserve"> 4/11
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셋째주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출하승인</t>
        </r>
        <r>
          <rPr>
            <b/>
            <sz val="9"/>
            <color indexed="81"/>
            <rFont val="Tahoma"/>
            <family val="2"/>
          </rPr>
          <t xml:space="preserve"> 4/22</t>
        </r>
      </text>
    </comment>
    <comment ref="G25" authorId="1" shapeId="0">
      <text>
        <r>
          <rPr>
            <b/>
            <sz val="9"/>
            <color indexed="81"/>
            <rFont val="Tahoma"/>
            <family val="2"/>
          </rPr>
          <t xml:space="preserve">12,337VI </t>
        </r>
        <r>
          <rPr>
            <b/>
            <sz val="9"/>
            <color indexed="81"/>
            <rFont val="돋움"/>
            <family val="3"/>
            <charset val="129"/>
          </rPr>
          <t>폐기
국내</t>
        </r>
        <r>
          <rPr>
            <b/>
            <sz val="9"/>
            <color indexed="81"/>
            <rFont val="Tahoma"/>
            <family val="2"/>
          </rPr>
          <t xml:space="preserve"> 100U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</text>
    </comment>
  </commentList>
</comments>
</file>

<file path=xl/comments57.xml><?xml version="1.0" encoding="utf-8"?>
<comments xmlns="http://schemas.openxmlformats.org/spreadsheetml/2006/main">
  <authors>
    <author>user</author>
    <author>YB.Jeong</author>
  </authors>
  <commentList>
    <comment ref="I6" authorId="0" shapeId="0">
      <text>
        <r>
          <rPr>
            <b/>
            <sz val="9"/>
            <color indexed="81"/>
            <rFont val="Tahoma"/>
            <family val="2"/>
          </rPr>
          <t xml:space="preserve">W25004 </t>
        </r>
        <r>
          <rPr>
            <b/>
            <sz val="9"/>
            <color indexed="81"/>
            <rFont val="돋움"/>
            <family val="3"/>
            <charset val="129"/>
          </rPr>
          <t>성적처리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오더발행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성적처리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4/28) </t>
        </r>
      </text>
    </comment>
    <comment ref="P8" authorId="1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 xml:space="preserve">5/28 </t>
        </r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J20" authorId="0" shapeId="0">
      <text>
        <r>
          <rPr>
            <b/>
            <sz val="9"/>
            <color indexed="81"/>
            <rFont val="돋움"/>
            <family val="3"/>
            <charset val="129"/>
          </rPr>
          <t>포장기록서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오류사항으로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8301785</t>
        </r>
      </text>
    </comment>
    <comment ref="J25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8301785</t>
        </r>
      </text>
    </comment>
    <comment ref="F30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8000783</t>
        </r>
      </text>
    </comment>
    <comment ref="I30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8300169
1,602 </t>
        </r>
        <r>
          <rPr>
            <b/>
            <sz val="9"/>
            <color indexed="81"/>
            <rFont val="돋움"/>
            <family val="3"/>
            <charset val="129"/>
          </rPr>
          <t>폐기</t>
        </r>
      </text>
    </comment>
    <comment ref="G31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8000783
</t>
        </r>
        <r>
          <rPr>
            <b/>
            <sz val="9"/>
            <color indexed="81"/>
            <rFont val="돋움"/>
            <family val="3"/>
            <charset val="129"/>
          </rPr>
          <t>전항목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샘플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파손</t>
        </r>
        <r>
          <rPr>
            <b/>
            <sz val="9"/>
            <color indexed="81"/>
            <rFont val="Tahoma"/>
            <family val="2"/>
          </rPr>
          <t xml:space="preserve"> (116VI, PR 165413)</t>
        </r>
      </text>
    </comment>
    <comment ref="J31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8301492</t>
        </r>
      </text>
    </comment>
  </commentList>
</comments>
</file>

<file path=xl/comments58.xml><?xml version="1.0" encoding="utf-8"?>
<comments xmlns="http://schemas.openxmlformats.org/spreadsheetml/2006/main">
  <authors>
    <author>user</author>
    <author>YB.Jeong</author>
  </authors>
  <commentList>
    <comment ref="F6" authorId="0" shapeId="0">
      <text>
        <r>
          <rPr>
            <sz val="9"/>
            <color indexed="81"/>
            <rFont val="돋움"/>
            <family val="3"/>
            <charset val="129"/>
          </rPr>
          <t>반제품코드</t>
        </r>
        <r>
          <rPr>
            <sz val="9"/>
            <color indexed="81"/>
            <rFont val="Tahoma"/>
            <family val="2"/>
          </rPr>
          <t xml:space="preserve"> 8300092</t>
        </r>
        <r>
          <rPr>
            <sz val="9"/>
            <color indexed="81"/>
            <rFont val="돋움"/>
            <family val="3"/>
            <charset val="129"/>
          </rPr>
          <t xml:space="preserve">
원액</t>
        </r>
        <r>
          <rPr>
            <sz val="9"/>
            <color indexed="81"/>
            <rFont val="Tahoma"/>
            <family val="2"/>
          </rPr>
          <t xml:space="preserve"> W25004
</t>
        </r>
      </text>
    </comment>
    <comment ref="F8" authorId="0" shapeId="0">
      <text>
        <r>
          <rPr>
            <b/>
            <sz val="9"/>
            <color indexed="81"/>
            <rFont val="돋움"/>
            <family val="3"/>
            <charset val="129"/>
          </rPr>
          <t>윈도우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업그레이드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H8" authorId="0" shapeId="0">
      <text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</t>
        </r>
        <r>
          <rPr>
            <b/>
            <sz val="9"/>
            <color indexed="81"/>
            <rFont val="Tahoma"/>
            <family val="2"/>
          </rPr>
          <t xml:space="preserve">)
- </t>
        </r>
        <r>
          <rPr>
            <b/>
            <sz val="9"/>
            <color indexed="81"/>
            <rFont val="돋움"/>
            <family val="3"/>
            <charset val="129"/>
          </rPr>
          <t>카토너</t>
        </r>
        <r>
          <rPr>
            <b/>
            <sz val="9"/>
            <color indexed="81"/>
            <rFont val="Tahoma"/>
            <family val="2"/>
          </rPr>
          <t xml:space="preserve">, 2D </t>
        </r>
        <r>
          <rPr>
            <b/>
            <sz val="9"/>
            <color indexed="81"/>
            <rFont val="돋움"/>
            <family val="3"/>
            <charset val="129"/>
          </rPr>
          <t>바코드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미착수</t>
        </r>
        <r>
          <rPr>
            <b/>
            <sz val="9"/>
            <color indexed="81"/>
            <rFont val="Tahoma"/>
            <family val="2"/>
          </rPr>
          <t xml:space="preserve">  </t>
        </r>
      </text>
    </comment>
    <comment ref="J8" authorId="0" shapeId="0">
      <text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</t>
        </r>
        <r>
          <rPr>
            <b/>
            <sz val="9"/>
            <color indexed="81"/>
            <rFont val="Tahoma"/>
            <family val="2"/>
          </rPr>
          <t xml:space="preserve">)
- </t>
        </r>
        <r>
          <rPr>
            <b/>
            <sz val="9"/>
            <color indexed="81"/>
            <rFont val="돋움"/>
            <family val="3"/>
            <charset val="129"/>
          </rPr>
          <t>카토너</t>
        </r>
        <r>
          <rPr>
            <b/>
            <sz val="9"/>
            <color indexed="81"/>
            <rFont val="Tahoma"/>
            <family val="2"/>
          </rPr>
          <t xml:space="preserve">, 2D </t>
        </r>
        <r>
          <rPr>
            <b/>
            <sz val="9"/>
            <color indexed="81"/>
            <rFont val="돋움"/>
            <family val="3"/>
            <charset val="129"/>
          </rPr>
          <t>바코드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미착수</t>
        </r>
        <r>
          <rPr>
            <b/>
            <sz val="9"/>
            <color indexed="81"/>
            <rFont val="Tahoma"/>
            <family val="2"/>
          </rPr>
          <t xml:space="preserve">  </t>
        </r>
      </text>
    </comment>
    <comment ref="P8" authorId="1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J12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8300169</t>
        </r>
      </text>
    </comment>
    <comment ref="F18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8000783
PR 166959 3,428 Vi </t>
        </r>
        <r>
          <rPr>
            <b/>
            <sz val="9"/>
            <color indexed="81"/>
            <rFont val="돋움"/>
            <family val="3"/>
            <charset val="129"/>
          </rPr>
          <t>격리</t>
        </r>
      </text>
    </comment>
    <comment ref="I18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8300092</t>
        </r>
      </text>
    </comment>
    <comment ref="G19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8000783</t>
        </r>
      </text>
    </comment>
    <comment ref="J19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8301785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</rPr>
          <t xml:space="preserve">X25043 </t>
        </r>
        <r>
          <rPr>
            <b/>
            <sz val="9"/>
            <color indexed="81"/>
            <rFont val="돋움"/>
            <family val="3"/>
            <charset val="129"/>
          </rPr>
          <t>언로딩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</text>
    </comment>
    <comment ref="I20" authorId="0" shapeId="0">
      <text>
        <r>
          <rPr>
            <b/>
            <sz val="9"/>
            <color indexed="81"/>
            <rFont val="돋움"/>
            <family val="3"/>
            <charset val="129"/>
          </rPr>
          <t>포기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 xml:space="preserve">7/2 </t>
        </r>
        <r>
          <rPr>
            <b/>
            <sz val="9"/>
            <color indexed="81"/>
            <rFont val="돋움"/>
            <family val="3"/>
            <charset val="129"/>
          </rPr>
          <t xml:space="preserve">출하승인
</t>
        </r>
      </text>
    </comment>
    <comment ref="J20" authorId="0" shapeId="0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 xml:space="preserve">X25019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
(X24114M: 6/18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6/19)</t>
        </r>
      </text>
    </comment>
    <comment ref="F24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8300169
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멸균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재수행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꽁정지연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24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8300181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8301785</t>
        </r>
      </text>
    </comment>
    <comment ref="J25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8301785</t>
        </r>
      </text>
    </comment>
    <comment ref="F30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8301492</t>
        </r>
      </text>
    </comment>
  </commentList>
</comments>
</file>

<file path=xl/comments59.xml><?xml version="1.0" encoding="utf-8"?>
<comments xmlns="http://schemas.openxmlformats.org/spreadsheetml/2006/main">
  <authors>
    <author>user</author>
    <author>YB.Jeong</author>
  </authors>
  <commentList>
    <comment ref="I6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8300169
</t>
        </r>
      </text>
    </comment>
    <comment ref="G7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8300169
PR 169228 1,562 VI </t>
        </r>
        <r>
          <rPr>
            <b/>
            <sz val="9"/>
            <color indexed="81"/>
            <rFont val="돋움"/>
            <family val="3"/>
            <charset val="129"/>
          </rPr>
          <t xml:space="preserve">격리
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동결건조기</t>
        </r>
        <r>
          <rPr>
            <b/>
            <sz val="9"/>
            <color indexed="81"/>
            <rFont val="Tahoma"/>
            <family val="2"/>
          </rPr>
          <t xml:space="preserve">-1(10010) Cycle Abort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캡핑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허용시간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J7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8301785</t>
        </r>
      </text>
    </comment>
    <comment ref="P8" authorId="1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국검신청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
미수금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(6/12) </t>
        </r>
      </text>
    </comment>
    <comment ref="F12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8300169</t>
        </r>
      </text>
    </comment>
    <comment ref="I12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8000783</t>
        </r>
      </text>
    </comment>
    <comment ref="G13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8300169</t>
        </r>
      </text>
    </comment>
    <comment ref="J13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8000783
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200U(8000765 </t>
        </r>
        <r>
          <rPr>
            <b/>
            <sz val="9"/>
            <color indexed="81"/>
            <rFont val="돋움"/>
            <family val="3"/>
            <charset val="129"/>
          </rPr>
          <t>원액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100U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, 6/24</t>
        </r>
      </text>
    </comment>
    <comment ref="F18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8000783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8300169
</t>
        </r>
      </text>
    </comment>
    <comment ref="P18" authorId="0" shapeId="0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19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8000783</t>
        </r>
      </text>
    </comment>
    <comment ref="J19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8300169
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 xml:space="preserve">7/24 </t>
        </r>
        <r>
          <rPr>
            <b/>
            <sz val="9"/>
            <color indexed="81"/>
            <rFont val="돋움"/>
            <family val="3"/>
            <charset val="129"/>
          </rPr>
          <t>출하승인</t>
        </r>
      </text>
    </comment>
    <comment ref="I21" authorId="0" shapeId="0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: 16~17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17~18</t>
        </r>
      </text>
    </comment>
    <comment ref="F24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8300092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24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8300169</t>
        </r>
      </text>
    </comment>
    <comment ref="J25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8300169
</t>
        </r>
      </text>
    </comment>
    <comment ref="F30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
8301495
</t>
        </r>
      </text>
    </comment>
    <comment ref="I30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8000783</t>
        </r>
      </text>
    </comment>
    <comment ref="G31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8300169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 xml:space="preserve">2,499 </t>
        </r>
        <r>
          <rPr>
            <b/>
            <sz val="9"/>
            <color indexed="81"/>
            <rFont val="돋움"/>
            <family val="3"/>
            <charset val="129"/>
          </rPr>
          <t xml:space="preserve">바이알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바이알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로스</t>
        </r>
        <r>
          <rPr>
            <b/>
            <sz val="9"/>
            <color indexed="81"/>
            <rFont val="Tahoma"/>
            <family val="2"/>
          </rPr>
          <t xml:space="preserve">) </t>
        </r>
      </text>
    </comment>
  </commentList>
</comments>
</file>

<file path=xl/comments60.xml><?xml version="1.0" encoding="utf-8"?>
<comments xmlns="http://schemas.openxmlformats.org/spreadsheetml/2006/main">
  <authors>
    <author>YB.Jeong</author>
    <author>user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S15" authorId="1" shapeId="0">
      <text>
        <r>
          <rPr>
            <b/>
            <sz val="9"/>
            <color indexed="81"/>
            <rFont val="Tahoma"/>
            <family val="2"/>
          </rPr>
          <t xml:space="preserve">2,500 VI </t>
        </r>
        <r>
          <rPr>
            <b/>
            <sz val="9"/>
            <color indexed="81"/>
            <rFont val="돋움"/>
            <family val="3"/>
            <charset val="129"/>
          </rPr>
          <t xml:space="preserve">확인완료
</t>
        </r>
        <r>
          <rPr>
            <b/>
            <sz val="9"/>
            <color indexed="81"/>
            <rFont val="Tahoma"/>
            <family val="2"/>
          </rPr>
          <t xml:space="preserve">330 VI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1" authorId="1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바이알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26" authorId="1" shapeId="0">
      <text>
        <r>
          <rPr>
            <b/>
            <sz val="9"/>
            <color indexed="81"/>
            <rFont val="돋움"/>
            <family val="3"/>
            <charset val="129"/>
          </rPr>
          <t>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일탈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27" authorId="1" shapeId="0">
      <text>
        <r>
          <rPr>
            <b/>
            <sz val="9"/>
            <color indexed="81"/>
            <rFont val="돋움"/>
            <family val="3"/>
            <charset val="129"/>
          </rPr>
          <t>수동샘플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일탈</t>
        </r>
        <r>
          <rPr>
            <b/>
            <sz val="9"/>
            <color indexed="81"/>
            <rFont val="Tahoma"/>
            <family val="2"/>
          </rPr>
          <t xml:space="preserve"> (8/21) </t>
        </r>
      </text>
    </comment>
    <comment ref="F33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훈증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1.xml><?xml version="1.0" encoding="utf-8"?>
<comments xmlns="http://schemas.openxmlformats.org/spreadsheetml/2006/main">
  <authors>
    <author>user</author>
    <author>YB.Jeong</author>
  </authors>
  <commentList>
    <comment ref="H8" authorId="0" shapeId="0">
      <text>
        <r>
          <rPr>
            <b/>
            <sz val="9"/>
            <color indexed="81"/>
            <rFont val="돋움"/>
            <family val="3"/>
            <charset val="129"/>
          </rPr>
          <t>케이스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비주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훈증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(9/1-9/2 </t>
        </r>
        <r>
          <rPr>
            <b/>
            <sz val="9"/>
            <color indexed="81"/>
            <rFont val="돋움"/>
            <family val="3"/>
            <charset val="129"/>
          </rPr>
          <t>오후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일정으로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P8" authorId="1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H9" authorId="0" shapeId="0">
      <text>
        <r>
          <rPr>
            <b/>
            <sz val="9"/>
            <color indexed="81"/>
            <rFont val="돋움"/>
            <family val="3"/>
            <charset val="129"/>
          </rPr>
          <t>훈중으로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알부민 001640N
유효기한 : 2028.01.26
</t>
        </r>
      </text>
    </comment>
    <comment ref="G25" authorId="0" shapeId="0">
      <text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 xml:space="preserve">8301495
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바이알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loss
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(9/24) </t>
        </r>
      </text>
    </comment>
    <comment ref="F30" authorId="0" shapeId="0">
      <text>
        <r>
          <rPr>
            <b/>
            <sz val="9"/>
            <color indexed="81"/>
            <rFont val="돋움"/>
            <family val="3"/>
            <charset val="129"/>
          </rPr>
          <t>중국원액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31" authorId="0" shapeId="0">
      <text>
        <r>
          <rPr>
            <b/>
            <sz val="9"/>
            <color indexed="81"/>
            <rFont val="돋움"/>
            <family val="3"/>
            <charset val="129"/>
          </rPr>
          <t>중국원액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34" authorId="0" shapeId="0">
      <text>
        <r>
          <rPr>
            <b/>
            <sz val="9"/>
            <color indexed="81"/>
            <rFont val="돋움"/>
            <family val="3"/>
            <charset val="129"/>
          </rPr>
          <t>에이스팩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2.xml><?xml version="1.0" encoding="utf-8"?>
<comments xmlns="http://schemas.openxmlformats.org/spreadsheetml/2006/main">
  <authors>
    <author>YB.Jeong</author>
    <author>user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G9" authorId="1" shapeId="0">
      <text>
        <r>
          <rPr>
            <b/>
            <sz val="9"/>
            <color indexed="81"/>
            <rFont val="돋움"/>
            <family val="3"/>
            <charset val="129"/>
          </rPr>
          <t>에이스팩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20" authorId="1" shapeId="0">
      <text>
        <r>
          <rPr>
            <b/>
            <sz val="9"/>
            <color indexed="81"/>
            <rFont val="돋움"/>
            <family val="3"/>
            <charset val="129"/>
          </rPr>
          <t>홀로그램박 도은 적용
(적응증X)
10/13 포장 
11/20 출하승인 
11/26 선적
1vi 포장 loss 추가포장(10/13)</t>
        </r>
      </text>
    </comment>
    <comment ref="F26" authorId="1" shapeId="0">
      <text>
        <r>
          <rPr>
            <b/>
            <sz val="9"/>
            <color indexed="81"/>
            <rFont val="돋움"/>
            <family val="3"/>
            <charset val="129"/>
          </rPr>
          <t>- 유효기간 (24M → 36M)
- 포장재 이슈 (기존 도안 포장) 
- 포장 loss 1vi(10/20)</t>
        </r>
      </text>
    </comment>
    <comment ref="H26" authorId="1" shapeId="0">
      <text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(~9/19)
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loss (1vi) </t>
        </r>
      </text>
    </comment>
    <comment ref="G27" authorId="1" shapeId="0">
      <text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>(~9/19)</t>
        </r>
      </text>
    </comment>
    <comment ref="F30" authorId="1" shapeId="0">
      <text>
        <r>
          <rPr>
            <b/>
            <sz val="9"/>
            <color indexed="81"/>
            <rFont val="돋움"/>
            <family val="3"/>
            <charset val="129"/>
          </rPr>
          <t>8300181
(8000765 원액)
CV 검증(10/27-1차)</t>
        </r>
      </text>
    </comment>
    <comment ref="I30" authorId="1" shapeId="0">
      <text>
        <r>
          <rPr>
            <b/>
            <sz val="9"/>
            <color indexed="81"/>
            <rFont val="돋움"/>
            <family val="3"/>
            <charset val="129"/>
          </rPr>
          <t>중국원액</t>
        </r>
        <r>
          <rPr>
            <b/>
            <sz val="9"/>
            <color indexed="81"/>
            <rFont val="Tahoma"/>
            <family val="2"/>
          </rPr>
          <t xml:space="preserve"> 
* 9~11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원액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31" authorId="1" shapeId="0">
      <text>
        <r>
          <rPr>
            <b/>
            <sz val="9"/>
            <color indexed="81"/>
            <rFont val="돋움"/>
            <family val="3"/>
            <charset val="129"/>
          </rPr>
          <t>알부민</t>
        </r>
        <r>
          <rPr>
            <b/>
            <sz val="9"/>
            <color indexed="81"/>
            <rFont val="Tahoma"/>
            <family val="2"/>
          </rPr>
          <t xml:space="preserve"> 002044N</t>
        </r>
      </text>
    </comment>
    <comment ref="J31" authorId="1" shapeId="0">
      <text>
        <r>
          <rPr>
            <b/>
            <sz val="9"/>
            <color indexed="81"/>
            <rFont val="돋움"/>
            <family val="3"/>
            <charset val="129"/>
          </rPr>
          <t>국내전환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검토중</t>
        </r>
        <r>
          <rPr>
            <b/>
            <sz val="9"/>
            <color indexed="81"/>
            <rFont val="Tahoma"/>
            <family val="2"/>
          </rPr>
          <t>(10/14)</t>
        </r>
      </text>
    </comment>
    <comment ref="G32" authorId="1" shapeId="0">
      <text>
        <r>
          <rPr>
            <b/>
            <sz val="9"/>
            <color indexed="81"/>
            <rFont val="돋움"/>
            <family val="3"/>
            <charset val="129"/>
          </rPr>
          <t>에이스팩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서브배치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A-&gt;C</t>
        </r>
      </text>
    </comment>
    <comment ref="F33" authorId="1" shapeId="0">
      <text>
        <r>
          <rPr>
            <b/>
            <sz val="9"/>
            <color indexed="81"/>
            <rFont val="Tahoma"/>
            <family val="2"/>
          </rPr>
          <t xml:space="preserve">45C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(~ 9/19)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(9/30)
</t>
        </r>
      </text>
    </comment>
    <comment ref="G33" authorId="1" shapeId="0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바이알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추가포장</t>
        </r>
        <r>
          <rPr>
            <b/>
            <sz val="9"/>
            <color indexed="81"/>
            <rFont val="Tahoma"/>
            <family val="2"/>
          </rPr>
          <t xml:space="preserve"> (10/29)</t>
        </r>
      </text>
    </comment>
  </commentList>
</comments>
</file>

<file path=xl/comments63.xml><?xml version="1.0" encoding="utf-8"?>
<comments xmlns="http://schemas.openxmlformats.org/spreadsheetml/2006/main">
  <authors>
    <author>YB.Jeong</author>
    <author>user</author>
    <author>나보타관리팀_이지현</author>
    <author>Jihyeon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F12" authorId="1" shapeId="0">
      <text>
        <r>
          <rPr>
            <b/>
            <sz val="9"/>
            <color indexed="81"/>
            <rFont val="돋움"/>
            <family val="3"/>
            <charset val="129"/>
          </rPr>
          <t>알부민</t>
        </r>
        <r>
          <rPr>
            <b/>
            <sz val="9"/>
            <color indexed="81"/>
            <rFont val="Tahoma"/>
            <family val="2"/>
          </rPr>
          <t xml:space="preserve"> 002044N
</t>
        </r>
        <r>
          <rPr>
            <b/>
            <sz val="9"/>
            <color indexed="81"/>
            <rFont val="돋움"/>
            <family val="3"/>
            <charset val="129"/>
          </rPr>
          <t>약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바이알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폐기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2" authorId="1" shapeId="0">
      <text>
        <r>
          <rPr>
            <b/>
            <sz val="9"/>
            <color indexed="81"/>
            <rFont val="돋움"/>
            <family val="3"/>
            <charset val="129"/>
          </rPr>
          <t>알부민</t>
        </r>
        <r>
          <rPr>
            <b/>
            <sz val="9"/>
            <color indexed="81"/>
            <rFont val="Tahoma"/>
            <family val="2"/>
          </rPr>
          <t xml:space="preserve"> 002044N</t>
        </r>
      </text>
    </comment>
    <comment ref="J13" authorId="1" shapeId="0">
      <text>
        <r>
          <rPr>
            <b/>
            <sz val="9"/>
            <color indexed="81"/>
            <rFont val="돋움"/>
            <family val="3"/>
            <charset val="129"/>
          </rPr>
          <t>중국원액</t>
        </r>
        <r>
          <rPr>
            <b/>
            <sz val="9"/>
            <color indexed="81"/>
            <rFont val="Tahoma"/>
            <family val="2"/>
          </rPr>
          <t xml:space="preserve"> 
* 9~11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원액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14" authorId="1" shapeId="0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에이스팩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출하예정</t>
        </r>
        <r>
          <rPr>
            <b/>
            <sz val="9"/>
            <color indexed="81"/>
            <rFont val="Tahoma"/>
            <family val="2"/>
          </rPr>
          <t xml:space="preserve"> (12/9)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F15" authorId="1" shapeId="0">
      <text>
        <r>
          <rPr>
            <b/>
            <sz val="9"/>
            <color indexed="81"/>
            <rFont val="돋움"/>
            <family val="3"/>
            <charset val="129"/>
          </rPr>
          <t>봉함라벨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잔여라벨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6" authorId="2" shapeId="0">
      <text>
        <r>
          <rPr>
            <b/>
            <sz val="9"/>
            <color indexed="81"/>
            <rFont val="돋움"/>
            <family val="3"/>
            <charset val="129"/>
          </rPr>
          <t>간지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휘어짐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봉함라벨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이슈사항으로</t>
        </r>
        <r>
          <rPr>
            <b/>
            <sz val="9"/>
            <color indexed="81"/>
            <rFont val="Tahoma"/>
            <family val="2"/>
          </rPr>
          <t xml:space="preserve"> ~11/10 </t>
        </r>
        <r>
          <rPr>
            <b/>
            <sz val="9"/>
            <color indexed="81"/>
            <rFont val="돋움"/>
            <family val="3"/>
            <charset val="129"/>
          </rPr>
          <t>포장일정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18" authorId="1" shapeId="0">
      <text>
        <r>
          <rPr>
            <b/>
            <sz val="9"/>
            <color indexed="81"/>
            <rFont val="돋움"/>
            <family val="3"/>
            <charset val="129"/>
          </rPr>
          <t>알부민</t>
        </r>
        <r>
          <rPr>
            <b/>
            <sz val="9"/>
            <color indexed="81"/>
            <rFont val="Tahoma"/>
            <family val="2"/>
          </rPr>
          <t xml:space="preserve"> 002044N</t>
        </r>
      </text>
    </comment>
    <comment ref="G19" authorId="1" shapeId="0">
      <text>
        <r>
          <rPr>
            <b/>
            <sz val="9"/>
            <color indexed="81"/>
            <rFont val="돋움"/>
            <family val="3"/>
            <charset val="129"/>
          </rPr>
          <t>중국원액</t>
        </r>
        <r>
          <rPr>
            <b/>
            <sz val="9"/>
            <color indexed="81"/>
            <rFont val="Tahoma"/>
            <family val="2"/>
          </rPr>
          <t xml:space="preserve"> 
* 9~11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원액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J19" authorId="1" shapeId="0">
      <text>
        <r>
          <rPr>
            <b/>
            <sz val="9"/>
            <color indexed="81"/>
            <rFont val="돋움"/>
            <family val="3"/>
            <charset val="129"/>
          </rPr>
          <t>중국원액</t>
        </r>
        <r>
          <rPr>
            <b/>
            <sz val="9"/>
            <color indexed="81"/>
            <rFont val="Tahoma"/>
            <family val="2"/>
          </rPr>
          <t xml:space="preserve"> 
* 9~11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원액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H20" authorId="2" shapeId="0">
      <text>
        <r>
          <rPr>
            <b/>
            <sz val="9"/>
            <color indexed="81"/>
            <rFont val="Tahoma"/>
            <family val="2"/>
          </rPr>
          <t xml:space="preserve">11/10 </t>
        </r>
        <r>
          <rPr>
            <b/>
            <sz val="9"/>
            <color indexed="81"/>
            <rFont val="돋움"/>
            <family val="3"/>
            <charset val="129"/>
          </rPr>
          <t>오후
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성적처리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설명서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뜯어짐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21" authorId="2" shapeId="0">
      <text>
        <r>
          <rPr>
            <b/>
            <sz val="9"/>
            <color indexed="81"/>
            <rFont val="돋움"/>
            <family val="3"/>
            <charset val="129"/>
          </rPr>
          <t>간지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휘어짐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봉함라벨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이슈사항으로</t>
        </r>
        <r>
          <rPr>
            <b/>
            <sz val="9"/>
            <color indexed="81"/>
            <rFont val="Tahoma"/>
            <family val="2"/>
          </rPr>
          <t xml:space="preserve"> ~11/10 </t>
        </r>
        <r>
          <rPr>
            <b/>
            <sz val="9"/>
            <color indexed="81"/>
            <rFont val="돋움"/>
            <family val="3"/>
            <charset val="129"/>
          </rPr>
          <t>포장일정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1" authorId="3" shapeId="0">
      <text>
        <r>
          <rPr>
            <b/>
            <sz val="9"/>
            <color indexed="81"/>
            <rFont val="돋움"/>
            <family val="3"/>
            <charset val="129"/>
          </rPr>
          <t>간지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접착</t>
        </r>
      </text>
    </comment>
    <comment ref="F24" authorId="1" shapeId="0">
      <text>
        <r>
          <rPr>
            <b/>
            <sz val="9"/>
            <color indexed="81"/>
            <rFont val="돋움"/>
            <family val="3"/>
            <charset val="129"/>
          </rPr>
          <t>중국원액</t>
        </r>
        <r>
          <rPr>
            <b/>
            <sz val="9"/>
            <color indexed="81"/>
            <rFont val="Tahoma"/>
            <family val="2"/>
          </rPr>
          <t xml:space="preserve"> 
* 9~11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원액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26" authorId="1" shapeId="0">
      <text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부족</t>
        </r>
        <r>
          <rPr>
            <b/>
            <sz val="9"/>
            <color indexed="81"/>
            <rFont val="Tahoma"/>
            <family val="2"/>
          </rPr>
          <t xml:space="preserve"> (12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포장분과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, 10/17) </t>
        </r>
      </text>
    </comment>
    <comment ref="G27" authorId="1" shapeId="0">
      <text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부족</t>
        </r>
        <r>
          <rPr>
            <b/>
            <sz val="9"/>
            <color indexed="81"/>
            <rFont val="Tahoma"/>
            <family val="2"/>
          </rPr>
          <t xml:space="preserve"> (12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포장분과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, 10/17) </t>
        </r>
      </text>
    </comment>
    <comment ref="I30" authorId="1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중국원액 
* 9~11월 국내 중국 원액 </t>
        </r>
      </text>
    </comment>
    <comment ref="J31" authorId="1" shapeId="0">
      <text>
        <r>
          <rPr>
            <b/>
            <sz val="9"/>
            <color indexed="81"/>
            <rFont val="돋움"/>
            <family val="3"/>
            <charset val="129"/>
          </rPr>
          <t>중국원액</t>
        </r>
        <r>
          <rPr>
            <b/>
            <sz val="9"/>
            <color indexed="81"/>
            <rFont val="Tahoma"/>
            <family val="2"/>
          </rPr>
          <t xml:space="preserve"> 
* 9~11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원액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4.xml><?xml version="1.0" encoding="utf-8"?>
<comments xmlns="http://schemas.openxmlformats.org/spreadsheetml/2006/main">
  <authors>
    <author>user</author>
    <author>YB.Jeong</author>
    <author>Jihyeon</author>
    <author>나보타관리팀_이지현</author>
  </authors>
  <commentList>
    <comment ref="F6" authorId="0" shapeId="0">
      <text>
        <r>
          <rPr>
            <b/>
            <sz val="9"/>
            <color indexed="81"/>
            <rFont val="돋움"/>
            <family val="3"/>
            <charset val="129"/>
          </rPr>
          <t>C동 스케일업 원액
(안정성 포장 대상)
반제품 코드
8301492</t>
        </r>
      </text>
    </comment>
    <comment ref="P8" authorId="1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F12" authorId="2" shape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성적처리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알부민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</t>
        </r>
        <r>
          <rPr>
            <b/>
            <sz val="9"/>
            <color indexed="81"/>
            <rFont val="Tahoma"/>
            <family val="2"/>
          </rPr>
          <t xml:space="preserve"> 
W25004</t>
        </r>
      </text>
    </comment>
    <comment ref="G13" authorId="0" shapeId="0">
      <text>
        <r>
          <rPr>
            <b/>
            <sz val="9"/>
            <color indexed="81"/>
            <rFont val="돋움"/>
            <family val="3"/>
            <charset val="129"/>
          </rPr>
          <t>중국원액
코드 8300055</t>
        </r>
      </text>
    </comment>
    <comment ref="J13" authorId="3" shapeId="0">
      <text>
        <r>
          <rPr>
            <b/>
            <sz val="9"/>
            <color indexed="81"/>
            <rFont val="Tahoma"/>
            <family val="2"/>
          </rPr>
          <t>CV1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(12/12)</t>
        </r>
      </text>
    </comment>
    <comment ref="F18" authorId="2" shapeId="0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원액</t>
        </r>
        <r>
          <rPr>
            <b/>
            <sz val="9"/>
            <color indexed="81"/>
            <rFont val="Tahoma"/>
            <family val="2"/>
          </rPr>
          <t xml:space="preserve"> W25009</t>
        </r>
        <r>
          <rPr>
            <b/>
            <sz val="9"/>
            <color indexed="81"/>
            <rFont val="돋움"/>
            <family val="3"/>
            <charset val="129"/>
          </rPr>
          <t xml:space="preserve">
이물검사</t>
        </r>
        <r>
          <rPr>
            <b/>
            <sz val="9"/>
            <color indexed="81"/>
            <rFont val="Tahoma"/>
            <family val="2"/>
          </rPr>
          <t xml:space="preserve"> 12/22 </t>
        </r>
      </text>
    </comment>
    <comment ref="G19" authorId="2" shapeId="0">
      <text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8300055</t>
        </r>
      </text>
    </comment>
    <comment ref="I21" authorId="0" shapeId="0">
      <text>
        <r>
          <rPr>
            <b/>
            <sz val="9"/>
            <color indexed="81"/>
            <rFont val="돋움"/>
            <family val="3"/>
            <charset val="129"/>
          </rPr>
          <t>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F24" authorId="3" shapeId="0">
      <text>
        <r>
          <rPr>
            <b/>
            <sz val="9"/>
            <color indexed="81"/>
            <rFont val="Tahoma"/>
            <family val="2"/>
          </rPr>
          <t>CV2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(12/22)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 xml:space="preserve">620+ </t>
        </r>
        <r>
          <rPr>
            <b/>
            <sz val="9"/>
            <color indexed="81"/>
            <rFont val="돋움"/>
            <family val="3"/>
            <charset val="129"/>
          </rPr>
          <t>보관검체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F26" authorId="0" shapeId="0">
      <text>
        <r>
          <rPr>
            <b/>
            <sz val="9"/>
            <color indexed="81"/>
            <rFont val="돋움"/>
            <family val="3"/>
            <charset val="129"/>
          </rPr>
          <t>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F33" authorId="3" shapeId="0">
      <text>
        <r>
          <rPr>
            <b/>
            <sz val="9"/>
            <color indexed="81"/>
            <rFont val="돋움"/>
            <family val="3"/>
            <charset val="129"/>
          </rPr>
          <t>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부적합</t>
        </r>
        <r>
          <rPr>
            <b/>
            <sz val="9"/>
            <color indexed="81"/>
            <rFont val="Tahoma"/>
            <family val="2"/>
          </rPr>
          <t xml:space="preserve"> (11/4) 
</t>
        </r>
        <r>
          <rPr>
            <b/>
            <sz val="9"/>
            <color indexed="81"/>
            <rFont val="돋움"/>
            <family val="3"/>
            <charset val="129"/>
          </rPr>
          <t>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재입고</t>
        </r>
        <r>
          <rPr>
            <b/>
            <sz val="9"/>
            <color indexed="81"/>
            <rFont val="Tahoma"/>
            <family val="2"/>
          </rPr>
          <t xml:space="preserve"> (11/10)
</t>
        </r>
        <r>
          <rPr>
            <b/>
            <sz val="9"/>
            <color indexed="81"/>
            <rFont val="돋움"/>
            <family val="3"/>
            <charset val="129"/>
          </rPr>
          <t>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약가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5.xml><?xml version="1.0" encoding="utf-8"?>
<comments xmlns="http://schemas.openxmlformats.org/spreadsheetml/2006/main">
  <authors>
    <author>YB.Jeong</author>
    <author>Jihyeon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  <comment ref="F14" authorId="1" shapeId="0">
      <text>
        <r>
          <rPr>
            <b/>
            <sz val="9"/>
            <color indexed="81"/>
            <rFont val="돋움"/>
            <family val="3"/>
            <charset val="129"/>
          </rPr>
          <t>적응증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(11/12)
~ 1/5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(2/19 </t>
        </r>
        <r>
          <rPr>
            <b/>
            <sz val="9"/>
            <color indexed="81"/>
            <rFont val="돋움"/>
            <family val="3"/>
            <charset val="129"/>
          </rPr>
          <t>출하승인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15" authorId="1" shapeId="0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  <r>
          <rPr>
            <b/>
            <sz val="9"/>
            <color indexed="81"/>
            <rFont val="Tahoma"/>
            <family val="2"/>
          </rPr>
          <t xml:space="preserve"> -&gt; 
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사유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브라질</t>
        </r>
        <r>
          <rPr>
            <b/>
            <sz val="9"/>
            <color indexed="81"/>
            <rFont val="Tahoma"/>
            <family val="2"/>
          </rPr>
          <t xml:space="preserve"> 100U </t>
        </r>
        <r>
          <rPr>
            <b/>
            <sz val="9"/>
            <color indexed="81"/>
            <rFont val="돋움"/>
            <family val="3"/>
            <charset val="129"/>
          </rPr>
          <t>물량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조정으로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
(11/25, </t>
        </r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1/15, </t>
        </r>
        <r>
          <rPr>
            <b/>
            <sz val="9"/>
            <color indexed="81"/>
            <rFont val="돋움"/>
            <family val="3"/>
            <charset val="129"/>
          </rPr>
          <t>출하승인</t>
        </r>
        <r>
          <rPr>
            <b/>
            <sz val="9"/>
            <color indexed="81"/>
            <rFont val="Tahoma"/>
            <family val="2"/>
          </rPr>
          <t xml:space="preserve"> 2/23)
* 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변동사항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19" authorId="1" shapeId="0">
      <text>
        <r>
          <rPr>
            <b/>
            <sz val="9"/>
            <color indexed="81"/>
            <rFont val="Tahoma"/>
            <family val="2"/>
          </rPr>
          <t xml:space="preserve">W25013 </t>
        </r>
        <r>
          <rPr>
            <b/>
            <sz val="9"/>
            <color indexed="81"/>
            <rFont val="돋움"/>
            <family val="3"/>
            <charset val="129"/>
          </rPr>
          <t>중국원액
반제품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8300055</t>
        </r>
      </text>
    </comment>
  </commentList>
</comments>
</file>

<file path=xl/comments66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67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68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69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70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71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72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73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74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75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comments76.xml><?xml version="1.0" encoding="utf-8"?>
<comments xmlns="http://schemas.openxmlformats.org/spreadsheetml/2006/main">
  <authors>
    <author>YB.Jeong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 xml:space="preserve">YB.Jeong:
Full </t>
        </r>
        <r>
          <rPr>
            <b/>
            <sz val="9"/>
            <color indexed="81"/>
            <rFont val="돋움"/>
            <family val="3"/>
            <charset val="129"/>
          </rPr>
          <t>배치포장은</t>
        </r>
        <r>
          <rPr>
            <b/>
            <sz val="9"/>
            <color indexed="81"/>
            <rFont val="Tahoma"/>
            <family val="2"/>
          </rPr>
          <t xml:space="preserve"> 34000
Sub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포장은
</t>
        </r>
        <r>
          <rPr>
            <b/>
            <sz val="9"/>
            <color indexed="81"/>
            <rFont val="Tahoma"/>
            <family val="2"/>
          </rPr>
          <t xml:space="preserve">SF or </t>
        </r>
        <r>
          <rPr>
            <b/>
            <sz val="9"/>
            <color indexed="81"/>
            <rFont val="돋움"/>
            <family val="3"/>
            <charset val="129"/>
          </rPr>
          <t>오더수량</t>
        </r>
      </text>
    </comment>
  </commentList>
</comments>
</file>

<file path=xl/sharedStrings.xml><?xml version="1.0" encoding="utf-8"?>
<sst xmlns="http://schemas.openxmlformats.org/spreadsheetml/2006/main" count="15353" uniqueCount="4810">
  <si>
    <t>일요일</t>
  </si>
  <si>
    <t>월요일</t>
  </si>
  <si>
    <t>화요일</t>
  </si>
  <si>
    <t>수요일</t>
  </si>
  <si>
    <t>목요일</t>
  </si>
  <si>
    <t>금요일</t>
  </si>
  <si>
    <t>토요일</t>
  </si>
  <si>
    <t>포장</t>
  </si>
  <si>
    <t>원액</t>
  </si>
  <si>
    <t>반제품</t>
    <phoneticPr fontId="6" type="noConversion"/>
  </si>
  <si>
    <t xml:space="preserve">포장 자재 입고 일정에 따라 포장 일자 변경 될 수 있습니다. </t>
    <phoneticPr fontId="6" type="noConversion"/>
  </si>
  <si>
    <t>100단위</t>
    <phoneticPr fontId="6" type="noConversion"/>
  </si>
  <si>
    <t>50단위</t>
    <phoneticPr fontId="6" type="noConversion"/>
  </si>
  <si>
    <t xml:space="preserve">100단위 </t>
    <phoneticPr fontId="6" type="noConversion"/>
  </si>
  <si>
    <t>개천철</t>
    <phoneticPr fontId="6" type="noConversion"/>
  </si>
  <si>
    <t>추석</t>
    <phoneticPr fontId="6" type="noConversion"/>
  </si>
  <si>
    <t>대체공휴일</t>
    <phoneticPr fontId="6" type="noConversion"/>
  </si>
  <si>
    <t>2017년
Total Lot</t>
    <phoneticPr fontId="6" type="noConversion"/>
  </si>
  <si>
    <t xml:space="preserve">2017년 
월 평균 Lot </t>
    <phoneticPr fontId="6" type="noConversion"/>
  </si>
  <si>
    <t>합계 (Lot)</t>
    <phoneticPr fontId="6" type="noConversion"/>
  </si>
  <si>
    <t>단위 (Uint)</t>
    <phoneticPr fontId="6" type="noConversion"/>
  </si>
  <si>
    <t>3. 150U : 연 2Lot 생산</t>
    <phoneticPr fontId="6" type="noConversion"/>
  </si>
  <si>
    <t>4. 50U : 1Lot / 2개월</t>
    <phoneticPr fontId="6" type="noConversion"/>
  </si>
  <si>
    <t xml:space="preserve">2. 10월 연휴(개천절, 추석, 한글날) : 10/03~10/09 </t>
    <phoneticPr fontId="6" type="noConversion"/>
  </si>
  <si>
    <t>정기유지보수 / 예방정비 →</t>
    <phoneticPr fontId="6" type="noConversion"/>
  </si>
  <si>
    <t xml:space="preserve">1. 정기유지보수 및 예방정비, Media Fill(6개월 주기) : 2월, 8월 </t>
    <phoneticPr fontId="6" type="noConversion"/>
  </si>
  <si>
    <t xml:space="preserve">DP PV 1차 </t>
    <phoneticPr fontId="6" type="noConversion"/>
  </si>
  <si>
    <t>DP PV3차</t>
    <phoneticPr fontId="6" type="noConversion"/>
  </si>
  <si>
    <t xml:space="preserve">남미 수출용 100단위 </t>
    <phoneticPr fontId="6" type="noConversion"/>
  </si>
  <si>
    <t xml:space="preserve">DP PV 2차 </t>
    <phoneticPr fontId="6" type="noConversion"/>
  </si>
  <si>
    <r>
      <t>N</t>
    </r>
    <r>
      <rPr>
        <sz val="11"/>
        <color rgb="FF000000"/>
        <rFont val="맑은 고딕"/>
        <family val="2"/>
      </rPr>
      <t>BTN002B</t>
    </r>
    <phoneticPr fontId="6" type="noConversion"/>
  </si>
  <si>
    <r>
      <t>N</t>
    </r>
    <r>
      <rPr>
        <sz val="11"/>
        <color rgb="FF000000"/>
        <rFont val="맑은 고딕"/>
        <family val="2"/>
      </rPr>
      <t>BTN000B</t>
    </r>
    <phoneticPr fontId="6" type="noConversion"/>
  </si>
  <si>
    <t>원액생산</t>
    <phoneticPr fontId="6" type="noConversion"/>
  </si>
  <si>
    <r>
      <t>생산 계획</t>
    </r>
    <r>
      <rPr>
        <sz val="11"/>
        <color rgb="FF000000"/>
        <rFont val="맑은 고딕"/>
        <family val="2"/>
      </rPr>
      <t xml:space="preserve"> 뱃치</t>
    </r>
    <phoneticPr fontId="6" type="noConversion"/>
  </si>
  <si>
    <r>
      <t>포장 계획</t>
    </r>
    <r>
      <rPr>
        <sz val="11"/>
        <color rgb="FF000000"/>
        <rFont val="맑은 고딕"/>
        <family val="2"/>
      </rPr>
      <t xml:space="preserve"> 뱃치</t>
    </r>
    <phoneticPr fontId="6" type="noConversion"/>
  </si>
  <si>
    <t>남미수출용</t>
    <phoneticPr fontId="6" type="noConversion"/>
  </si>
  <si>
    <t>합계</t>
    <phoneticPr fontId="6" type="noConversion"/>
  </si>
  <si>
    <t>남미 수출용</t>
    <phoneticPr fontId="6" type="noConversion"/>
  </si>
  <si>
    <t>100단위</t>
    <phoneticPr fontId="6" type="noConversion"/>
  </si>
  <si>
    <t>200단위</t>
    <phoneticPr fontId="6" type="noConversion"/>
  </si>
  <si>
    <t>50단위</t>
    <phoneticPr fontId="6" type="noConversion"/>
  </si>
  <si>
    <t>100단위</t>
    <phoneticPr fontId="6" type="noConversion"/>
  </si>
  <si>
    <t>200단위</t>
    <phoneticPr fontId="6" type="noConversion"/>
  </si>
  <si>
    <t>50단위</t>
    <phoneticPr fontId="6" type="noConversion"/>
  </si>
  <si>
    <t>200단위</t>
    <phoneticPr fontId="6" type="noConversion"/>
  </si>
  <si>
    <t>50단위</t>
    <phoneticPr fontId="6" type="noConversion"/>
  </si>
  <si>
    <t>100단위 NBTI100B, 095127</t>
    <phoneticPr fontId="6" type="noConversion"/>
  </si>
  <si>
    <t>100단위 NBTI100B, 095128</t>
    <phoneticPr fontId="6" type="noConversion"/>
  </si>
  <si>
    <t>100단위 NBTI100B, 095129</t>
    <phoneticPr fontId="6" type="noConversion"/>
  </si>
  <si>
    <t>100단위 NBTI100B, 095539</t>
    <phoneticPr fontId="6" type="noConversion"/>
  </si>
  <si>
    <t>100단위 NBTI100B, 095540</t>
    <phoneticPr fontId="6" type="noConversion"/>
  </si>
  <si>
    <t>남미 수출용 100단위 S-NBTI100B</t>
    <phoneticPr fontId="6" type="noConversion"/>
  </si>
  <si>
    <t>100단위 NBTI100B, 095124</t>
    <phoneticPr fontId="6" type="noConversion"/>
  </si>
  <si>
    <t>100단위 NBTI1001, 095127</t>
    <phoneticPr fontId="6" type="noConversion"/>
  </si>
  <si>
    <t>100단위  NBTI1001, 095124</t>
    <phoneticPr fontId="6" type="noConversion"/>
  </si>
  <si>
    <t>임상 눈물 흘림증 T-NBTI5005, 088659E</t>
    <phoneticPr fontId="6" type="noConversion"/>
  </si>
  <si>
    <t>임상 눈꺼풀 경련 T-NBTI1017, 088529J</t>
    <phoneticPr fontId="6" type="noConversion"/>
  </si>
  <si>
    <t>임상 눈꺼풀 경련</t>
    <phoneticPr fontId="6" type="noConversion"/>
  </si>
  <si>
    <t>임상 눈물흘림증</t>
    <phoneticPr fontId="6" type="noConversion"/>
  </si>
  <si>
    <t>100단위 095808</t>
    <phoneticPr fontId="6" type="noConversion"/>
  </si>
  <si>
    <r>
      <t>임상 눈물</t>
    </r>
    <r>
      <rPr>
        <sz val="11"/>
        <color rgb="FF000000"/>
        <rFont val="맑은 고딕"/>
        <family val="2"/>
      </rPr>
      <t xml:space="preserve"> 흘림증</t>
    </r>
    <phoneticPr fontId="6" type="noConversion"/>
  </si>
  <si>
    <t>100단위 095810</t>
    <phoneticPr fontId="6" type="noConversion"/>
  </si>
  <si>
    <t>100단위 095540</t>
    <phoneticPr fontId="6" type="noConversion"/>
  </si>
  <si>
    <t>50단위 095811</t>
    <phoneticPr fontId="6" type="noConversion"/>
  </si>
  <si>
    <t>100단위 095632</t>
    <phoneticPr fontId="6" type="noConversion"/>
  </si>
  <si>
    <t>100단위 095907</t>
    <phoneticPr fontId="6" type="noConversion"/>
  </si>
  <si>
    <t>100단위 095663</t>
    <phoneticPr fontId="6" type="noConversion"/>
  </si>
  <si>
    <t>100단위 095634</t>
    <phoneticPr fontId="6" type="noConversion"/>
  </si>
  <si>
    <t>100단위 095910</t>
    <phoneticPr fontId="6" type="noConversion"/>
  </si>
  <si>
    <t>100단위 095911</t>
    <phoneticPr fontId="6" type="noConversion"/>
  </si>
  <si>
    <t>100단위 095808</t>
    <phoneticPr fontId="6" type="noConversion"/>
  </si>
  <si>
    <t>100단위 095810</t>
    <phoneticPr fontId="6" type="noConversion"/>
  </si>
  <si>
    <t xml:space="preserve">멕시코 수출용(감압)100단위 </t>
    <phoneticPr fontId="6" type="noConversion"/>
  </si>
  <si>
    <t>베트남 수출용</t>
    <phoneticPr fontId="6" type="noConversion"/>
  </si>
  <si>
    <t>임상 눈물 흘림증</t>
    <phoneticPr fontId="6" type="noConversion"/>
  </si>
  <si>
    <t>멕시코 수출용</t>
    <phoneticPr fontId="6" type="noConversion"/>
  </si>
  <si>
    <r>
      <t>1</t>
    </r>
    <r>
      <rPr>
        <sz val="11"/>
        <color rgb="FF000000"/>
        <rFont val="맑은 고딕"/>
        <family val="2"/>
      </rPr>
      <t>00단위</t>
    </r>
    <phoneticPr fontId="6" type="noConversion"/>
  </si>
  <si>
    <r>
      <t>2</t>
    </r>
    <r>
      <rPr>
        <sz val="11"/>
        <color rgb="FF000000"/>
        <rFont val="맑은 고딕"/>
        <family val="2"/>
      </rPr>
      <t>00단위</t>
    </r>
    <phoneticPr fontId="6" type="noConversion"/>
  </si>
  <si>
    <r>
      <t>5</t>
    </r>
    <r>
      <rPr>
        <sz val="11"/>
        <color rgb="FF000000"/>
        <rFont val="맑은 고딕"/>
        <family val="2"/>
      </rPr>
      <t>0단위</t>
    </r>
    <phoneticPr fontId="6" type="noConversion"/>
  </si>
  <si>
    <t>생산 착수량</t>
    <phoneticPr fontId="6" type="noConversion"/>
  </si>
  <si>
    <t>포장 착수량</t>
    <phoneticPr fontId="6" type="noConversion"/>
  </si>
  <si>
    <t>100단위 095634</t>
    <phoneticPr fontId="6" type="noConversion"/>
  </si>
  <si>
    <t>200단위 095635</t>
    <phoneticPr fontId="6" type="noConversion"/>
  </si>
  <si>
    <t>100단위 095128</t>
    <phoneticPr fontId="6" type="noConversion"/>
  </si>
  <si>
    <t>100단위 095539</t>
    <phoneticPr fontId="6" type="noConversion"/>
  </si>
  <si>
    <t>200단위 095635</t>
    <phoneticPr fontId="6" type="noConversion"/>
  </si>
  <si>
    <t>100단위 095906</t>
    <phoneticPr fontId="6" type="noConversion"/>
  </si>
  <si>
    <t>100단위  095906</t>
    <phoneticPr fontId="6" type="noConversion"/>
  </si>
  <si>
    <t>100단위 095907</t>
    <phoneticPr fontId="6" type="noConversion"/>
  </si>
  <si>
    <t>100단위 095908</t>
    <phoneticPr fontId="6" type="noConversion"/>
  </si>
  <si>
    <t>합계</t>
    <phoneticPr fontId="6" type="noConversion"/>
  </si>
  <si>
    <t>현충일</t>
    <phoneticPr fontId="6" type="noConversion"/>
  </si>
  <si>
    <t>어린이날</t>
    <phoneticPr fontId="6" type="noConversion"/>
  </si>
  <si>
    <t>석가탄신일</t>
    <phoneticPr fontId="6" type="noConversion"/>
  </si>
  <si>
    <r>
      <t xml:space="preserve">원액 </t>
    </r>
    <r>
      <rPr>
        <sz val="11"/>
        <color rgb="FF000000"/>
        <rFont val="맑은 고딕"/>
        <family val="2"/>
      </rPr>
      <t>NBTN000B</t>
    </r>
    <phoneticPr fontId="6" type="noConversion"/>
  </si>
  <si>
    <r>
      <t>N</t>
    </r>
    <r>
      <rPr>
        <sz val="11"/>
        <color rgb="FF000000"/>
        <rFont val="맑은 고딕"/>
        <family val="2"/>
      </rPr>
      <t>BTN000B</t>
    </r>
    <phoneticPr fontId="6" type="noConversion"/>
  </si>
  <si>
    <t>100단위 096042</t>
    <phoneticPr fontId="6" type="noConversion"/>
  </si>
  <si>
    <t>100단위 096043</t>
    <phoneticPr fontId="6" type="noConversion"/>
  </si>
  <si>
    <t>100단위 096044</t>
    <phoneticPr fontId="6" type="noConversion"/>
  </si>
  <si>
    <t>100단위 096045</t>
    <phoneticPr fontId="6" type="noConversion"/>
  </si>
  <si>
    <t>100단위 096156</t>
    <phoneticPr fontId="6" type="noConversion"/>
  </si>
  <si>
    <t>200단위 096158</t>
    <phoneticPr fontId="6" type="noConversion"/>
  </si>
  <si>
    <t>100단위 096159</t>
    <phoneticPr fontId="6" type="noConversion"/>
  </si>
  <si>
    <t>100단위 096163</t>
    <phoneticPr fontId="6" type="noConversion"/>
  </si>
  <si>
    <t>100단위 096165</t>
    <phoneticPr fontId="6" type="noConversion"/>
  </si>
  <si>
    <t>수출제품</t>
    <phoneticPr fontId="6" type="noConversion"/>
  </si>
  <si>
    <t>태국 수출용</t>
    <phoneticPr fontId="6" type="noConversion"/>
  </si>
  <si>
    <t>100단위 096042</t>
    <phoneticPr fontId="6" type="noConversion"/>
  </si>
  <si>
    <t>100단위 096043</t>
    <phoneticPr fontId="6" type="noConversion"/>
  </si>
  <si>
    <t>100단위 096044</t>
    <phoneticPr fontId="6" type="noConversion"/>
  </si>
  <si>
    <t>100단위 096045</t>
    <phoneticPr fontId="6" type="noConversion"/>
  </si>
  <si>
    <t>100단위 096156</t>
    <phoneticPr fontId="6" type="noConversion"/>
  </si>
  <si>
    <t>100단위 096163</t>
    <phoneticPr fontId="6" type="noConversion"/>
  </si>
  <si>
    <t>100단위 096324</t>
    <phoneticPr fontId="6" type="noConversion"/>
  </si>
  <si>
    <t>200단위 096325</t>
    <phoneticPr fontId="6" type="noConversion"/>
  </si>
  <si>
    <t>100단위 096324</t>
    <phoneticPr fontId="6" type="noConversion"/>
  </si>
  <si>
    <t>200단위 096325</t>
    <phoneticPr fontId="6" type="noConversion"/>
  </si>
  <si>
    <t>태국 수출용 100단위 096326</t>
    <phoneticPr fontId="6" type="noConversion"/>
  </si>
  <si>
    <t>100단위 096327</t>
    <phoneticPr fontId="6" type="noConversion"/>
  </si>
  <si>
    <t>베트남 수출용 100단위 096452</t>
    <phoneticPr fontId="6" type="noConversion"/>
  </si>
  <si>
    <t>필리핀 100단위</t>
    <phoneticPr fontId="6" type="noConversion"/>
  </si>
  <si>
    <t>100단위 096454</t>
    <phoneticPr fontId="6" type="noConversion"/>
  </si>
  <si>
    <t>100단위 096455</t>
    <phoneticPr fontId="6" type="noConversion"/>
  </si>
  <si>
    <t>필리핀 수출용</t>
    <phoneticPr fontId="6" type="noConversion"/>
  </si>
  <si>
    <t>베트남 수출용</t>
    <phoneticPr fontId="6" type="noConversion"/>
  </si>
  <si>
    <t>100단위 096454</t>
    <phoneticPr fontId="6" type="noConversion"/>
  </si>
  <si>
    <t>100단위 096456</t>
    <phoneticPr fontId="6" type="noConversion"/>
  </si>
  <si>
    <t>100단위 096457</t>
    <phoneticPr fontId="6" type="noConversion"/>
  </si>
  <si>
    <t>100단위 096542</t>
    <phoneticPr fontId="6" type="noConversion"/>
  </si>
  <si>
    <t>150단위</t>
    <phoneticPr fontId="6" type="noConversion"/>
  </si>
  <si>
    <t>원액 생산 NBTN000B</t>
    <phoneticPr fontId="6" type="noConversion"/>
  </si>
  <si>
    <t>태국 수출용</t>
    <phoneticPr fontId="6" type="noConversion"/>
  </si>
  <si>
    <t>100단위 096551</t>
    <phoneticPr fontId="6" type="noConversion"/>
  </si>
  <si>
    <t>100단위 096553</t>
    <phoneticPr fontId="6" type="noConversion"/>
  </si>
  <si>
    <t>100단위096557</t>
    <phoneticPr fontId="6" type="noConversion"/>
  </si>
  <si>
    <t>100단위 096550</t>
    <phoneticPr fontId="6" type="noConversion"/>
  </si>
  <si>
    <t>100단위 096542</t>
    <phoneticPr fontId="6" type="noConversion"/>
  </si>
  <si>
    <t>5월 1일 100단위 제품 실링, 
신공장 이물검사 지원</t>
    <phoneticPr fontId="6" type="noConversion"/>
  </si>
  <si>
    <t>신공장 이물검사 지원</t>
    <phoneticPr fontId="6" type="noConversion"/>
  </si>
  <si>
    <t>휴일</t>
    <phoneticPr fontId="6" type="noConversion"/>
  </si>
  <si>
    <t>선거</t>
    <phoneticPr fontId="6" type="noConversion"/>
  </si>
  <si>
    <t>100단위 096550</t>
    <phoneticPr fontId="6" type="noConversion"/>
  </si>
  <si>
    <t>멕시코 100단위 감압 생산 094059</t>
    <phoneticPr fontId="6" type="noConversion"/>
  </si>
  <si>
    <t>200단위 096772</t>
    <phoneticPr fontId="6" type="noConversion"/>
  </si>
  <si>
    <t>200단위 096774</t>
    <phoneticPr fontId="6" type="noConversion"/>
  </si>
  <si>
    <t>100단위 097038</t>
    <phoneticPr fontId="6" type="noConversion"/>
  </si>
  <si>
    <t>100단위 097072</t>
    <phoneticPr fontId="6" type="noConversion"/>
  </si>
  <si>
    <t>200단위(일신) 097073</t>
    <phoneticPr fontId="6" type="noConversion"/>
  </si>
  <si>
    <t>50단위 097074</t>
    <phoneticPr fontId="6" type="noConversion"/>
  </si>
  <si>
    <t>200단위(일신) 097075</t>
    <phoneticPr fontId="6" type="noConversion"/>
  </si>
  <si>
    <t>100단위 097076</t>
    <phoneticPr fontId="6" type="noConversion"/>
  </si>
  <si>
    <t>100단위 096553</t>
    <phoneticPr fontId="6" type="noConversion"/>
  </si>
  <si>
    <t>100단위 096557</t>
    <phoneticPr fontId="6" type="noConversion"/>
  </si>
  <si>
    <t>200단위 096774</t>
    <phoneticPr fontId="6" type="noConversion"/>
  </si>
  <si>
    <t>200단위 096888</t>
    <phoneticPr fontId="6" type="noConversion"/>
  </si>
  <si>
    <t>200단위 096890</t>
    <phoneticPr fontId="6" type="noConversion"/>
  </si>
  <si>
    <t>100단위 096889</t>
    <phoneticPr fontId="6" type="noConversion"/>
  </si>
  <si>
    <t>100단위(태국) 096326</t>
    <phoneticPr fontId="6" type="noConversion"/>
  </si>
  <si>
    <t>100단위(베트남) 096452</t>
    <phoneticPr fontId="6" type="noConversion"/>
  </si>
  <si>
    <t>100단위 096891</t>
    <phoneticPr fontId="6" type="noConversion"/>
  </si>
  <si>
    <t>100단위 096889</t>
    <phoneticPr fontId="6" type="noConversion"/>
  </si>
  <si>
    <t>100단위 096891</t>
    <phoneticPr fontId="6" type="noConversion"/>
  </si>
  <si>
    <t xml:space="preserve">수출 제품 </t>
    <phoneticPr fontId="6" type="noConversion"/>
  </si>
  <si>
    <r>
      <t>S</t>
    </r>
    <r>
      <rPr>
        <sz val="11"/>
        <color rgb="FF000000"/>
        <rFont val="맑은 고딕"/>
        <family val="2"/>
      </rPr>
      <t>hut down 예상기간</t>
    </r>
    <phoneticPr fontId="6" type="noConversion"/>
  </si>
  <si>
    <t>작업장 훈증</t>
    <phoneticPr fontId="6" type="noConversion"/>
  </si>
  <si>
    <t>100단위 097742</t>
    <phoneticPr fontId="6" type="noConversion"/>
  </si>
  <si>
    <t>100단위 097743</t>
    <phoneticPr fontId="6" type="noConversion"/>
  </si>
  <si>
    <t>100단위 097744</t>
    <phoneticPr fontId="6" type="noConversion"/>
  </si>
  <si>
    <t>멕시코 감압 096887/090671</t>
    <phoneticPr fontId="6" type="noConversion"/>
  </si>
  <si>
    <t>외안각주름 / 반측안면 임상</t>
    <phoneticPr fontId="6" type="noConversion"/>
  </si>
  <si>
    <t>필리핀 096776</t>
    <phoneticPr fontId="6" type="noConversion"/>
  </si>
  <si>
    <t>100단위 097221</t>
    <phoneticPr fontId="6" type="noConversion"/>
  </si>
  <si>
    <t>100단위 097223</t>
    <phoneticPr fontId="6" type="noConversion"/>
  </si>
  <si>
    <t>100단위 097225</t>
    <phoneticPr fontId="6" type="noConversion"/>
  </si>
  <si>
    <t>100단위 097254</t>
    <phoneticPr fontId="6" type="noConversion"/>
  </si>
  <si>
    <t>100단위 097225</t>
    <phoneticPr fontId="6" type="noConversion"/>
  </si>
  <si>
    <t>100단위 097255</t>
    <phoneticPr fontId="6" type="noConversion"/>
  </si>
  <si>
    <t>100단위 097256</t>
    <phoneticPr fontId="6" type="noConversion"/>
  </si>
  <si>
    <t>100단위 097362</t>
    <phoneticPr fontId="6" type="noConversion"/>
  </si>
  <si>
    <t>100단위 097364</t>
    <phoneticPr fontId="6" type="noConversion"/>
  </si>
  <si>
    <t>100단위 097367</t>
    <phoneticPr fontId="6" type="noConversion"/>
  </si>
  <si>
    <t>200단위(일신) 097369</t>
    <phoneticPr fontId="6" type="noConversion"/>
  </si>
  <si>
    <t>100단위 097370</t>
    <phoneticPr fontId="6" type="noConversion"/>
  </si>
  <si>
    <t>환경모니터링</t>
    <phoneticPr fontId="6" type="noConversion"/>
  </si>
  <si>
    <t>Medial Fill</t>
    <phoneticPr fontId="6" type="noConversion"/>
  </si>
  <si>
    <t>진균 결과 확인</t>
    <phoneticPr fontId="6" type="noConversion"/>
  </si>
  <si>
    <t>진균 결과 확인</t>
    <phoneticPr fontId="6" type="noConversion"/>
  </si>
  <si>
    <t>파나마 수출 100단위</t>
    <phoneticPr fontId="6" type="noConversion"/>
  </si>
  <si>
    <t>태국 수출 100단위</t>
    <phoneticPr fontId="6" type="noConversion"/>
  </si>
  <si>
    <t>멕시코 수출 100단위</t>
    <phoneticPr fontId="6" type="noConversion"/>
  </si>
  <si>
    <t>임상(외안각, 반측안면)</t>
    <phoneticPr fontId="6" type="noConversion"/>
  </si>
  <si>
    <t>필리핀 수출 100단위</t>
    <phoneticPr fontId="6" type="noConversion"/>
  </si>
  <si>
    <t>수출제품</t>
    <phoneticPr fontId="6" type="noConversion"/>
  </si>
  <si>
    <t xml:space="preserve"> </t>
    <phoneticPr fontId="6" type="noConversion"/>
  </si>
  <si>
    <t>100단위</t>
    <phoneticPr fontId="6" type="noConversion"/>
  </si>
  <si>
    <t>100단위 파나마 097936</t>
    <phoneticPr fontId="6" type="noConversion"/>
  </si>
  <si>
    <t>100단위 태국 097938</t>
    <phoneticPr fontId="6" type="noConversion"/>
  </si>
  <si>
    <t>훈증</t>
    <phoneticPr fontId="6" type="noConversion"/>
  </si>
  <si>
    <t>배기</t>
    <phoneticPr fontId="6" type="noConversion"/>
  </si>
  <si>
    <t>훈증 평가#1</t>
    <phoneticPr fontId="6" type="noConversion"/>
  </si>
  <si>
    <t>훈증 평가#2</t>
    <phoneticPr fontId="6" type="noConversion"/>
  </si>
  <si>
    <t>훈증 평가#3</t>
    <phoneticPr fontId="6" type="noConversion"/>
  </si>
  <si>
    <r>
      <t xml:space="preserve">세척 </t>
    </r>
    <r>
      <rPr>
        <sz val="11"/>
        <color rgb="FF000000"/>
        <rFont val="맑은 고딕"/>
        <family val="2"/>
      </rPr>
      <t>/ 멸균 시작</t>
    </r>
    <phoneticPr fontId="6" type="noConversion"/>
  </si>
  <si>
    <t>100단위 098672</t>
    <phoneticPr fontId="6" type="noConversion"/>
  </si>
  <si>
    <t>100단위 098908</t>
    <phoneticPr fontId="6" type="noConversion"/>
  </si>
  <si>
    <t>100단위 098912</t>
    <phoneticPr fontId="6" type="noConversion"/>
  </si>
  <si>
    <t>100단위 098386</t>
    <phoneticPr fontId="6" type="noConversion"/>
  </si>
  <si>
    <t>포장계획</t>
    <phoneticPr fontId="6" type="noConversion"/>
  </si>
  <si>
    <t>batch 별 가격(만원)</t>
    <phoneticPr fontId="6" type="noConversion"/>
  </si>
  <si>
    <t>계</t>
    <phoneticPr fontId="6" type="noConversion"/>
  </si>
  <si>
    <t>포장계획</t>
    <phoneticPr fontId="6" type="noConversion"/>
  </si>
  <si>
    <t>10월까지 포장 가능한 batch 수량</t>
    <phoneticPr fontId="6" type="noConversion"/>
  </si>
  <si>
    <t>100단위</t>
    <phoneticPr fontId="6" type="noConversion"/>
  </si>
  <si>
    <t>200단위</t>
    <phoneticPr fontId="6" type="noConversion"/>
  </si>
  <si>
    <t>50단위</t>
    <phoneticPr fontId="6" type="noConversion"/>
  </si>
  <si>
    <t>생산계획</t>
    <phoneticPr fontId="6" type="noConversion"/>
  </si>
  <si>
    <t>8월</t>
    <phoneticPr fontId="6" type="noConversion"/>
  </si>
  <si>
    <t>9월</t>
  </si>
  <si>
    <t>10월</t>
  </si>
  <si>
    <t>11월</t>
  </si>
  <si>
    <t>12월</t>
  </si>
  <si>
    <t>합계</t>
    <phoneticPr fontId="6" type="noConversion"/>
  </si>
  <si>
    <t>현 제품 재고</t>
    <phoneticPr fontId="6" type="noConversion"/>
  </si>
  <si>
    <t>품질</t>
    <phoneticPr fontId="6" type="noConversion"/>
  </si>
  <si>
    <t>100단위</t>
    <phoneticPr fontId="6" type="noConversion"/>
  </si>
  <si>
    <t>200단위</t>
    <phoneticPr fontId="6" type="noConversion"/>
  </si>
  <si>
    <t xml:space="preserve">50단위 </t>
    <phoneticPr fontId="6" type="noConversion"/>
  </si>
  <si>
    <t>가용</t>
    <phoneticPr fontId="6" type="noConversion"/>
  </si>
  <si>
    <t>비고</t>
    <phoneticPr fontId="6" type="noConversion"/>
  </si>
  <si>
    <t>10월까지 사용 후 폐기 금액(만원)</t>
    <phoneticPr fontId="6" type="noConversion"/>
  </si>
  <si>
    <t>100단위</t>
    <phoneticPr fontId="6" type="noConversion"/>
  </si>
  <si>
    <t>200단위</t>
    <phoneticPr fontId="6" type="noConversion"/>
  </si>
  <si>
    <t>50단위</t>
    <phoneticPr fontId="6" type="noConversion"/>
  </si>
  <si>
    <t>10월까지 사용 후 남는 재고(batch)</t>
    <phoneticPr fontId="6" type="noConversion"/>
  </si>
  <si>
    <t>현 포장자재 재고(batch)</t>
    <phoneticPr fontId="6" type="noConversion"/>
  </si>
  <si>
    <t>100단위 098974</t>
    <phoneticPr fontId="6" type="noConversion"/>
  </si>
  <si>
    <t>100단위 098976</t>
    <phoneticPr fontId="6" type="noConversion"/>
  </si>
  <si>
    <t>100단위 098977</t>
    <phoneticPr fontId="6" type="noConversion"/>
  </si>
  <si>
    <t>100단위 098978</t>
    <phoneticPr fontId="6" type="noConversion"/>
  </si>
  <si>
    <t>50단위 099187</t>
    <phoneticPr fontId="6" type="noConversion"/>
  </si>
  <si>
    <t>200단위 099189</t>
    <phoneticPr fontId="6" type="noConversion"/>
  </si>
  <si>
    <t>200단위 099190</t>
    <phoneticPr fontId="6" type="noConversion"/>
  </si>
  <si>
    <t>100단위 090191</t>
    <phoneticPr fontId="6" type="noConversion"/>
  </si>
  <si>
    <t>100단위 098672</t>
    <phoneticPr fontId="6" type="noConversion"/>
  </si>
  <si>
    <t>100단위 098908</t>
    <phoneticPr fontId="6" type="noConversion"/>
  </si>
  <si>
    <t>100단위 098912</t>
    <phoneticPr fontId="6" type="noConversion"/>
  </si>
  <si>
    <t>100단위 098389</t>
    <phoneticPr fontId="6" type="noConversion"/>
  </si>
  <si>
    <t>100단위 098547</t>
    <phoneticPr fontId="6" type="noConversion"/>
  </si>
  <si>
    <t>100단위 098548</t>
    <phoneticPr fontId="6" type="noConversion"/>
  </si>
  <si>
    <t>100단위 098387/098388</t>
    <phoneticPr fontId="6" type="noConversion"/>
  </si>
  <si>
    <t>100단위 098386</t>
    <phoneticPr fontId="6" type="noConversion"/>
  </si>
  <si>
    <t>100단위 098387</t>
    <phoneticPr fontId="6" type="noConversion"/>
  </si>
  <si>
    <t>100단위 098388</t>
    <phoneticPr fontId="6" type="noConversion"/>
  </si>
  <si>
    <t>100단위 098389</t>
    <phoneticPr fontId="6" type="noConversion"/>
  </si>
  <si>
    <t>10월 승인 예정</t>
    <phoneticPr fontId="6" type="noConversion"/>
  </si>
  <si>
    <t>신공장 9월 3로트</t>
    <phoneticPr fontId="6" type="noConversion"/>
  </si>
  <si>
    <t>구공장 9월 9로트</t>
    <phoneticPr fontId="6" type="noConversion"/>
  </si>
  <si>
    <t xml:space="preserve">구공장 </t>
    <phoneticPr fontId="6" type="noConversion"/>
  </si>
  <si>
    <t xml:space="preserve">신공장 </t>
    <phoneticPr fontId="6" type="noConversion"/>
  </si>
  <si>
    <t>100단위 098975(일탈)</t>
    <phoneticPr fontId="6" type="noConversion"/>
  </si>
  <si>
    <t>100단위 098977</t>
    <phoneticPr fontId="6" type="noConversion"/>
  </si>
  <si>
    <t>100단위 099191</t>
    <phoneticPr fontId="6" type="noConversion"/>
  </si>
  <si>
    <t>200단위 099190</t>
    <phoneticPr fontId="6" type="noConversion"/>
  </si>
  <si>
    <t>200단위 099374</t>
    <phoneticPr fontId="6" type="noConversion"/>
  </si>
  <si>
    <t>50단위 099187 시판후 안정성 보관샘플</t>
    <phoneticPr fontId="6" type="noConversion"/>
  </si>
  <si>
    <t>100단위 098978 시판후 안정성보관샘플</t>
    <phoneticPr fontId="6" type="noConversion"/>
  </si>
  <si>
    <t>200단위 099502</t>
    <phoneticPr fontId="6" type="noConversion"/>
  </si>
  <si>
    <t>200단위 099501</t>
    <phoneticPr fontId="6" type="noConversion"/>
  </si>
  <si>
    <t>200단위 099589</t>
    <phoneticPr fontId="6" type="noConversion"/>
  </si>
  <si>
    <t>200단위 099590</t>
    <phoneticPr fontId="6" type="noConversion"/>
  </si>
  <si>
    <t>200단위 099591</t>
    <phoneticPr fontId="6" type="noConversion"/>
  </si>
  <si>
    <t>50단위 099373</t>
    <phoneticPr fontId="6" type="noConversion"/>
  </si>
  <si>
    <t>100단위 - 멕시코</t>
    <phoneticPr fontId="6" type="noConversion"/>
  </si>
  <si>
    <t xml:space="preserve">100단위 - 태국clodew </t>
    <phoneticPr fontId="6" type="noConversion"/>
  </si>
  <si>
    <t>100단위 태국clodew 오렌지 필</t>
    <phoneticPr fontId="6" type="noConversion"/>
  </si>
  <si>
    <t>기타국가, 카타르 국가</t>
    <phoneticPr fontId="6" type="noConversion"/>
  </si>
  <si>
    <t>200단위 099189 시판후 안정성 보관샘플</t>
    <phoneticPr fontId="6" type="noConversion"/>
  </si>
  <si>
    <t>크리스마스</t>
    <phoneticPr fontId="6" type="noConversion"/>
  </si>
  <si>
    <t>200단위 100706</t>
    <phoneticPr fontId="6" type="noConversion"/>
  </si>
  <si>
    <t>100단위 태국clodew 099857</t>
    <phoneticPr fontId="6" type="noConversion"/>
  </si>
  <si>
    <t>100단위 태국clodew 099807</t>
    <phoneticPr fontId="6" type="noConversion"/>
  </si>
  <si>
    <t>100단위 - 멕시코 099856</t>
    <phoneticPr fontId="6" type="noConversion"/>
  </si>
  <si>
    <t>200단위 100707</t>
    <phoneticPr fontId="6" type="noConversion"/>
  </si>
  <si>
    <t>수출 감압 공통 100단위 100798</t>
    <phoneticPr fontId="6" type="noConversion"/>
  </si>
  <si>
    <r>
      <t>A동</t>
    </r>
    <r>
      <rPr>
        <sz val="11"/>
        <color rgb="FF000000"/>
        <rFont val="맑은 고딕"/>
        <family val="2"/>
      </rPr>
      <t xml:space="preserve"> 셧다운</t>
    </r>
    <phoneticPr fontId="6" type="noConversion"/>
  </si>
  <si>
    <t>200단위(1)</t>
    <phoneticPr fontId="6" type="noConversion"/>
  </si>
  <si>
    <t>A동</t>
    <phoneticPr fontId="6" type="noConversion"/>
  </si>
  <si>
    <t>C동</t>
    <phoneticPr fontId="6" type="noConversion"/>
  </si>
  <si>
    <t>A동</t>
    <phoneticPr fontId="6" type="noConversion"/>
  </si>
  <si>
    <t>C동</t>
    <phoneticPr fontId="6" type="noConversion"/>
  </si>
  <si>
    <t>반제품</t>
    <phoneticPr fontId="6" type="noConversion"/>
  </si>
  <si>
    <t>반제품</t>
    <phoneticPr fontId="6" type="noConversion"/>
  </si>
  <si>
    <t>포장</t>
    <phoneticPr fontId="6" type="noConversion"/>
  </si>
  <si>
    <t>NBTN002B 가혹 안정성 100797</t>
    <phoneticPr fontId="6" type="noConversion"/>
  </si>
  <si>
    <t>필리핀 100단위 100855</t>
    <phoneticPr fontId="6" type="noConversion"/>
  </si>
  <si>
    <t>100단위 100849</t>
    <phoneticPr fontId="6" type="noConversion"/>
  </si>
  <si>
    <t>100단위 태국clodew 099857/099806</t>
    <phoneticPr fontId="6" type="noConversion"/>
  </si>
  <si>
    <t>100단위 태국clodew 099806</t>
    <phoneticPr fontId="6" type="noConversion"/>
  </si>
  <si>
    <t>NBTN002B 광가혹 안정성</t>
    <phoneticPr fontId="6" type="noConversion"/>
  </si>
  <si>
    <t>파나마 100단위 100707</t>
    <phoneticPr fontId="6" type="noConversion"/>
  </si>
  <si>
    <t>100단위 991453B</t>
    <phoneticPr fontId="6" type="noConversion"/>
  </si>
  <si>
    <t>100단위 099306</t>
    <phoneticPr fontId="6" type="noConversion"/>
  </si>
  <si>
    <t>100단위 099506</t>
    <phoneticPr fontId="6" type="noConversion"/>
  </si>
  <si>
    <t>NBTN000B 국내용 MCB</t>
    <phoneticPr fontId="6" type="noConversion"/>
  </si>
  <si>
    <t>100단위 100540</t>
    <phoneticPr fontId="6" type="noConversion"/>
  </si>
  <si>
    <r>
      <t>1</t>
    </r>
    <r>
      <rPr>
        <sz val="11"/>
        <color rgb="FF000000"/>
        <rFont val="맑은 고딕"/>
        <family val="2"/>
      </rPr>
      <t>00단위</t>
    </r>
    <phoneticPr fontId="6" type="noConversion"/>
  </si>
  <si>
    <r>
      <t>1</t>
    </r>
    <r>
      <rPr>
        <sz val="11"/>
        <color rgb="FF000000"/>
        <rFont val="맑은 고딕"/>
        <family val="2"/>
      </rPr>
      <t>00단위</t>
    </r>
    <phoneticPr fontId="6" type="noConversion"/>
  </si>
  <si>
    <t>50단위(1)</t>
    <phoneticPr fontId="6" type="noConversion"/>
  </si>
  <si>
    <r>
      <t>제조용수 일탈로</t>
    </r>
    <r>
      <rPr>
        <sz val="11"/>
        <color rgb="FF000000"/>
        <rFont val="맑은 고딕"/>
        <family val="2"/>
      </rPr>
      <t xml:space="preserve"> 인하여 생산 착수 되지 못함</t>
    </r>
    <phoneticPr fontId="6" type="noConversion"/>
  </si>
  <si>
    <t>200단위(2)</t>
    <phoneticPr fontId="6" type="noConversion"/>
  </si>
  <si>
    <t>100단위 101064</t>
    <phoneticPr fontId="6" type="noConversion"/>
  </si>
  <si>
    <r>
      <t xml:space="preserve">아랍에미리트 </t>
    </r>
    <r>
      <rPr>
        <b/>
        <sz val="11"/>
        <color rgb="FF000000"/>
        <rFont val="맑은 고딕"/>
        <family val="3"/>
        <charset val="129"/>
      </rPr>
      <t>100단위 100798A</t>
    </r>
    <phoneticPr fontId="6" type="noConversion"/>
  </si>
  <si>
    <t>100단위 태국clodew 099807</t>
    <phoneticPr fontId="6" type="noConversion"/>
  </si>
  <si>
    <t>파나마 100단위 100707(생산 착수 못함_일탈)</t>
    <phoneticPr fontId="6" type="noConversion"/>
  </si>
  <si>
    <r>
      <t>A동</t>
    </r>
    <r>
      <rPr>
        <sz val="11"/>
        <color rgb="FF000000"/>
        <rFont val="맑은 고딕"/>
        <family val="2"/>
      </rPr>
      <t xml:space="preserve"> 셧다운</t>
    </r>
    <phoneticPr fontId="6" type="noConversion"/>
  </si>
  <si>
    <t>터널멸균기 re-PQ (1회)</t>
    <phoneticPr fontId="6" type="noConversion"/>
  </si>
  <si>
    <t>이물검사</t>
    <phoneticPr fontId="6" type="noConversion"/>
  </si>
  <si>
    <t>A동 / C동</t>
    <phoneticPr fontId="6" type="noConversion"/>
  </si>
  <si>
    <t>이물검사</t>
    <phoneticPr fontId="6" type="noConversion"/>
  </si>
  <si>
    <t>이물검사</t>
    <phoneticPr fontId="6" type="noConversion"/>
  </si>
  <si>
    <t>이물검사</t>
    <phoneticPr fontId="6" type="noConversion"/>
  </si>
  <si>
    <t>이물검사</t>
    <phoneticPr fontId="6" type="noConversion"/>
  </si>
  <si>
    <t>3.1절</t>
    <phoneticPr fontId="6" type="noConversion"/>
  </si>
  <si>
    <t>태국 포장</t>
    <phoneticPr fontId="6" type="noConversion"/>
  </si>
  <si>
    <t>멕시코 포장</t>
    <phoneticPr fontId="6" type="noConversion"/>
  </si>
  <si>
    <r>
      <t>2</t>
    </r>
    <r>
      <rPr>
        <sz val="11"/>
        <color rgb="FF000000"/>
        <rFont val="맑은 고딕"/>
        <family val="2"/>
      </rPr>
      <t>00U 포장</t>
    </r>
    <phoneticPr fontId="6" type="noConversion"/>
  </si>
  <si>
    <t>실사 준비(C동 제품)</t>
    <phoneticPr fontId="6" type="noConversion"/>
  </si>
  <si>
    <t>유해물질 교육(C동 제품)</t>
    <phoneticPr fontId="6" type="noConversion"/>
  </si>
  <si>
    <t>브라질 실사</t>
    <phoneticPr fontId="6" type="noConversion"/>
  </si>
  <si>
    <r>
      <t>5</t>
    </r>
    <r>
      <rPr>
        <sz val="11"/>
        <color rgb="FF000000"/>
        <rFont val="맑은 고딕"/>
        <family val="2"/>
      </rPr>
      <t>0U DoE</t>
    </r>
    <phoneticPr fontId="6" type="noConversion"/>
  </si>
  <si>
    <t>50U DoE</t>
    <phoneticPr fontId="6" type="noConversion"/>
  </si>
  <si>
    <t>근로자의 날</t>
    <phoneticPr fontId="6" type="noConversion"/>
  </si>
  <si>
    <t>50U 생산(3-3)</t>
    <phoneticPr fontId="6" type="noConversion"/>
  </si>
  <si>
    <t>50U 생산(3-2)</t>
    <phoneticPr fontId="6" type="noConversion"/>
  </si>
  <si>
    <t>대체 공휴일</t>
    <phoneticPr fontId="6" type="noConversion"/>
  </si>
  <si>
    <t>현충일</t>
    <phoneticPr fontId="6" type="noConversion"/>
  </si>
  <si>
    <t>셧다운</t>
    <phoneticPr fontId="6" type="noConversion"/>
  </si>
  <si>
    <r>
      <t>50U 생산(3-</t>
    </r>
    <r>
      <rPr>
        <sz val="11"/>
        <color rgb="FF000000"/>
        <rFont val="맑은 고딕"/>
        <family val="2"/>
      </rPr>
      <t>2</t>
    </r>
    <r>
      <rPr>
        <sz val="11"/>
        <color rgb="FF000000"/>
        <rFont val="맑은 고딕"/>
        <family val="2"/>
      </rPr>
      <t>)</t>
    </r>
    <phoneticPr fontId="6" type="noConversion"/>
  </si>
  <si>
    <t>태국 생산(120798)</t>
    <phoneticPr fontId="6" type="noConversion"/>
  </si>
  <si>
    <t>태국 생산120800)</t>
    <phoneticPr fontId="6" type="noConversion"/>
  </si>
  <si>
    <t>50U 생산(3-4)</t>
    <phoneticPr fontId="6" type="noConversion"/>
  </si>
  <si>
    <t>50U 생산(120822)</t>
    <phoneticPr fontId="6" type="noConversion"/>
  </si>
  <si>
    <t>베트남 생산(E-NBTI102B)</t>
    <phoneticPr fontId="6" type="noConversion"/>
  </si>
  <si>
    <t>미국 포장(12월 생산#1)(119834)</t>
    <phoneticPr fontId="6" type="noConversion"/>
  </si>
  <si>
    <t>미국 포장(12월 생산#1)(119934)</t>
    <phoneticPr fontId="6" type="noConversion"/>
  </si>
  <si>
    <t>150U 생산(3-1)</t>
    <phoneticPr fontId="6" type="noConversion"/>
  </si>
  <si>
    <t>태국 생산(120388)</t>
    <phoneticPr fontId="6" type="noConversion"/>
  </si>
  <si>
    <r>
      <t>1</t>
    </r>
    <r>
      <rPr>
        <sz val="12"/>
        <color rgb="FF000000"/>
        <rFont val="맑은 고딕"/>
        <family val="3"/>
        <charset val="129"/>
      </rPr>
      <t>50U 생산(3-1</t>
    </r>
    <r>
      <rPr>
        <sz val="11"/>
        <color rgb="FF000000"/>
        <rFont val="맑은 고딕"/>
        <family val="2"/>
      </rPr>
      <t>)</t>
    </r>
    <phoneticPr fontId="6" type="noConversion"/>
  </si>
  <si>
    <r>
      <t>50U 생산(3-3</t>
    </r>
    <r>
      <rPr>
        <sz val="11"/>
        <color rgb="FF000000"/>
        <rFont val="맑은 고딕"/>
        <family val="2"/>
      </rPr>
      <t>)</t>
    </r>
    <phoneticPr fontId="6" type="noConversion"/>
  </si>
  <si>
    <r>
      <t>50U 생산(3-4</t>
    </r>
    <r>
      <rPr>
        <sz val="11"/>
        <color rgb="FF000000"/>
        <rFont val="맑은 고딕"/>
        <family val="2"/>
      </rPr>
      <t>)</t>
    </r>
    <phoneticPr fontId="6" type="noConversion"/>
  </si>
  <si>
    <t>3/31</t>
    <phoneticPr fontId="6" type="noConversion"/>
  </si>
  <si>
    <t>청정증기 패시베이션</t>
  </si>
  <si>
    <t>청정증기 패시베이션</t>
    <phoneticPr fontId="6" type="noConversion"/>
  </si>
  <si>
    <t>C동 충전라인 정비(엔지니어 방문)</t>
    <phoneticPr fontId="6" type="noConversion"/>
  </si>
  <si>
    <t>패시베이션 일정 점검</t>
    <phoneticPr fontId="6" type="noConversion"/>
  </si>
  <si>
    <t>C동 엔지니어 방문 일정 수립</t>
    <phoneticPr fontId="6" type="noConversion"/>
  </si>
  <si>
    <t>2019.05.13~14</t>
    <phoneticPr fontId="6" type="noConversion"/>
  </si>
  <si>
    <t>개정일</t>
    <phoneticPr fontId="6" type="noConversion"/>
  </si>
  <si>
    <t>2019.03.14</t>
    <phoneticPr fontId="6" type="noConversion"/>
  </si>
  <si>
    <t>관련일정</t>
    <phoneticPr fontId="6" type="noConversion"/>
  </si>
  <si>
    <t>내용</t>
    <phoneticPr fontId="6" type="noConversion"/>
  </si>
  <si>
    <t>미국 생산#2-2 120801</t>
    <phoneticPr fontId="6" type="noConversion"/>
  </si>
  <si>
    <t>미국 생산#2-1 120702</t>
    <phoneticPr fontId="6" type="noConversion"/>
  </si>
  <si>
    <t>미국 생산#2-1 120702</t>
    <phoneticPr fontId="6" type="noConversion"/>
  </si>
  <si>
    <t>미국 생산#2-2 120801</t>
    <phoneticPr fontId="6" type="noConversion"/>
  </si>
  <si>
    <t>미국 생산#3-1 120849</t>
    <phoneticPr fontId="6" type="noConversion"/>
  </si>
  <si>
    <t>추석</t>
    <phoneticPr fontId="6" type="noConversion"/>
  </si>
  <si>
    <t>추석</t>
    <phoneticPr fontId="6" type="noConversion"/>
  </si>
  <si>
    <t>개천절</t>
    <phoneticPr fontId="6" type="noConversion"/>
  </si>
  <si>
    <t>한글날</t>
    <phoneticPr fontId="6" type="noConversion"/>
  </si>
  <si>
    <t>성탄절</t>
    <phoneticPr fontId="6" type="noConversion"/>
  </si>
  <si>
    <t>NBTN000B</t>
    <phoneticPr fontId="6" type="noConversion"/>
  </si>
  <si>
    <t>NBTN002B</t>
    <phoneticPr fontId="6" type="noConversion"/>
  </si>
  <si>
    <t>미국 생산#3-1 (120849)</t>
    <phoneticPr fontId="6" type="noConversion"/>
  </si>
  <si>
    <r>
      <t>C</t>
    </r>
    <r>
      <rPr>
        <sz val="11"/>
        <color rgb="FF000000"/>
        <rFont val="맑은 고딕"/>
        <family val="2"/>
      </rPr>
      <t>RPS 임상 포장</t>
    </r>
    <phoneticPr fontId="6" type="noConversion"/>
  </si>
  <si>
    <r>
      <t xml:space="preserve">미국 </t>
    </r>
    <r>
      <rPr>
        <sz val="11"/>
        <color rgb="FF000000"/>
        <rFont val="맑은 고딕"/>
        <family val="2"/>
      </rPr>
      <t>2ND 출하(119934)</t>
    </r>
    <phoneticPr fontId="6" type="noConversion"/>
  </si>
  <si>
    <r>
      <t>태국(</t>
    </r>
    <r>
      <rPr>
        <sz val="11"/>
        <color rgb="FF000000"/>
        <rFont val="맑은 고딕"/>
        <family val="2"/>
      </rPr>
      <t>NBTI1001TH) 포장 120798</t>
    </r>
    <phoneticPr fontId="6" type="noConversion"/>
  </si>
  <si>
    <t>징검다리 휴무</t>
    <phoneticPr fontId="6" type="noConversion"/>
  </si>
  <si>
    <t>징검다리 휴가</t>
    <phoneticPr fontId="6" type="noConversion"/>
  </si>
  <si>
    <t>광복절</t>
    <phoneticPr fontId="6" type="noConversion"/>
  </si>
  <si>
    <t>징검다리 휴무</t>
    <phoneticPr fontId="6" type="noConversion"/>
  </si>
  <si>
    <t>워크샵</t>
    <phoneticPr fontId="6" type="noConversion"/>
  </si>
  <si>
    <t>미국 생산#3-1 120849</t>
    <phoneticPr fontId="6" type="noConversion"/>
  </si>
  <si>
    <t>반제품</t>
    <phoneticPr fontId="6" type="noConversion"/>
  </si>
  <si>
    <t>비고</t>
    <phoneticPr fontId="6" type="noConversion"/>
  </si>
  <si>
    <t>이물검사</t>
    <phoneticPr fontId="6" type="noConversion"/>
  </si>
  <si>
    <t>포장</t>
    <phoneticPr fontId="6" type="noConversion"/>
  </si>
  <si>
    <t>반제품</t>
    <phoneticPr fontId="6" type="noConversion"/>
  </si>
  <si>
    <t>이물검사</t>
    <phoneticPr fontId="6" type="noConversion"/>
  </si>
  <si>
    <t>원액</t>
    <phoneticPr fontId="6" type="noConversion"/>
  </si>
  <si>
    <t>비고</t>
    <phoneticPr fontId="6" type="noConversion"/>
  </si>
  <si>
    <t>원액</t>
    <phoneticPr fontId="6" type="noConversion"/>
  </si>
  <si>
    <t>원액</t>
    <phoneticPr fontId="6" type="noConversion"/>
  </si>
  <si>
    <t>미국 포장# 120702</t>
    <phoneticPr fontId="6" type="noConversion"/>
  </si>
  <si>
    <t>미국 생산#3-1 120849 / 종료</t>
    <phoneticPr fontId="6" type="noConversion"/>
  </si>
  <si>
    <t>미국 포장#2-2  120801</t>
    <phoneticPr fontId="6" type="noConversion"/>
  </si>
  <si>
    <t>남미(NBTI1001NA)포장 106944A</t>
    <phoneticPr fontId="6" type="noConversion"/>
  </si>
  <si>
    <t>미국 포장#3-1 120849</t>
    <phoneticPr fontId="6" type="noConversion"/>
  </si>
  <si>
    <t>미국 생산#4-1 121337</t>
    <phoneticPr fontId="6" type="noConversion"/>
  </si>
  <si>
    <t>150U 120892, 200U 106583</t>
    <phoneticPr fontId="6" type="noConversion"/>
  </si>
  <si>
    <t>100U 995160B</t>
    <phoneticPr fontId="6" type="noConversion"/>
  </si>
  <si>
    <t>200U 106639, 106768</t>
    <phoneticPr fontId="6" type="noConversion"/>
  </si>
  <si>
    <t>50U 120822, 120874</t>
    <phoneticPr fontId="6" type="noConversion"/>
  </si>
  <si>
    <t>미국 생산#4-1 121337 / 종료</t>
    <phoneticPr fontId="6" type="noConversion"/>
  </si>
  <si>
    <t>미국 생산#6-1</t>
    <phoneticPr fontId="6" type="noConversion"/>
  </si>
  <si>
    <t>미국 생산#6-2</t>
    <phoneticPr fontId="6" type="noConversion"/>
  </si>
  <si>
    <t>미국 생산#9-1</t>
    <phoneticPr fontId="6" type="noConversion"/>
  </si>
  <si>
    <t>국내 생산#9-1</t>
    <phoneticPr fontId="6" type="noConversion"/>
  </si>
  <si>
    <t>미국 생산#12-1</t>
    <phoneticPr fontId="6" type="noConversion"/>
  </si>
  <si>
    <r>
      <t>멕시코 수출</t>
    </r>
    <r>
      <rPr>
        <sz val="11"/>
        <color rgb="FF000000"/>
        <rFont val="맑은 고딕"/>
        <family val="2"/>
      </rPr>
      <t xml:space="preserve"> </t>
    </r>
    <r>
      <rPr>
        <b/>
        <sz val="11"/>
        <color rgb="FF000000"/>
        <rFont val="맑은 고딕"/>
        <family val="3"/>
        <charset val="129"/>
      </rPr>
      <t>100U 121276</t>
    </r>
    <phoneticPr fontId="6" type="noConversion"/>
  </si>
  <si>
    <r>
      <t>태국 수출</t>
    </r>
    <r>
      <rPr>
        <b/>
        <sz val="11"/>
        <color rgb="FF000000"/>
        <rFont val="맑은 고딕"/>
        <family val="3"/>
        <charset val="129"/>
      </rPr>
      <t xml:space="preserve"> 100U 121283</t>
    </r>
    <phoneticPr fontId="6" type="noConversion"/>
  </si>
  <si>
    <t>#5-3 용해시험 진행 및 결과</t>
    <phoneticPr fontId="6" type="noConversion"/>
  </si>
  <si>
    <t>50U 생산(121344)</t>
    <phoneticPr fontId="6" type="noConversion"/>
  </si>
  <si>
    <t>50U 107151</t>
    <phoneticPr fontId="6" type="noConversion"/>
  </si>
  <si>
    <t>50U 106940</t>
    <phoneticPr fontId="6" type="noConversion"/>
  </si>
  <si>
    <t>200U 106769,106856</t>
    <phoneticPr fontId="6" type="noConversion"/>
  </si>
  <si>
    <t>200U 106857, 106941</t>
    <phoneticPr fontId="6" type="noConversion"/>
  </si>
  <si>
    <t>200U 106942, 106943</t>
    <phoneticPr fontId="6" type="noConversion"/>
  </si>
  <si>
    <t>200U 106945, 107042</t>
    <phoneticPr fontId="6" type="noConversion"/>
  </si>
  <si>
    <t>200U 107043, 107044</t>
    <phoneticPr fontId="6" type="noConversion"/>
  </si>
  <si>
    <t>50U 120893, 121344</t>
    <phoneticPr fontId="6" type="noConversion"/>
  </si>
  <si>
    <r>
      <t>1</t>
    </r>
    <r>
      <rPr>
        <b/>
        <sz val="11"/>
        <color rgb="FF000000"/>
        <rFont val="맑은 고딕"/>
        <family val="3"/>
        <charset val="129"/>
      </rPr>
      <t>03299B 반측 안면 경련 포장</t>
    </r>
    <phoneticPr fontId="6" type="noConversion"/>
  </si>
  <si>
    <r>
      <t xml:space="preserve">멕시코 </t>
    </r>
    <r>
      <rPr>
        <b/>
        <sz val="11"/>
        <color rgb="FF000000"/>
        <rFont val="맑은 고딕"/>
        <family val="3"/>
        <charset val="129"/>
      </rPr>
      <t>100U</t>
    </r>
    <phoneticPr fontId="6" type="noConversion"/>
  </si>
  <si>
    <t>미국 생산#6-3</t>
    <phoneticPr fontId="6" type="noConversion"/>
  </si>
  <si>
    <t>미국 생산#5-1 121453</t>
    <phoneticPr fontId="6" type="noConversion"/>
  </si>
  <si>
    <t>미국 생산#5-4</t>
    <phoneticPr fontId="6" type="noConversion"/>
  </si>
  <si>
    <t>미국 생산#5-5</t>
    <phoneticPr fontId="6" type="noConversion"/>
  </si>
  <si>
    <t>#4-1 용해시험 의뢰</t>
    <phoneticPr fontId="6" type="noConversion"/>
  </si>
  <si>
    <t>#4-1 용해시험 진행 및 결과</t>
    <phoneticPr fontId="6" type="noConversion"/>
  </si>
  <si>
    <t>#4-1 포장 오더 발행 및 인수인계</t>
    <phoneticPr fontId="6" type="noConversion"/>
  </si>
  <si>
    <r>
      <t>#</t>
    </r>
    <r>
      <rPr>
        <sz val="11"/>
        <color rgb="FF000000"/>
        <rFont val="맑은 고딕"/>
        <family val="2"/>
      </rPr>
      <t>5</t>
    </r>
    <r>
      <rPr>
        <sz val="11"/>
        <color rgb="FF000000"/>
        <rFont val="맑은 고딕"/>
        <family val="2"/>
      </rPr>
      <t>-</t>
    </r>
    <r>
      <rPr>
        <sz val="11"/>
        <color rgb="FF000000"/>
        <rFont val="맑은 고딕"/>
        <family val="2"/>
      </rPr>
      <t>1 121453</t>
    </r>
    <r>
      <rPr>
        <sz val="11"/>
        <color rgb="FF000000"/>
        <rFont val="맑은 고딕"/>
        <family val="2"/>
      </rPr>
      <t xml:space="preserve"> 용해시험 의뢰</t>
    </r>
    <phoneticPr fontId="6" type="noConversion"/>
  </si>
  <si>
    <r>
      <t>#5-1 121453 용해시험 진행</t>
    </r>
    <r>
      <rPr>
        <sz val="11"/>
        <color rgb="FF000000"/>
        <rFont val="맑은 고딕"/>
        <family val="2"/>
      </rPr>
      <t xml:space="preserve"> 및 결과</t>
    </r>
    <phoneticPr fontId="6" type="noConversion"/>
  </si>
  <si>
    <t>#5-3 포장오더 발행 및 인수인계</t>
    <phoneticPr fontId="6" type="noConversion"/>
  </si>
  <si>
    <t>#5-3 용해시험 의뢰</t>
    <phoneticPr fontId="6" type="noConversion"/>
  </si>
  <si>
    <t>미국 생산#4-2(생산 중단)</t>
    <phoneticPr fontId="6" type="noConversion"/>
  </si>
  <si>
    <r>
      <t xml:space="preserve">베트남 </t>
    </r>
    <r>
      <rPr>
        <b/>
        <sz val="11"/>
        <color rgb="FF000000"/>
        <rFont val="맑은 고딕"/>
        <family val="3"/>
        <charset val="129"/>
      </rPr>
      <t>100U</t>
    </r>
    <phoneticPr fontId="6" type="noConversion"/>
  </si>
  <si>
    <r>
      <t xml:space="preserve">태국 </t>
    </r>
    <r>
      <rPr>
        <b/>
        <sz val="11"/>
        <color rgb="FF000000"/>
        <rFont val="맑은 고딕"/>
        <family val="3"/>
        <charset val="129"/>
      </rPr>
      <t>100U 128800</t>
    </r>
    <phoneticPr fontId="6" type="noConversion"/>
  </si>
  <si>
    <r>
      <t xml:space="preserve">태국 </t>
    </r>
    <r>
      <rPr>
        <b/>
        <sz val="11"/>
        <color rgb="FF000000"/>
        <rFont val="맑은 고딕"/>
        <family val="3"/>
        <charset val="129"/>
      </rPr>
      <t>100U 121510</t>
    </r>
    <phoneticPr fontId="6" type="noConversion"/>
  </si>
  <si>
    <t>미국 생산#5-2 121511</t>
    <phoneticPr fontId="6" type="noConversion"/>
  </si>
  <si>
    <t>국내용 100U 103299C</t>
    <phoneticPr fontId="6" type="noConversion"/>
  </si>
  <si>
    <r>
      <t>1</t>
    </r>
    <r>
      <rPr>
        <b/>
        <sz val="11"/>
        <color rgb="FF000000"/>
        <rFont val="맑은 고딕"/>
        <family val="3"/>
        <charset val="129"/>
      </rPr>
      <t>03299A 상지근육 4상 포장</t>
    </r>
    <phoneticPr fontId="6" type="noConversion"/>
  </si>
  <si>
    <t>국내용 100U 103727</t>
    <phoneticPr fontId="6" type="noConversion"/>
  </si>
  <si>
    <t>국내용 100U 106944B</t>
    <phoneticPr fontId="6" type="noConversion"/>
  </si>
  <si>
    <t>미국 생산#5-3 121660(121511일탈로 사전 진행)</t>
    <phoneticPr fontId="6" type="noConversion"/>
  </si>
  <si>
    <t>미국 생산#5-4 121661</t>
    <phoneticPr fontId="6" type="noConversion"/>
  </si>
  <si>
    <t>미국 생산#5-3 121660</t>
    <phoneticPr fontId="6" type="noConversion"/>
  </si>
  <si>
    <t>미국 생산#5-3 121660 완료</t>
    <phoneticPr fontId="6" type="noConversion"/>
  </si>
  <si>
    <t>미국 생산#5-4 121661 완료</t>
    <phoneticPr fontId="6" type="noConversion"/>
  </si>
  <si>
    <t>#5-4 용해시험 의뢰</t>
    <phoneticPr fontId="6" type="noConversion"/>
  </si>
  <si>
    <t>#5-4 용해시험 진행 및 결과</t>
    <phoneticPr fontId="6" type="noConversion"/>
  </si>
  <si>
    <t>#5-4 포장 오더 발행 및 인수인계</t>
    <phoneticPr fontId="6" type="noConversion"/>
  </si>
  <si>
    <r>
      <t>#6-</t>
    </r>
    <r>
      <rPr>
        <sz val="11"/>
        <color rgb="FF000000"/>
        <rFont val="맑은 고딕"/>
        <family val="2"/>
      </rPr>
      <t>3</t>
    </r>
    <r>
      <rPr>
        <sz val="11"/>
        <color rgb="FF000000"/>
        <rFont val="맑은 고딕"/>
        <family val="2"/>
      </rPr>
      <t xml:space="preserve"> 용해시험 의뢰</t>
    </r>
    <phoneticPr fontId="6" type="noConversion"/>
  </si>
  <si>
    <t>#5-1 포장 오더 발행 및 인수인계</t>
    <phoneticPr fontId="6" type="noConversion"/>
  </si>
  <si>
    <t>200U 107152, 107212</t>
    <phoneticPr fontId="6" type="noConversion"/>
  </si>
  <si>
    <r>
      <t xml:space="preserve">미국 </t>
    </r>
    <r>
      <rPr>
        <b/>
        <sz val="12"/>
        <color rgb="FF000000"/>
        <rFont val="맑은 고딕"/>
        <family val="3"/>
        <charset val="129"/>
      </rPr>
      <t>생산#2-1 119934</t>
    </r>
    <phoneticPr fontId="6" type="noConversion"/>
  </si>
  <si>
    <t>파나마 쉽핑 밸리데이션 포장</t>
    <phoneticPr fontId="6" type="noConversion"/>
  </si>
  <si>
    <t>119834 해체</t>
  </si>
  <si>
    <t>119834 해체</t>
    <phoneticPr fontId="6" type="noConversion"/>
  </si>
  <si>
    <t>#5-5 용해시험 의뢰, 119834 해체</t>
    <phoneticPr fontId="6" type="noConversion"/>
  </si>
  <si>
    <t>#5-5 용해시험 진행 및 결과, 119834 해체</t>
    <phoneticPr fontId="6" type="noConversion"/>
  </si>
  <si>
    <t>#5-5 포장 오더 발행 및 인수인계, 119834 해체</t>
    <phoneticPr fontId="6" type="noConversion"/>
  </si>
  <si>
    <t>200U 107213</t>
    <phoneticPr fontId="6" type="noConversion"/>
  </si>
  <si>
    <t>119834 해체</t>
    <phoneticPr fontId="6" type="noConversion"/>
  </si>
  <si>
    <r>
      <t xml:space="preserve">파나마 </t>
    </r>
    <r>
      <rPr>
        <b/>
        <sz val="11"/>
        <color rgb="FF000000"/>
        <rFont val="맑은 고딕"/>
        <family val="3"/>
        <charset val="129"/>
      </rPr>
      <t>100U</t>
    </r>
    <phoneticPr fontId="6" type="noConversion"/>
  </si>
  <si>
    <t>필리핀 100U</t>
    <phoneticPr fontId="6" type="noConversion"/>
  </si>
  <si>
    <t>필리핀 100U, 태국 100U</t>
    <phoneticPr fontId="6" type="noConversion"/>
  </si>
  <si>
    <r>
      <t xml:space="preserve">태국 </t>
    </r>
    <r>
      <rPr>
        <b/>
        <sz val="11"/>
        <color rgb="FF000000"/>
        <rFont val="맑은 고딕"/>
        <family val="3"/>
        <charset val="129"/>
      </rPr>
      <t>100U</t>
    </r>
    <phoneticPr fontId="6" type="noConversion"/>
  </si>
  <si>
    <t>200U 107218, 119808</t>
    <phoneticPr fontId="6" type="noConversion"/>
  </si>
  <si>
    <t>200U 107216, 107217</t>
    <phoneticPr fontId="6" type="noConversion"/>
  </si>
  <si>
    <t>200U 107215</t>
    <phoneticPr fontId="6" type="noConversion"/>
  </si>
  <si>
    <t>미국 생산#121769 완료</t>
    <phoneticPr fontId="6" type="noConversion"/>
  </si>
  <si>
    <t>미국 생산#121769</t>
    <phoneticPr fontId="6" type="noConversion"/>
  </si>
  <si>
    <t>미국 생산# 121769</t>
    <phoneticPr fontId="6" type="noConversion"/>
  </si>
  <si>
    <t>미국 생산#119834A 재포장</t>
    <phoneticPr fontId="6" type="noConversion"/>
  </si>
  <si>
    <t>생산 불가(시스템 셧다운)</t>
    <phoneticPr fontId="6" type="noConversion"/>
  </si>
  <si>
    <t>미국 생산#121921</t>
    <phoneticPr fontId="6" type="noConversion"/>
  </si>
  <si>
    <t>국내 생산#9-2</t>
    <phoneticPr fontId="6" type="noConversion"/>
  </si>
  <si>
    <r>
      <t>국내용 생산#121920</t>
    </r>
    <r>
      <rPr>
        <sz val="11"/>
        <color rgb="FF000000"/>
        <rFont val="맑은 고딕"/>
        <family val="2"/>
      </rPr>
      <t xml:space="preserve"> 용해시험 의뢰</t>
    </r>
    <phoneticPr fontId="6" type="noConversion"/>
  </si>
  <si>
    <t>국내용 생산#8-1 용해시험 진행 및 결과</t>
    <phoneticPr fontId="6" type="noConversion"/>
  </si>
  <si>
    <t>국내용 생산#8-1 포장 오더 발행 및 인수인계</t>
    <phoneticPr fontId="6" type="noConversion"/>
  </si>
  <si>
    <t>국내용 생산#8-1 - 인도 수량 제외 후 포장</t>
    <phoneticPr fontId="6" type="noConversion"/>
  </si>
  <si>
    <t>미국 생산# 121867</t>
    <phoneticPr fontId="6" type="noConversion"/>
  </si>
  <si>
    <t>`</t>
    <phoneticPr fontId="6" type="noConversion"/>
  </si>
  <si>
    <t>미국 생산#121867</t>
    <phoneticPr fontId="6" type="noConversion"/>
  </si>
  <si>
    <t>미국 생산#121867/완료</t>
    <phoneticPr fontId="6" type="noConversion"/>
  </si>
  <si>
    <t>국내용 생산# X19001</t>
    <phoneticPr fontId="6" type="noConversion"/>
  </si>
  <si>
    <t>국내용 생산# X19001</t>
    <phoneticPr fontId="6" type="noConversion"/>
  </si>
  <si>
    <t>미국 생산# X19003</t>
    <phoneticPr fontId="6" type="noConversion"/>
  </si>
  <si>
    <t>미국 생산# 121920</t>
    <phoneticPr fontId="6" type="noConversion"/>
  </si>
  <si>
    <t xml:space="preserve">미국 생산# 121920 / 종료 </t>
    <phoneticPr fontId="6" type="noConversion"/>
  </si>
  <si>
    <r>
      <t xml:space="preserve">미국 </t>
    </r>
    <r>
      <rPr>
        <sz val="11"/>
        <color rgb="FF000000"/>
        <rFont val="맑은 고딕"/>
        <family val="2"/>
      </rPr>
      <t>121867 용해시험 완료</t>
    </r>
    <phoneticPr fontId="6" type="noConversion"/>
  </si>
  <si>
    <t>미국 생산#121920 용해시험 의뢰</t>
    <phoneticPr fontId="6" type="noConversion"/>
  </si>
  <si>
    <t>미국 생산#121920 용해시험 진행 및 결과</t>
    <phoneticPr fontId="6" type="noConversion"/>
  </si>
  <si>
    <t>미국 생산#121920 포장 오더 발행 및 인수인계</t>
    <phoneticPr fontId="6" type="noConversion"/>
  </si>
  <si>
    <t>멕시코 100U X19002</t>
    <phoneticPr fontId="6" type="noConversion"/>
  </si>
  <si>
    <t>멕시코 100U X19004</t>
    <phoneticPr fontId="6" type="noConversion"/>
  </si>
  <si>
    <t>중국용 균주 W19001</t>
    <phoneticPr fontId="6" type="noConversion"/>
  </si>
  <si>
    <t>캐나다 포장 121661</t>
    <phoneticPr fontId="6" type="noConversion"/>
  </si>
  <si>
    <t>200U 119809</t>
    <phoneticPr fontId="6" type="noConversion"/>
  </si>
  <si>
    <t>200U 119886</t>
    <phoneticPr fontId="6" type="noConversion"/>
  </si>
  <si>
    <r>
      <t xml:space="preserve">필리핀 </t>
    </r>
    <r>
      <rPr>
        <b/>
        <sz val="11"/>
        <color rgb="FF000000"/>
        <rFont val="맑은 고딕"/>
        <family val="3"/>
        <charset val="129"/>
      </rPr>
      <t>100U</t>
    </r>
    <phoneticPr fontId="6" type="noConversion"/>
  </si>
  <si>
    <r>
      <t xml:space="preserve">태국 </t>
    </r>
    <r>
      <rPr>
        <b/>
        <sz val="11"/>
        <color rgb="FF000000"/>
        <rFont val="맑은 고딕"/>
        <family val="3"/>
        <charset val="129"/>
      </rPr>
      <t>100U</t>
    </r>
    <phoneticPr fontId="6" type="noConversion"/>
  </si>
  <si>
    <r>
      <t xml:space="preserve">멕시코 </t>
    </r>
    <r>
      <rPr>
        <b/>
        <sz val="11"/>
        <color rgb="FF000000"/>
        <rFont val="맑은 고딕"/>
        <family val="3"/>
        <charset val="129"/>
      </rPr>
      <t>100U</t>
    </r>
    <phoneticPr fontId="6" type="noConversion"/>
  </si>
  <si>
    <r>
      <t>국내용 2</t>
    </r>
    <r>
      <rPr>
        <b/>
        <sz val="11"/>
        <color rgb="FF000000"/>
        <rFont val="맑은 고딕"/>
        <family val="3"/>
        <charset val="129"/>
      </rPr>
      <t>00U</t>
    </r>
    <phoneticPr fontId="6" type="noConversion"/>
  </si>
  <si>
    <t>국내용 200U X19006</t>
    <phoneticPr fontId="6" type="noConversion"/>
  </si>
  <si>
    <t>국내용 200U X19005</t>
    <phoneticPr fontId="6" type="noConversion"/>
  </si>
  <si>
    <t>미국 생산#8-2 X19007</t>
    <phoneticPr fontId="6" type="noConversion"/>
  </si>
  <si>
    <t>멕시코 100U X19008</t>
    <phoneticPr fontId="6" type="noConversion"/>
  </si>
  <si>
    <t>미국 생산#9-2</t>
    <phoneticPr fontId="6" type="noConversion"/>
  </si>
  <si>
    <t>국내용 생산# X19001 / 완료</t>
    <phoneticPr fontId="6" type="noConversion"/>
  </si>
  <si>
    <t>미국 생산# 121921</t>
    <phoneticPr fontId="6" type="noConversion"/>
  </si>
  <si>
    <t>미국 생산# X19007</t>
    <phoneticPr fontId="6" type="noConversion"/>
  </si>
  <si>
    <t>태국 100U</t>
    <phoneticPr fontId="6" type="noConversion"/>
  </si>
  <si>
    <r>
      <t xml:space="preserve">필리핀 </t>
    </r>
    <r>
      <rPr>
        <b/>
        <sz val="11"/>
        <color rgb="FF000000"/>
        <rFont val="맑은 고딕"/>
        <family val="3"/>
        <charset val="129"/>
      </rPr>
      <t>100U</t>
    </r>
    <phoneticPr fontId="6" type="noConversion"/>
  </si>
  <si>
    <r>
      <t xml:space="preserve">중국 </t>
    </r>
    <r>
      <rPr>
        <b/>
        <sz val="11"/>
        <color rgb="FF000000"/>
        <rFont val="맑은 고딕"/>
        <family val="3"/>
        <charset val="129"/>
      </rPr>
      <t>WCB</t>
    </r>
    <phoneticPr fontId="6" type="noConversion"/>
  </si>
  <si>
    <t>멕시코</t>
    <phoneticPr fontId="6" type="noConversion"/>
  </si>
  <si>
    <t>에폭시 작업 가능성 있음</t>
    <phoneticPr fontId="6" type="noConversion"/>
  </si>
  <si>
    <t>미국 생산# X19003 / 종료</t>
    <phoneticPr fontId="6" type="noConversion"/>
  </si>
  <si>
    <t>200U 시생산</t>
    <phoneticPr fontId="6" type="noConversion"/>
  </si>
  <si>
    <t>캐나다 생산# X19013</t>
    <phoneticPr fontId="6" type="noConversion"/>
  </si>
  <si>
    <t>캐나다 생산# X19013 / 종료</t>
    <phoneticPr fontId="6" type="noConversion"/>
  </si>
  <si>
    <t>캐나다 생산# X19013</t>
    <phoneticPr fontId="6" type="noConversion"/>
  </si>
  <si>
    <r>
      <t xml:space="preserve">멕시코 </t>
    </r>
    <r>
      <rPr>
        <sz val="11"/>
        <color rgb="FF000000"/>
        <rFont val="맑은 고딕"/>
        <family val="2"/>
      </rPr>
      <t>100U X19016</t>
    </r>
    <phoneticPr fontId="6" type="noConversion"/>
  </si>
  <si>
    <t>연간 안정성 W19002</t>
    <phoneticPr fontId="6" type="noConversion"/>
  </si>
  <si>
    <r>
      <t xml:space="preserve">멕시코 </t>
    </r>
    <r>
      <rPr>
        <sz val="11"/>
        <color rgb="FF000000"/>
        <rFont val="맑은 고딕"/>
        <family val="2"/>
      </rPr>
      <t>X19002</t>
    </r>
    <phoneticPr fontId="6" type="noConversion"/>
  </si>
  <si>
    <r>
      <t xml:space="preserve">파나마 </t>
    </r>
    <r>
      <rPr>
        <b/>
        <sz val="11"/>
        <color rgb="FF000000"/>
        <rFont val="맑은 고딕"/>
        <family val="3"/>
        <charset val="129"/>
      </rPr>
      <t>100U X19012</t>
    </r>
    <phoneticPr fontId="6" type="noConversion"/>
  </si>
  <si>
    <r>
      <t xml:space="preserve">파나마 </t>
    </r>
    <r>
      <rPr>
        <b/>
        <sz val="11"/>
        <color rgb="FF000000"/>
        <rFont val="맑은 고딕"/>
        <family val="3"/>
        <charset val="129"/>
      </rPr>
      <t>100U X19012</t>
    </r>
    <phoneticPr fontId="6" type="noConversion"/>
  </si>
  <si>
    <t>유럽용 원액 생산 W19003, NBTN003B</t>
    <phoneticPr fontId="6" type="noConversion"/>
  </si>
  <si>
    <t>유럽용 원액 생산 W19003, NBTN003B</t>
    <phoneticPr fontId="6" type="noConversion"/>
  </si>
  <si>
    <r>
      <t xml:space="preserve">멕시코 </t>
    </r>
    <r>
      <rPr>
        <b/>
        <sz val="11"/>
        <color rgb="FF000000"/>
        <rFont val="맑은 고딕"/>
        <family val="3"/>
        <charset val="129"/>
      </rPr>
      <t>100U X19016</t>
    </r>
    <phoneticPr fontId="6" type="noConversion"/>
  </si>
  <si>
    <t>FIMEA 실사</t>
    <phoneticPr fontId="6" type="noConversion"/>
  </si>
  <si>
    <t>200U X19005, X19006</t>
    <phoneticPr fontId="6" type="noConversion"/>
  </si>
  <si>
    <r>
      <t xml:space="preserve">200U </t>
    </r>
    <r>
      <rPr>
        <b/>
        <sz val="12"/>
        <color rgb="FF000000"/>
        <rFont val="맑은 고딕"/>
        <family val="3"/>
        <charset val="129"/>
      </rPr>
      <t>X19011</t>
    </r>
    <phoneticPr fontId="6" type="noConversion"/>
  </si>
  <si>
    <t>멕시코 100U X19008</t>
    <phoneticPr fontId="6" type="noConversion"/>
  </si>
  <si>
    <t>중국 원액 PV#1</t>
    <phoneticPr fontId="6" type="noConversion"/>
  </si>
  <si>
    <t>중국 원액 PV#2</t>
    <phoneticPr fontId="6" type="noConversion"/>
  </si>
  <si>
    <t>셧다운</t>
    <phoneticPr fontId="6" type="noConversion"/>
  </si>
  <si>
    <t>200U 시생산</t>
    <phoneticPr fontId="6" type="noConversion"/>
  </si>
  <si>
    <t>신정</t>
    <phoneticPr fontId="6" type="noConversion"/>
  </si>
  <si>
    <t>설연휴</t>
    <phoneticPr fontId="6" type="noConversion"/>
  </si>
  <si>
    <t>어린이날</t>
    <phoneticPr fontId="6" type="noConversion"/>
  </si>
  <si>
    <t>근로자의날</t>
    <phoneticPr fontId="6" type="noConversion"/>
  </si>
  <si>
    <t>국내용 생산# 11-2</t>
    <phoneticPr fontId="6" type="noConversion"/>
  </si>
  <si>
    <t>국내용 생산# 11-2 / 종료</t>
    <phoneticPr fontId="6" type="noConversion"/>
  </si>
  <si>
    <t>중국 PV #1</t>
    <phoneticPr fontId="6" type="noConversion"/>
  </si>
  <si>
    <t>200U #11-4</t>
    <phoneticPr fontId="6" type="noConversion"/>
  </si>
  <si>
    <t>200U #11-5</t>
    <phoneticPr fontId="6" type="noConversion"/>
  </si>
  <si>
    <t>파나마 수출용 X19012</t>
    <phoneticPr fontId="6" type="noConversion"/>
  </si>
  <si>
    <t>베트남 수출용 X19015</t>
    <phoneticPr fontId="6" type="noConversion"/>
  </si>
  <si>
    <t>국내용 100U 포장 X19001A</t>
    <phoneticPr fontId="6" type="noConversion"/>
  </si>
  <si>
    <t>태국 수출용 X19010</t>
    <phoneticPr fontId="6" type="noConversion"/>
  </si>
  <si>
    <t>200U #11-6</t>
    <phoneticPr fontId="6" type="noConversion"/>
  </si>
  <si>
    <t>탈모 임상</t>
    <phoneticPr fontId="6" type="noConversion"/>
  </si>
  <si>
    <t>가려움증 임상</t>
    <phoneticPr fontId="6" type="noConversion"/>
  </si>
  <si>
    <t>중국 원액 PV#3</t>
    <phoneticPr fontId="6" type="noConversion"/>
  </si>
  <si>
    <t>200U 12-1</t>
    <phoneticPr fontId="6" type="noConversion"/>
  </si>
  <si>
    <t>200U 12-2</t>
    <phoneticPr fontId="6" type="noConversion"/>
  </si>
  <si>
    <t>200U 12-3</t>
    <phoneticPr fontId="6" type="noConversion"/>
  </si>
  <si>
    <t>200U 12-4</t>
    <phoneticPr fontId="6" type="noConversion"/>
  </si>
  <si>
    <t>200U 12-5</t>
    <phoneticPr fontId="6" type="noConversion"/>
  </si>
  <si>
    <t>200U #11-3 X19021</t>
    <phoneticPr fontId="6" type="noConversion"/>
  </si>
  <si>
    <t>200U #11-2 X19020</t>
    <phoneticPr fontId="6" type="noConversion"/>
  </si>
  <si>
    <t>200U #11-1 X19019</t>
    <phoneticPr fontId="6" type="noConversion"/>
  </si>
  <si>
    <t>200U #10-1 X19018</t>
    <phoneticPr fontId="6" type="noConversion"/>
  </si>
  <si>
    <t>생산 NBTN003B, W19005</t>
    <phoneticPr fontId="6" type="noConversion"/>
  </si>
  <si>
    <t>국내용 생산#12-1</t>
    <phoneticPr fontId="6" type="noConversion"/>
  </si>
  <si>
    <t>멕시코 수출용 X19016</t>
    <phoneticPr fontId="6" type="noConversion"/>
  </si>
  <si>
    <t>`</t>
    <phoneticPr fontId="6" type="noConversion"/>
  </si>
  <si>
    <r>
      <t>2</t>
    </r>
    <r>
      <rPr>
        <b/>
        <sz val="11"/>
        <color rgb="FF000000"/>
        <rFont val="맑은 고딕"/>
        <family val="3"/>
        <charset val="129"/>
      </rPr>
      <t>00U X19018, X19019</t>
    </r>
    <phoneticPr fontId="6" type="noConversion"/>
  </si>
  <si>
    <t>임상포장 103299C, 103299E</t>
    <phoneticPr fontId="6" type="noConversion"/>
  </si>
  <si>
    <t>200U 12-3</t>
    <phoneticPr fontId="6" type="noConversion"/>
  </si>
  <si>
    <t>200U 12-6</t>
    <phoneticPr fontId="6" type="noConversion"/>
  </si>
  <si>
    <t>200U 12-7</t>
    <phoneticPr fontId="6" type="noConversion"/>
  </si>
  <si>
    <t>200U 12-4</t>
  </si>
  <si>
    <t>200U 12-4</t>
    <phoneticPr fontId="6" type="noConversion"/>
  </si>
  <si>
    <t>200U 12-5</t>
    <phoneticPr fontId="6" type="noConversion"/>
  </si>
  <si>
    <t>이물검사 3일</t>
    <phoneticPr fontId="6" type="noConversion"/>
  </si>
  <si>
    <t>200U 12-3</t>
  </si>
  <si>
    <t>200U 12-6</t>
    <phoneticPr fontId="6" type="noConversion"/>
  </si>
  <si>
    <t>이물검사 2일</t>
    <phoneticPr fontId="6" type="noConversion"/>
  </si>
  <si>
    <t>200U # X19022</t>
    <phoneticPr fontId="6" type="noConversion"/>
  </si>
  <si>
    <t>200U # X19023</t>
    <phoneticPr fontId="6" type="noConversion"/>
  </si>
  <si>
    <t>200U # X19024</t>
    <phoneticPr fontId="6" type="noConversion"/>
  </si>
  <si>
    <t>임상포장 103299F(연기 필요)</t>
    <phoneticPr fontId="6" type="noConversion"/>
  </si>
  <si>
    <t>국내용 생산# X19017</t>
    <phoneticPr fontId="6" type="noConversion"/>
  </si>
  <si>
    <t>국내용 생산#12-2</t>
    <phoneticPr fontId="6" type="noConversion"/>
  </si>
  <si>
    <t>미국 생산# 121921</t>
    <phoneticPr fontId="6" type="noConversion"/>
  </si>
  <si>
    <t>국내용 생산 X19017 / 종료</t>
    <phoneticPr fontId="6" type="noConversion"/>
  </si>
  <si>
    <t>국내용 생산 X19025</t>
    <phoneticPr fontId="6" type="noConversion"/>
  </si>
  <si>
    <t>국내용 생산 X19025</t>
    <phoneticPr fontId="6" type="noConversion"/>
  </si>
  <si>
    <t>미국용 생산# 121921</t>
    <phoneticPr fontId="6" type="noConversion"/>
  </si>
  <si>
    <t>국내용 생산#12-2</t>
    <phoneticPr fontId="6" type="noConversion"/>
  </si>
  <si>
    <t>국내용 생산# X19025</t>
    <phoneticPr fontId="6" type="noConversion"/>
  </si>
  <si>
    <t>국내용 생산# X19017</t>
    <phoneticPr fontId="6" type="noConversion"/>
  </si>
  <si>
    <t>200U 12-1</t>
    <phoneticPr fontId="6" type="noConversion"/>
  </si>
  <si>
    <t>200U #11-6</t>
  </si>
  <si>
    <t xml:space="preserve"> </t>
    <phoneticPr fontId="6" type="noConversion"/>
  </si>
  <si>
    <t>사각턱 포장</t>
    <phoneticPr fontId="6" type="noConversion"/>
  </si>
  <si>
    <t>사각턱 포장</t>
    <phoneticPr fontId="6" type="noConversion"/>
  </si>
  <si>
    <t>인도 수출용 X19001C, 50U X19014</t>
    <phoneticPr fontId="6" type="noConversion"/>
  </si>
  <si>
    <t>200U X19020, 50U X19014</t>
    <phoneticPr fontId="6" type="noConversion"/>
  </si>
  <si>
    <t>200U X19018, X19019</t>
    <phoneticPr fontId="6" type="noConversion"/>
  </si>
  <si>
    <t>파나마 50U</t>
    <phoneticPr fontId="6" type="noConversion"/>
  </si>
  <si>
    <t>인도네시아 100U</t>
    <phoneticPr fontId="6" type="noConversion"/>
  </si>
  <si>
    <t>`</t>
    <phoneticPr fontId="6" type="noConversion"/>
  </si>
  <si>
    <t>200U X19021, 200U X19022</t>
    <phoneticPr fontId="6" type="noConversion"/>
  </si>
  <si>
    <t>국내용 생산#12-3</t>
    <phoneticPr fontId="6" type="noConversion"/>
  </si>
  <si>
    <t>국내용 생산#12-4</t>
    <phoneticPr fontId="6" type="noConversion"/>
  </si>
  <si>
    <t>`</t>
    <phoneticPr fontId="6" type="noConversion"/>
  </si>
  <si>
    <t>메디아필 #1</t>
    <phoneticPr fontId="6" type="noConversion"/>
  </si>
  <si>
    <t>메디아필 #1</t>
    <phoneticPr fontId="6" type="noConversion"/>
  </si>
  <si>
    <r>
      <t>메디아필 #</t>
    </r>
    <r>
      <rPr>
        <sz val="11"/>
        <color rgb="FF000000"/>
        <rFont val="맑은 고딕"/>
        <family val="2"/>
      </rPr>
      <t>2</t>
    </r>
    <phoneticPr fontId="6" type="noConversion"/>
  </si>
  <si>
    <r>
      <t xml:space="preserve">메디아필 </t>
    </r>
    <r>
      <rPr>
        <sz val="11"/>
        <color rgb="FF000000"/>
        <rFont val="맑은 고딕"/>
        <family val="2"/>
      </rPr>
      <t># 3차</t>
    </r>
    <phoneticPr fontId="6" type="noConversion"/>
  </si>
  <si>
    <t>메디아필 적합 확인</t>
    <phoneticPr fontId="6" type="noConversion"/>
  </si>
  <si>
    <t xml:space="preserve"> </t>
    <phoneticPr fontId="6" type="noConversion"/>
  </si>
  <si>
    <t>국회의원 선거</t>
    <phoneticPr fontId="6" type="noConversion"/>
  </si>
  <si>
    <t>부처님 오신날</t>
    <phoneticPr fontId="6" type="noConversion"/>
  </si>
  <si>
    <t>국내용 생산# X19026</t>
    <phoneticPr fontId="6" type="noConversion"/>
  </si>
  <si>
    <t>국내용 생산# X19027</t>
    <phoneticPr fontId="6" type="noConversion"/>
  </si>
  <si>
    <t>국내용 생산#X19017</t>
    <phoneticPr fontId="6" type="noConversion"/>
  </si>
  <si>
    <t>국내용 생산#X19025</t>
    <phoneticPr fontId="6" type="noConversion"/>
  </si>
  <si>
    <t>국내용 생산# X19017</t>
    <phoneticPr fontId="6" type="noConversion"/>
  </si>
  <si>
    <t>국내용 생산 X19025 / 종료</t>
    <phoneticPr fontId="6" type="noConversion"/>
  </si>
  <si>
    <t>국내용 생산# X19026</t>
    <phoneticPr fontId="6" type="noConversion"/>
  </si>
  <si>
    <t>국내용 생산# X19026 / 종료</t>
    <phoneticPr fontId="6" type="noConversion"/>
  </si>
  <si>
    <t>국내용 생산# X19027 / 종료</t>
    <phoneticPr fontId="6" type="noConversion"/>
  </si>
  <si>
    <t>국내용 포장 X19025</t>
    <phoneticPr fontId="6" type="noConversion"/>
  </si>
  <si>
    <t>국내용 포장# X19017</t>
    <phoneticPr fontId="6" type="noConversion"/>
  </si>
  <si>
    <t>미국 포장# 121920</t>
    <phoneticPr fontId="6" type="noConversion"/>
  </si>
  <si>
    <t>A 2-1</t>
    <phoneticPr fontId="6" type="noConversion"/>
  </si>
  <si>
    <t>A 2-2</t>
    <phoneticPr fontId="6" type="noConversion"/>
  </si>
  <si>
    <t>A 2-3</t>
    <phoneticPr fontId="6" type="noConversion"/>
  </si>
  <si>
    <t>A 2-4</t>
    <phoneticPr fontId="6" type="noConversion"/>
  </si>
  <si>
    <t>A 2-5</t>
    <phoneticPr fontId="6" type="noConversion"/>
  </si>
  <si>
    <t>A 2-7</t>
    <phoneticPr fontId="6" type="noConversion"/>
  </si>
  <si>
    <t>200U X19020, 50U X19014</t>
    <phoneticPr fontId="6" type="noConversion"/>
  </si>
  <si>
    <t>아랍에미리트 100U(감압) 12-1</t>
    <phoneticPr fontId="6" type="noConversion"/>
  </si>
  <si>
    <t>아랍에미리트 100U(감압) 12-2</t>
    <phoneticPr fontId="6" type="noConversion"/>
  </si>
  <si>
    <t>A 2-6</t>
    <phoneticPr fontId="6" type="noConversion"/>
  </si>
  <si>
    <t xml:space="preserve">A 2-7 </t>
    <phoneticPr fontId="6" type="noConversion"/>
  </si>
  <si>
    <t>아랍에미레이트 12-1</t>
    <phoneticPr fontId="6" type="noConversion"/>
  </si>
  <si>
    <t>인도네시아</t>
    <phoneticPr fontId="6" type="noConversion"/>
  </si>
  <si>
    <t>인도네시아</t>
    <phoneticPr fontId="6" type="noConversion"/>
  </si>
  <si>
    <t>파나마</t>
    <phoneticPr fontId="6" type="noConversion"/>
  </si>
  <si>
    <r>
      <t xml:space="preserve">200U PV#1 생산 </t>
    </r>
    <r>
      <rPr>
        <sz val="11"/>
        <color rgb="FF000000"/>
        <rFont val="맑은 고딕"/>
        <family val="2"/>
      </rPr>
      <t># 4-4</t>
    </r>
    <phoneticPr fontId="6" type="noConversion"/>
  </si>
  <si>
    <t>국내용 생산# X19030</t>
    <phoneticPr fontId="6" type="noConversion"/>
  </si>
  <si>
    <t>국내용 생산# X19026</t>
    <phoneticPr fontId="6" type="noConversion"/>
  </si>
  <si>
    <t>국내용 생산# X19027</t>
    <phoneticPr fontId="6" type="noConversion"/>
  </si>
  <si>
    <t>국내용 생산#X19030</t>
    <phoneticPr fontId="6" type="noConversion"/>
  </si>
  <si>
    <t>국내용 생산#X19034</t>
    <phoneticPr fontId="6" type="noConversion"/>
  </si>
  <si>
    <t>국내용 생산# X19030</t>
    <phoneticPr fontId="6" type="noConversion"/>
  </si>
  <si>
    <t>국내용 생산# X19034</t>
    <phoneticPr fontId="6" type="noConversion"/>
  </si>
  <si>
    <t>포장 100U X19030</t>
    <phoneticPr fontId="6" type="noConversion"/>
  </si>
  <si>
    <t>포장 100U X19034</t>
    <phoneticPr fontId="6" type="noConversion"/>
  </si>
  <si>
    <t>포장 100U X19027</t>
    <phoneticPr fontId="6" type="noConversion"/>
  </si>
  <si>
    <t>포장 100U X19026</t>
    <phoneticPr fontId="6" type="noConversion"/>
  </si>
  <si>
    <t>200U X19031</t>
    <phoneticPr fontId="6" type="noConversion"/>
  </si>
  <si>
    <t>파나마 50U X19033</t>
    <phoneticPr fontId="6" type="noConversion"/>
  </si>
  <si>
    <t>인도네시아 100U X19035</t>
    <phoneticPr fontId="6" type="noConversion"/>
  </si>
  <si>
    <t>200U X19036</t>
    <phoneticPr fontId="6" type="noConversion"/>
  </si>
  <si>
    <t>200U X19037</t>
    <phoneticPr fontId="6" type="noConversion"/>
  </si>
  <si>
    <t>미국용 생산#X19039</t>
    <phoneticPr fontId="6" type="noConversion"/>
  </si>
  <si>
    <t>중국 PV#1 Z19001</t>
    <phoneticPr fontId="6" type="noConversion"/>
  </si>
  <si>
    <t>미국 생산# 121921</t>
    <phoneticPr fontId="6" type="noConversion"/>
  </si>
  <si>
    <t>미국 생산# 121921</t>
    <phoneticPr fontId="6" type="noConversion"/>
  </si>
  <si>
    <t>200U X19031</t>
    <phoneticPr fontId="6" type="noConversion"/>
  </si>
  <si>
    <t>포장 200U X19036, X19037</t>
    <phoneticPr fontId="6" type="noConversion"/>
  </si>
  <si>
    <t>200U X19023, 200U X19024</t>
    <phoneticPr fontId="6" type="noConversion"/>
  </si>
  <si>
    <t>국내용 생산# X19030 / 종료</t>
    <phoneticPr fontId="6" type="noConversion"/>
  </si>
  <si>
    <t xml:space="preserve">국내용 생산# X19030 </t>
    <phoneticPr fontId="6" type="noConversion"/>
  </si>
  <si>
    <t>중국용 생산 #Z19001</t>
    <phoneticPr fontId="6" type="noConversion"/>
  </si>
  <si>
    <t>미국용 생산#X19039</t>
    <phoneticPr fontId="6" type="noConversion"/>
  </si>
  <si>
    <t>미국용 생산#X19039 / 종료</t>
    <phoneticPr fontId="6" type="noConversion"/>
  </si>
  <si>
    <t>중국용 PV 포장#Z19001</t>
    <phoneticPr fontId="6" type="noConversion"/>
  </si>
  <si>
    <t>1안</t>
    <phoneticPr fontId="6" type="noConversion"/>
  </si>
  <si>
    <t>X19034</t>
    <phoneticPr fontId="6" type="noConversion"/>
  </si>
  <si>
    <t>Z19001</t>
    <phoneticPr fontId="6" type="noConversion"/>
  </si>
  <si>
    <t>이물검사 완료</t>
    <phoneticPr fontId="6" type="noConversion"/>
  </si>
  <si>
    <t xml:space="preserve">포장 </t>
    <phoneticPr fontId="6" type="noConversion"/>
  </si>
  <si>
    <t>포장</t>
    <phoneticPr fontId="6" type="noConversion"/>
  </si>
  <si>
    <t>특근</t>
    <phoneticPr fontId="6" type="noConversion"/>
  </si>
  <si>
    <t>2020.02.03</t>
    <phoneticPr fontId="6" type="noConversion"/>
  </si>
  <si>
    <t>2020.01.21</t>
    <phoneticPr fontId="6" type="noConversion"/>
  </si>
  <si>
    <t>2020.02.06</t>
    <phoneticPr fontId="6" type="noConversion"/>
  </si>
  <si>
    <t>국내용 생산# X19034 / 완료</t>
    <phoneticPr fontId="6" type="noConversion"/>
  </si>
  <si>
    <t xml:space="preserve">국내용 생산# X19034 </t>
    <phoneticPr fontId="6" type="noConversion"/>
  </si>
  <si>
    <t>중국용 생산 #Z19001 / 완료</t>
    <phoneticPr fontId="6" type="noConversion"/>
  </si>
  <si>
    <t xml:space="preserve">국내용 생산# X19027 </t>
    <phoneticPr fontId="6" type="noConversion"/>
  </si>
  <si>
    <t>포장 # 3-3</t>
    <phoneticPr fontId="6" type="noConversion"/>
  </si>
  <si>
    <t>포장 # 3-4</t>
    <phoneticPr fontId="6" type="noConversion"/>
  </si>
  <si>
    <t>추석</t>
    <phoneticPr fontId="6" type="noConversion"/>
  </si>
  <si>
    <t>탈모, 가려움증 임상</t>
    <phoneticPr fontId="6" type="noConversion"/>
  </si>
  <si>
    <t>아랍에미리트 100U(감압) X19028</t>
    <phoneticPr fontId="6" type="noConversion"/>
  </si>
  <si>
    <t>A 200U X20001 2-1</t>
    <phoneticPr fontId="6" type="noConversion"/>
  </si>
  <si>
    <t>A 200U X20006 2-4</t>
    <phoneticPr fontId="6" type="noConversion"/>
  </si>
  <si>
    <t>A 멕시코(감압) X20004 2-6</t>
    <phoneticPr fontId="6" type="noConversion"/>
  </si>
  <si>
    <t>국내용 100U 생산 #3-2</t>
    <phoneticPr fontId="6" type="noConversion"/>
  </si>
  <si>
    <t>적재패턴 검증#1</t>
    <phoneticPr fontId="6" type="noConversion"/>
  </si>
  <si>
    <t>적재패턴 검증#2</t>
    <phoneticPr fontId="6" type="noConversion"/>
  </si>
  <si>
    <t>A 200U X20002 2-2</t>
    <phoneticPr fontId="6" type="noConversion"/>
  </si>
  <si>
    <t>A 200U X20005 2-3
(동결건조기 일탈-폐기)</t>
    <phoneticPr fontId="6" type="noConversion"/>
  </si>
  <si>
    <r>
      <t>2</t>
    </r>
    <r>
      <rPr>
        <sz val="11"/>
        <color rgb="FF000000"/>
        <rFont val="맑은 고딕"/>
        <family val="2"/>
      </rPr>
      <t>00u X20007 계획이었으나 변경</t>
    </r>
    <phoneticPr fontId="6" type="noConversion"/>
  </si>
  <si>
    <t>A 200U X20007 2-5</t>
    <phoneticPr fontId="6" type="noConversion"/>
  </si>
  <si>
    <t>A 200U X20001, X20002</t>
    <phoneticPr fontId="6" type="noConversion"/>
  </si>
  <si>
    <t>A 태국 100U 생산#3-2</t>
    <phoneticPr fontId="6" type="noConversion"/>
  </si>
  <si>
    <t>국내용 100U 생산 #3-2 / 종료</t>
    <phoneticPr fontId="6" type="noConversion"/>
  </si>
  <si>
    <t>이물검사</t>
    <phoneticPr fontId="6" type="noConversion"/>
  </si>
  <si>
    <t>A 태국 100U 생산#3-3</t>
    <phoneticPr fontId="6" type="noConversion"/>
  </si>
  <si>
    <t>A 4-2 / 종료</t>
    <phoneticPr fontId="6" type="noConversion"/>
  </si>
  <si>
    <r>
      <t xml:space="preserve">생산 </t>
    </r>
    <r>
      <rPr>
        <sz val="11"/>
        <color rgb="FF000000"/>
        <rFont val="맑은 고딕"/>
        <family val="2"/>
      </rPr>
      <t># 8-1</t>
    </r>
    <phoneticPr fontId="6" type="noConversion"/>
  </si>
  <si>
    <t>용해시험 의뢰</t>
    <phoneticPr fontId="6" type="noConversion"/>
  </si>
  <si>
    <t>용해시험 진행</t>
    <phoneticPr fontId="6" type="noConversion"/>
  </si>
  <si>
    <t>용해시험 진행</t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</si>
  <si>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포장 #3-1 / 3-2</t>
    </r>
    <phoneticPr fontId="6" type="noConversion"/>
  </si>
  <si>
    <t xml:space="preserve">A 4-2 </t>
    <phoneticPr fontId="6" type="noConversion"/>
  </si>
  <si>
    <r>
      <t>*</t>
    </r>
    <r>
      <rPr>
        <sz val="11"/>
        <color rgb="FF000000"/>
        <rFont val="맑은 고딕"/>
        <family val="2"/>
      </rPr>
      <t xml:space="preserve"> A동 포장 /  A동 생산 / C동 포장 / C동 이물검사 中 택 3</t>
    </r>
    <phoneticPr fontId="6" type="noConversion"/>
  </si>
  <si>
    <t>생산 #6-4</t>
    <phoneticPr fontId="6" type="noConversion"/>
  </si>
  <si>
    <t>생산 #6-4 / 종료</t>
    <phoneticPr fontId="6" type="noConversion"/>
  </si>
  <si>
    <t>메디아필#2</t>
    <phoneticPr fontId="6" type="noConversion"/>
  </si>
  <si>
    <t>메디아필#3</t>
    <phoneticPr fontId="6" type="noConversion"/>
  </si>
  <si>
    <r>
      <t xml:space="preserve">생산 </t>
    </r>
    <r>
      <rPr>
        <sz val="11"/>
        <color rgb="FF000000"/>
        <rFont val="맑은 고딕"/>
        <family val="2"/>
      </rPr>
      <t># 8-2</t>
    </r>
    <phoneticPr fontId="6" type="noConversion"/>
  </si>
  <si>
    <t>A 아랍(감압) X20003 2-8</t>
    <phoneticPr fontId="6" type="noConversion"/>
  </si>
  <si>
    <t>A 멕시코(감압) X20008 2-7</t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</si>
  <si>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-5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</si>
  <si>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-6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</si>
  <si>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-1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</si>
  <si>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-1 / 종료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</si>
  <si>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-2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</si>
  <si>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-2 / 종료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</si>
  <si>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-3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</si>
  <si>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-3 / 종료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</si>
  <si>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-4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</si>
  <si>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-4 / 종료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</si>
  <si>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-5 / 종료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</si>
  <si>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</rPr>
      <t>-6 / 종료</t>
    </r>
    <phoneticPr fontId="6" type="noConversion"/>
  </si>
  <si>
    <r>
      <t xml:space="preserve">생산 </t>
    </r>
    <r>
      <rPr>
        <sz val="11"/>
        <color rgb="FF000000"/>
        <rFont val="맑은 고딕"/>
        <family val="2"/>
      </rPr>
      <t># 8-1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</si>
  <si>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10-1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</si>
  <si>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10-2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</si>
  <si>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10-4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</si>
  <si>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10-5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</si>
  <si>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10-6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</si>
  <si>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11-1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</si>
  <si>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11-3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</si>
  <si>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12-3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</si>
  <si>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12-4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</si>
  <si>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12-5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</si>
  <si>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생산#3-2</t>
    </r>
    <phoneticPr fontId="6" type="noConversion"/>
  </si>
  <si>
    <t>200U 시생산 #3-4</t>
    <phoneticPr fontId="6" type="noConversion"/>
  </si>
  <si>
    <t xml:space="preserve">A 필리핀 X20009 2-9 </t>
    <phoneticPr fontId="6" type="noConversion"/>
  </si>
  <si>
    <t>A 인도네시아 X19035</t>
    <phoneticPr fontId="6" type="noConversion"/>
  </si>
  <si>
    <t>A 아랍(감압) X20003 2-8</t>
    <phoneticPr fontId="6" type="noConversion"/>
  </si>
  <si>
    <t>A 아랍(감압) X19028</t>
    <phoneticPr fontId="6" type="noConversion"/>
  </si>
  <si>
    <t>A 태국 100U 생산#3-4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</si>
  <si>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생산#4-2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</si>
  <si>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생산#4-3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</si>
  <si>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멕시코 100U 생산#4-4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</si>
  <si>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클로듀 100U 생산#4-5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</si>
  <si>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200U 생산#4-7</t>
    </r>
    <phoneticPr fontId="6" type="noConversion"/>
  </si>
  <si>
    <t>셧다운 예상</t>
    <phoneticPr fontId="6" type="noConversion"/>
  </si>
  <si>
    <r>
      <t>A 태국 100U 8</t>
    </r>
    <r>
      <rPr>
        <sz val="12"/>
        <color rgb="FF000000"/>
        <rFont val="맑은 고딕"/>
        <family val="3"/>
        <charset val="129"/>
      </rPr>
      <t>-1</t>
    </r>
    <phoneticPr fontId="6" type="noConversion"/>
  </si>
  <si>
    <r>
      <t>A 태국 100U 8</t>
    </r>
    <r>
      <rPr>
        <sz val="12"/>
        <color rgb="FF000000"/>
        <rFont val="맑은 고딕"/>
        <family val="3"/>
        <charset val="129"/>
      </rPr>
      <t>-2</t>
    </r>
    <phoneticPr fontId="6" type="noConversion"/>
  </si>
  <si>
    <r>
      <t>A 태국 100U 8</t>
    </r>
    <r>
      <rPr>
        <sz val="12"/>
        <color rgb="FF000000"/>
        <rFont val="맑은 고딕"/>
        <family val="3"/>
        <charset val="129"/>
      </rPr>
      <t>-3</t>
    </r>
    <phoneticPr fontId="6" type="noConversion"/>
  </si>
  <si>
    <r>
      <t>A 태국 100U 8</t>
    </r>
    <r>
      <rPr>
        <sz val="12"/>
        <color rgb="FF000000"/>
        <rFont val="맑은 고딕"/>
        <family val="3"/>
        <charset val="129"/>
      </rPr>
      <t>-4</t>
    </r>
    <phoneticPr fontId="6" type="noConversion"/>
  </si>
  <si>
    <r>
      <t>A 멕시코 100U 8</t>
    </r>
    <r>
      <rPr>
        <sz val="12"/>
        <color rgb="FF000000"/>
        <rFont val="맑은 고딕"/>
        <family val="3"/>
        <charset val="129"/>
      </rPr>
      <t>-5</t>
    </r>
    <phoneticPr fontId="6" type="noConversion"/>
  </si>
  <si>
    <r>
      <t>A 클로듀 100U 8</t>
    </r>
    <r>
      <rPr>
        <sz val="12"/>
        <color rgb="FF000000"/>
        <rFont val="맑은 고딕"/>
        <family val="3"/>
        <charset val="129"/>
      </rPr>
      <t>-6</t>
    </r>
    <phoneticPr fontId="6" type="noConversion"/>
  </si>
  <si>
    <r>
      <t>A 인도네시아 100U 8</t>
    </r>
    <r>
      <rPr>
        <sz val="12"/>
        <color rgb="FF000000"/>
        <rFont val="맑은 고딕"/>
        <family val="3"/>
        <charset val="129"/>
      </rPr>
      <t>-7</t>
    </r>
    <phoneticPr fontId="6" type="noConversion"/>
  </si>
  <si>
    <t xml:space="preserve"> </t>
    <phoneticPr fontId="6" type="noConversion"/>
  </si>
  <si>
    <r>
      <t>A 터키 8</t>
    </r>
    <r>
      <rPr>
        <sz val="12"/>
        <color rgb="FF000000"/>
        <rFont val="맑은 고딕"/>
        <family val="3"/>
        <charset val="129"/>
      </rPr>
      <t>-8</t>
    </r>
    <phoneticPr fontId="6" type="noConversion"/>
  </si>
  <si>
    <r>
      <t>A 200U 8</t>
    </r>
    <r>
      <rPr>
        <sz val="12"/>
        <color rgb="FF000000"/>
        <rFont val="맑은 고딕"/>
        <family val="3"/>
        <charset val="129"/>
      </rPr>
      <t>-9</t>
    </r>
    <phoneticPr fontId="6" type="noConversion"/>
  </si>
  <si>
    <r>
      <t>A 200U 8</t>
    </r>
    <r>
      <rPr>
        <sz val="12"/>
        <color rgb="FF000000"/>
        <rFont val="맑은 고딕"/>
        <family val="3"/>
        <charset val="129"/>
      </rPr>
      <t>-10</t>
    </r>
    <phoneticPr fontId="6" type="noConversion"/>
  </si>
  <si>
    <r>
      <t>A 200U 8</t>
    </r>
    <r>
      <rPr>
        <sz val="12"/>
        <color rgb="FF000000"/>
        <rFont val="맑은 고딕"/>
        <family val="3"/>
        <charset val="129"/>
      </rPr>
      <t>-11</t>
    </r>
    <phoneticPr fontId="6" type="noConversion"/>
  </si>
  <si>
    <t>A 200U 8-12</t>
    <phoneticPr fontId="6" type="noConversion"/>
  </si>
  <si>
    <r>
      <t>A 200U 8</t>
    </r>
    <r>
      <rPr>
        <sz val="12"/>
        <color rgb="FF000000"/>
        <rFont val="맑은 고딕"/>
        <family val="3"/>
        <charset val="129"/>
      </rPr>
      <t>-13</t>
    </r>
    <phoneticPr fontId="6" type="noConversion"/>
  </si>
  <si>
    <r>
      <t>A 200U 8</t>
    </r>
    <r>
      <rPr>
        <sz val="12"/>
        <color rgb="FF000000"/>
        <rFont val="맑은 고딕"/>
        <family val="3"/>
        <charset val="129"/>
      </rPr>
      <t>-14</t>
    </r>
    <phoneticPr fontId="6" type="noConversion"/>
  </si>
  <si>
    <r>
      <t>A 8</t>
    </r>
    <r>
      <rPr>
        <sz val="12"/>
        <color rgb="FF000000"/>
        <rFont val="맑은 고딕"/>
        <family val="3"/>
        <charset val="129"/>
        <scheme val="major"/>
      </rPr>
      <t>-7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</si>
  <si>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  <scheme val="major"/>
      </rPr>
      <t># 9-1</t>
    </r>
    <phoneticPr fontId="6" type="noConversion"/>
  </si>
  <si>
    <r>
      <t xml:space="preserve">생산 </t>
    </r>
    <r>
      <rPr>
        <sz val="11"/>
        <color rgb="FF000000"/>
        <rFont val="맑은 고딕"/>
        <family val="3"/>
        <charset val="129"/>
        <scheme val="major"/>
      </rPr>
      <t># 8-1</t>
    </r>
    <phoneticPr fontId="6" type="noConversion"/>
  </si>
  <si>
    <r>
      <t xml:space="preserve">A 200U </t>
    </r>
    <r>
      <rPr>
        <sz val="12"/>
        <color rgb="FF000000"/>
        <rFont val="맑은 고딕"/>
        <family val="3"/>
        <charset val="129"/>
        <scheme val="major"/>
      </rPr>
      <t>8-15</t>
    </r>
    <phoneticPr fontId="6" type="noConversion"/>
  </si>
  <si>
    <t>미국용 제품 포장 #X19003</t>
    <phoneticPr fontId="6" type="noConversion"/>
  </si>
  <si>
    <t>포장 # 3-2</t>
    <phoneticPr fontId="6" type="noConversion"/>
  </si>
  <si>
    <t>생산 #6-5 / 종료</t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</si>
  <si>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포장 #3-8</t>
    </r>
    <phoneticPr fontId="6" type="noConversion"/>
  </si>
  <si>
    <r>
      <t>C동</t>
    </r>
    <r>
      <rPr>
        <sz val="11"/>
        <color rgb="FF000000"/>
        <rFont val="맑은 고딕"/>
        <family val="2"/>
      </rPr>
      <t xml:space="preserve"> 인원 지원 받아 포장 진행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</si>
  <si>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상지근육 경직 임상 포장</t>
    </r>
    <phoneticPr fontId="6" type="noConversion"/>
  </si>
  <si>
    <r>
      <t xml:space="preserve">A </t>
    </r>
    <r>
      <rPr>
        <b/>
        <sz val="11"/>
        <color rgb="FF000000"/>
        <rFont val="맑은 고딕"/>
        <family val="3"/>
        <charset val="129"/>
      </rPr>
      <t>유문보존위절제술 임상 포장</t>
    </r>
    <phoneticPr fontId="6" type="noConversion"/>
  </si>
  <si>
    <r>
      <t xml:space="preserve">중국 </t>
    </r>
    <r>
      <rPr>
        <b/>
        <sz val="11"/>
        <color rgb="FF000000"/>
        <rFont val="맑은 고딕"/>
        <family val="3"/>
        <charset val="129"/>
      </rPr>
      <t>PV#3</t>
    </r>
    <phoneticPr fontId="6" type="noConversion"/>
  </si>
  <si>
    <t>미국용 100U생산 #3-3</t>
    <phoneticPr fontId="6" type="noConversion"/>
  </si>
  <si>
    <t>국내용 100U X20010</t>
    <phoneticPr fontId="6" type="noConversion"/>
  </si>
  <si>
    <t>국내용 100U X20010 / 종료</t>
    <phoneticPr fontId="6" type="noConversion"/>
  </si>
  <si>
    <r>
      <t xml:space="preserve">중국 </t>
    </r>
    <r>
      <rPr>
        <b/>
        <sz val="11"/>
        <color rgb="FF000000"/>
        <rFont val="맑은 고딕"/>
        <family val="3"/>
        <charset val="129"/>
      </rPr>
      <t>PV#2 Z20001</t>
    </r>
    <phoneticPr fontId="6" type="noConversion"/>
  </si>
  <si>
    <t>중국 PV#2 Z20001</t>
    <phoneticPr fontId="6" type="noConversion"/>
  </si>
  <si>
    <t>중국 PV#2 Z20001 / 종료</t>
    <phoneticPr fontId="6" type="noConversion"/>
  </si>
  <si>
    <t>미국 생산 #3-3</t>
    <phoneticPr fontId="6" type="noConversion"/>
  </si>
  <si>
    <t>200U 시생산 #3-4</t>
    <phoneticPr fontId="6" type="noConversion"/>
  </si>
  <si>
    <t>A 베트남 100U 생산#3-1</t>
    <phoneticPr fontId="6" type="noConversion"/>
  </si>
  <si>
    <t>A 베트남 100U 생산#3-1</t>
    <phoneticPr fontId="6" type="noConversion"/>
  </si>
  <si>
    <r>
      <t>A 베트남 100U 생산#3-1/</t>
    </r>
    <r>
      <rPr>
        <sz val="11"/>
        <color rgb="FF000000"/>
        <rFont val="맑은 고딕"/>
        <family val="2"/>
      </rPr>
      <t xml:space="preserve"> 종료</t>
    </r>
    <phoneticPr fontId="6" type="noConversion"/>
  </si>
  <si>
    <t>A 태국 100U 생산#3-2</t>
    <phoneticPr fontId="6" type="noConversion"/>
  </si>
  <si>
    <t>A 태국 100U 생산#3-2 / 종료</t>
    <phoneticPr fontId="6" type="noConversion"/>
  </si>
  <si>
    <t>A 태국 100U 생산#3-3 / 종료</t>
    <phoneticPr fontId="6" type="noConversion"/>
  </si>
  <si>
    <t xml:space="preserve">A 태국 100U 생산#3-4 </t>
    <phoneticPr fontId="6" type="noConversion"/>
  </si>
  <si>
    <t>A 태국 100U 생산#3-4 / 종료</t>
    <phoneticPr fontId="6" type="noConversion"/>
  </si>
  <si>
    <t>A 태국 100U 생산#3-5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</si>
  <si>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200U #3-8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</si>
  <si>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생산#3-3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</si>
  <si>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 #3-4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</si>
  <si>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#3-5</t>
    </r>
    <phoneticPr fontId="6" type="noConversion"/>
  </si>
  <si>
    <t>A 국내 200U 생산#3-6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</si>
  <si>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멕시코 100U 생산 #3-7</t>
    </r>
    <phoneticPr fontId="6" type="noConversion"/>
  </si>
  <si>
    <t>`</t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</si>
  <si>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포장 #3-6 / 3-8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</si>
  <si>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인도네시아 100U 생산#4-6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</si>
  <si>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국내용 100U 생산 #2-1</t>
    </r>
    <phoneticPr fontId="6" type="noConversion"/>
  </si>
  <si>
    <t>A 200U X20006, X20007</t>
    <phoneticPr fontId="6" type="noConversion"/>
  </si>
  <si>
    <t>A 아랍(감압) X19028 -&gt; 3/9로 이동</t>
    <phoneticPr fontId="6" type="noConversion"/>
  </si>
  <si>
    <t>A 국내용 200U 2-10</t>
    <phoneticPr fontId="6" type="noConversion"/>
  </si>
  <si>
    <t>A 국내용 200U 2-11</t>
    <phoneticPr fontId="6" type="noConversion"/>
  </si>
  <si>
    <t>국내용 100U 생산 #2-1 X20010(중단)</t>
    <phoneticPr fontId="6" type="noConversion"/>
  </si>
  <si>
    <t>국내용 100U 생산 #3-1 X20013</t>
    <phoneticPr fontId="6" type="noConversion"/>
  </si>
  <si>
    <r>
      <t xml:space="preserve">중국 </t>
    </r>
    <r>
      <rPr>
        <b/>
        <sz val="11"/>
        <color rgb="FF000000"/>
        <rFont val="맑은 고딕"/>
        <family val="3"/>
        <charset val="129"/>
      </rPr>
      <t>PV#3 Z20002</t>
    </r>
    <phoneticPr fontId="6" type="noConversion"/>
  </si>
  <si>
    <t>A 국내용 200U 2-10</t>
    <phoneticPr fontId="6" type="noConversion"/>
  </si>
  <si>
    <t>A 태국 100U 생산#3-1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</si>
  <si>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#3-3</t>
    </r>
    <phoneticPr fontId="6" type="noConversion"/>
  </si>
  <si>
    <t>A 배트남 100U 생산#3-4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</si>
  <si>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멕시코 100U 생산 #3-5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</si>
  <si>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200U #3-6</t>
    </r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</si>
  <si>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포장 200U #2-10 / 2-11</t>
    </r>
    <phoneticPr fontId="6" type="noConversion"/>
  </si>
  <si>
    <r>
      <t xml:space="preserve">국내용 </t>
    </r>
    <r>
      <rPr>
        <b/>
        <sz val="11"/>
        <color rgb="FF000000"/>
        <rFont val="맑은 고딕"/>
        <family val="3"/>
        <charset val="129"/>
      </rPr>
      <t>100U 106938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</si>
  <si>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생산#3-1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</si>
  <si>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 #3-2</t>
    </r>
    <phoneticPr fontId="6" type="noConversion"/>
  </si>
  <si>
    <r>
      <t xml:space="preserve">미국용 </t>
    </r>
    <r>
      <rPr>
        <b/>
        <sz val="11"/>
        <color rgb="FF000000"/>
        <rFont val="맑은 고딕"/>
        <family val="3"/>
        <charset val="129"/>
      </rPr>
      <t>100U 포장 X19007</t>
    </r>
    <phoneticPr fontId="6" type="noConversion"/>
  </si>
  <si>
    <r>
      <t xml:space="preserve">미국용 </t>
    </r>
    <r>
      <rPr>
        <b/>
        <sz val="11"/>
        <color rgb="FF000000"/>
        <rFont val="맑은 고딕"/>
        <family val="3"/>
        <charset val="129"/>
      </rPr>
      <t>100U 포장 X19039</t>
    </r>
    <phoneticPr fontId="6" type="noConversion"/>
  </si>
  <si>
    <t>국내용 100U 생산 #3-1 X20015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</si>
  <si>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200U #3-1</t>
    </r>
    <phoneticPr fontId="6" type="noConversion"/>
  </si>
  <si>
    <t>A 국내용 200U X20011 2-10</t>
    <phoneticPr fontId="6" type="noConversion"/>
  </si>
  <si>
    <t>A 국내용 200U X20012 2-11</t>
    <phoneticPr fontId="6" type="noConversion"/>
  </si>
  <si>
    <t>A 태국 생산 #3-3</t>
    <phoneticPr fontId="6" type="noConversion"/>
  </si>
  <si>
    <t>A 태국 생산 #3-4</t>
    <phoneticPr fontId="6" type="noConversion"/>
  </si>
  <si>
    <t>국내용 100U 생산 #3-1 X20013</t>
    <phoneticPr fontId="6" type="noConversion"/>
  </si>
  <si>
    <t>국내용 100U X20013</t>
    <phoneticPr fontId="6" type="noConversion"/>
  </si>
  <si>
    <t>국내용 100U X20013 / 종료</t>
    <phoneticPr fontId="6" type="noConversion"/>
  </si>
  <si>
    <t>미국용 제품 포장 # X19003</t>
    <phoneticPr fontId="6" type="noConversion"/>
  </si>
  <si>
    <t>국내용 100U 생산 X20015</t>
    <phoneticPr fontId="6" type="noConversion"/>
  </si>
  <si>
    <t>국내용 100U 생산 X20015 / 종료</t>
    <phoneticPr fontId="6" type="noConversion"/>
  </si>
  <si>
    <r>
      <t xml:space="preserve">중국 </t>
    </r>
    <r>
      <rPr>
        <b/>
        <sz val="11"/>
        <color rgb="FF000000"/>
        <rFont val="맑은 고딕"/>
        <family val="3"/>
        <charset val="129"/>
      </rPr>
      <t>PV#2 Z20001</t>
    </r>
    <phoneticPr fontId="6" type="noConversion"/>
  </si>
  <si>
    <t>중국 PV#2 Z20001</t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</si>
  <si>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포장 200U # X20006 / X20010</t>
    </r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</si>
  <si>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포장 200U # X20006 / X20010</t>
    </r>
    <phoneticPr fontId="6" type="noConversion"/>
  </si>
  <si>
    <t xml:space="preserve">A 태국 100U 생산#3-4 </t>
    <phoneticPr fontId="6" type="noConversion"/>
  </si>
  <si>
    <t>국내 100U 또는 200U 시생산 #3-4</t>
    <phoneticPr fontId="6" type="noConversion"/>
  </si>
  <si>
    <r>
      <t xml:space="preserve">국내용 100U 또는 200U 시생산 생산 </t>
    </r>
    <r>
      <rPr>
        <sz val="11"/>
        <color rgb="FF000000"/>
        <rFont val="맑은 고딕"/>
        <family val="2"/>
      </rPr>
      <t># 4-1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</si>
  <si>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포장 200U # X20011</t>
    </r>
    <phoneticPr fontId="6" type="noConversion"/>
  </si>
  <si>
    <t xml:space="preserve"> 인도네시아 X19035</t>
    <phoneticPr fontId="6" type="noConversion"/>
  </si>
  <si>
    <t>중국용 PV 포장 Z20001, Z20002</t>
    <phoneticPr fontId="6" type="noConversion"/>
  </si>
  <si>
    <t>멕시코는 26일까지 반제품 오전, 포장 오후까지 전달 필요</t>
    <phoneticPr fontId="6" type="noConversion"/>
  </si>
  <si>
    <t>태국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</si>
  <si>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포장 200U # X20006 / X20011</t>
    </r>
    <phoneticPr fontId="6" type="noConversion"/>
  </si>
  <si>
    <t>국내용 100U X20015</t>
    <phoneticPr fontId="6" type="noConversion"/>
  </si>
  <si>
    <t>국내용 100U X20015 / 종료</t>
    <phoneticPr fontId="6" type="noConversion"/>
  </si>
  <si>
    <r>
      <t>중국 임상</t>
    </r>
    <r>
      <rPr>
        <sz val="11"/>
        <color rgb="FF000000"/>
        <rFont val="맑은 고딕"/>
        <family val="2"/>
      </rPr>
      <t xml:space="preserve"> Z20001, Z20002</t>
    </r>
    <phoneticPr fontId="6" type="noConversion"/>
  </si>
  <si>
    <t>5월 8일</t>
    <phoneticPr fontId="6" type="noConversion"/>
  </si>
  <si>
    <r>
      <t>6월</t>
    </r>
    <r>
      <rPr>
        <sz val="11"/>
        <color rgb="FF000000"/>
        <rFont val="맑은 고딕"/>
        <family val="2"/>
      </rPr>
      <t xml:space="preserve"> 5일</t>
    </r>
    <phoneticPr fontId="6" type="noConversion"/>
  </si>
  <si>
    <t>3월 4월 10일</t>
    <phoneticPr fontId="6" type="noConversion"/>
  </si>
  <si>
    <t>국내용 100U X20015 / 종료</t>
    <phoneticPr fontId="6" type="noConversion"/>
  </si>
  <si>
    <t>국내용 100U 생산 #3-2 X20015</t>
    <phoneticPr fontId="6" type="noConversion"/>
  </si>
  <si>
    <r>
      <t xml:space="preserve">중국 </t>
    </r>
    <r>
      <rPr>
        <b/>
        <sz val="11"/>
        <color rgb="FF000000"/>
        <rFont val="맑은 고딕"/>
        <family val="3"/>
        <charset val="129"/>
      </rPr>
      <t>PV#2 3-3 Z20001</t>
    </r>
    <phoneticPr fontId="6" type="noConversion"/>
  </si>
  <si>
    <r>
      <t xml:space="preserve">중국 </t>
    </r>
    <r>
      <rPr>
        <b/>
        <sz val="11"/>
        <color rgb="FF000000"/>
        <rFont val="맑은 고딕"/>
        <family val="3"/>
        <charset val="129"/>
      </rPr>
      <t>PV#3 3-4 Z20002</t>
    </r>
    <phoneticPr fontId="6" type="noConversion"/>
  </si>
  <si>
    <t>미국용 100U생산 3-5 X20016</t>
    <phoneticPr fontId="6" type="noConversion"/>
  </si>
  <si>
    <t>국내 100U 또는 200U 시생산 #3-6</t>
    <phoneticPr fontId="6" type="noConversion"/>
  </si>
  <si>
    <t>국내 100U #3-6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</si>
  <si>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포장 200U # X20012</t>
    </r>
    <phoneticPr fontId="6" type="noConversion"/>
  </si>
  <si>
    <t>미국 100U #X20016</t>
    <phoneticPr fontId="6" type="noConversion"/>
  </si>
  <si>
    <t>미국 100U #X20016 / 종료</t>
    <phoneticPr fontId="6" type="noConversion"/>
  </si>
  <si>
    <t>국내 100U #3-6 /  종료</t>
    <phoneticPr fontId="6" type="noConversion"/>
  </si>
  <si>
    <t>시생산 #4-1</t>
    <phoneticPr fontId="6" type="noConversion"/>
  </si>
  <si>
    <t>시생산 #4-1 / 종료</t>
    <phoneticPr fontId="6" type="noConversion"/>
  </si>
  <si>
    <r>
      <t xml:space="preserve">미국용 생산 </t>
    </r>
    <r>
      <rPr>
        <b/>
        <sz val="11"/>
        <color rgb="FF000000"/>
        <rFont val="맑은 고딕"/>
        <family val="3"/>
        <charset val="129"/>
      </rPr>
      <t># 4-2</t>
    </r>
    <phoneticPr fontId="6" type="noConversion"/>
  </si>
  <si>
    <r>
      <t xml:space="preserve">미국용 생산 </t>
    </r>
    <r>
      <rPr>
        <b/>
        <sz val="11"/>
        <color rgb="FF000000"/>
        <rFont val="맑은 고딕"/>
        <family val="3"/>
        <charset val="129"/>
      </rPr>
      <t># 4-3</t>
    </r>
    <phoneticPr fontId="6" type="noConversion"/>
  </si>
  <si>
    <t>미국용 생산 #4-2</t>
    <phoneticPr fontId="6" type="noConversion"/>
  </si>
  <si>
    <t>생산 #6-2 / 종료</t>
    <phoneticPr fontId="6" type="noConversion"/>
  </si>
  <si>
    <t>생산 #6-3</t>
    <phoneticPr fontId="6" type="noConversion"/>
  </si>
  <si>
    <t>생산 #6-3 / 종료</t>
    <phoneticPr fontId="6" type="noConversion"/>
  </si>
  <si>
    <t xml:space="preserve">생산 #6-4 </t>
    <phoneticPr fontId="6" type="noConversion"/>
  </si>
  <si>
    <t>생산 #6-4</t>
    <phoneticPr fontId="6" type="noConversion"/>
  </si>
  <si>
    <t>생산 #6-5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</si>
  <si>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200U #3-1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</si>
  <si>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200U #3-1 / 종료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</si>
  <si>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클로듀 100U 생산#4-1</t>
    </r>
    <phoneticPr fontId="6" type="noConversion"/>
  </si>
  <si>
    <t>A 클로듀 100U #4-1</t>
    <phoneticPr fontId="6" type="noConversion"/>
  </si>
  <si>
    <t>A 클로듀 100U #4-1 / 종료</t>
    <phoneticPr fontId="6" type="noConversion"/>
  </si>
  <si>
    <t>A 태국 100U #4-2</t>
    <phoneticPr fontId="6" type="noConversion"/>
  </si>
  <si>
    <t>A 아랍 100U#3-2</t>
    <phoneticPr fontId="6" type="noConversion"/>
  </si>
  <si>
    <t>A 아랍 100U #3-3</t>
    <phoneticPr fontId="6" type="noConversion"/>
  </si>
  <si>
    <t>A 파나마 50U #3-4</t>
    <phoneticPr fontId="6" type="noConversion"/>
  </si>
  <si>
    <t>A 아랍 100U#3-2 / 종료</t>
    <phoneticPr fontId="6" type="noConversion"/>
  </si>
  <si>
    <t>A 아랍 100U #3-3 / 종료</t>
    <phoneticPr fontId="6" type="noConversion"/>
  </si>
  <si>
    <t>A 파나마 50U #3-4</t>
    <phoneticPr fontId="6" type="noConversion"/>
  </si>
  <si>
    <t>A 파나마 50U #3-4 / 종료</t>
    <phoneticPr fontId="6" type="noConversion"/>
  </si>
  <si>
    <t>국내용 100U X20013</t>
    <phoneticPr fontId="6" type="noConversion"/>
  </si>
  <si>
    <r>
      <t>A 태국 100U 생산</t>
    </r>
    <r>
      <rPr>
        <b/>
        <sz val="11"/>
        <color rgb="FF000000"/>
        <rFont val="맑은 고딕"/>
        <family val="3"/>
        <charset val="129"/>
      </rPr>
      <t>#4-4</t>
    </r>
    <phoneticPr fontId="6" type="noConversion"/>
  </si>
  <si>
    <t>A 태국 100U #4-4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</si>
  <si>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국내용 200U 생산#4-6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</si>
  <si>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국내용 200U 생산#4-7</t>
    </r>
    <phoneticPr fontId="6" type="noConversion"/>
  </si>
  <si>
    <t>A 인도네시아 100U #4-5 / 종료</t>
    <phoneticPr fontId="6" type="noConversion"/>
  </si>
  <si>
    <t>A 국내용 200U #4-6</t>
    <phoneticPr fontId="6" type="noConversion"/>
  </si>
  <si>
    <t>A 국내용 200U #4-6 / 종료</t>
    <phoneticPr fontId="6" type="noConversion"/>
  </si>
  <si>
    <t>A 국내용 200U #4-7</t>
    <phoneticPr fontId="6" type="noConversion"/>
  </si>
  <si>
    <t>A 국내용 200U #4-7 / 종료</t>
    <phoneticPr fontId="6" type="noConversion"/>
  </si>
  <si>
    <t>A 태국 100U #5-1 / 종료</t>
    <phoneticPr fontId="6" type="noConversion"/>
  </si>
  <si>
    <t>A 태국 100U #5-2</t>
    <phoneticPr fontId="6" type="noConversion"/>
  </si>
  <si>
    <t>A 태국 100U #5-2 / 종료</t>
    <phoneticPr fontId="6" type="noConversion"/>
  </si>
  <si>
    <t>A 태국 100U #5-3</t>
    <phoneticPr fontId="6" type="noConversion"/>
  </si>
  <si>
    <t>국내용 100U X20013</t>
    <phoneticPr fontId="6" type="noConversion"/>
  </si>
  <si>
    <t>미국 100U 포장 #X20016</t>
    <phoneticPr fontId="6" type="noConversion"/>
  </si>
  <si>
    <t>200U PV#1 생산 # 4-4</t>
    <phoneticPr fontId="6" type="noConversion"/>
  </si>
  <si>
    <t>미국용 생산 # 4-2</t>
    <phoneticPr fontId="6" type="noConversion"/>
  </si>
  <si>
    <r>
      <t xml:space="preserve">미국용 생산 </t>
    </r>
    <r>
      <rPr>
        <b/>
        <sz val="11"/>
        <color rgb="FF000000"/>
        <rFont val="맑은 고딕"/>
        <family val="3"/>
        <charset val="129"/>
      </rPr>
      <t># 4-3</t>
    </r>
    <phoneticPr fontId="6" type="noConversion"/>
  </si>
  <si>
    <t>포장 #6-1</t>
    <phoneticPr fontId="6" type="noConversion"/>
  </si>
  <si>
    <t>포장 #6-2</t>
    <phoneticPr fontId="6" type="noConversion"/>
  </si>
  <si>
    <t>포장 #6-3</t>
    <phoneticPr fontId="6" type="noConversion"/>
  </si>
  <si>
    <t>포장 #6-4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</si>
  <si>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200U #3-1</t>
    </r>
    <phoneticPr fontId="6" type="noConversion"/>
  </si>
  <si>
    <t>A 아랍 100U 생산#3-2</t>
    <phoneticPr fontId="6" type="noConversion"/>
  </si>
  <si>
    <t>A 아랍 생산 #3-3</t>
    <phoneticPr fontId="6" type="noConversion"/>
  </si>
  <si>
    <t>A 파나마 50U 생산 #3-4</t>
    <phoneticPr fontId="6" type="noConversion"/>
  </si>
  <si>
    <r>
      <t xml:space="preserve">200U 시생산 생산 </t>
    </r>
    <r>
      <rPr>
        <sz val="11"/>
        <color rgb="FF000000"/>
        <rFont val="맑은 고딕"/>
        <family val="2"/>
      </rPr>
      <t># 4-1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</si>
  <si>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200U #X20014</t>
    </r>
    <phoneticPr fontId="6" type="noConversion"/>
  </si>
  <si>
    <r>
      <t xml:space="preserve">파나마 </t>
    </r>
    <r>
      <rPr>
        <b/>
        <sz val="11"/>
        <color rgb="FF000000"/>
        <rFont val="맑은 고딕"/>
        <family val="3"/>
        <charset val="129"/>
      </rPr>
      <t>100U 포장 X19034C</t>
    </r>
    <phoneticPr fontId="6" type="noConversion"/>
  </si>
  <si>
    <t>미국용 100U X20016</t>
    <phoneticPr fontId="6" type="noConversion"/>
  </si>
  <si>
    <t>미국용 100U X20016 / 종료</t>
    <phoneticPr fontId="6" type="noConversion"/>
  </si>
  <si>
    <t>A 클로듀 100U #X20018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</si>
  <si>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200U #X20014 / 종료</t>
    </r>
    <phoneticPr fontId="6" type="noConversion"/>
  </si>
  <si>
    <t>A 국내 200U #X20017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</si>
  <si>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200U #X20017</t>
    </r>
    <phoneticPr fontId="6" type="noConversion"/>
  </si>
  <si>
    <t>A 클로듀 100U #X20018 / 종료</t>
    <phoneticPr fontId="6" type="noConversion"/>
  </si>
  <si>
    <t>A 국내 200U #X20017 / 종료</t>
    <phoneticPr fontId="6" type="noConversion"/>
  </si>
  <si>
    <t>A 클로듀 100U #X20018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</si>
  <si>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 UAE 100U 생산#4-1</t>
    </r>
    <phoneticPr fontId="6" type="noConversion"/>
  </si>
  <si>
    <r>
      <t>A UAE 100U 생산</t>
    </r>
    <r>
      <rPr>
        <b/>
        <sz val="11"/>
        <color rgb="FF000000"/>
        <rFont val="맑은 고딕"/>
        <family val="3"/>
        <charset val="129"/>
      </rPr>
      <t>#4-2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</si>
  <si>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국내용 200U 생산#4-5</t>
    </r>
    <phoneticPr fontId="6" type="noConversion"/>
  </si>
  <si>
    <t>UAE 100U 생산#4-1</t>
    <phoneticPr fontId="6" type="noConversion"/>
  </si>
  <si>
    <t>A UAE 100U 생산#4-2</t>
    <phoneticPr fontId="6" type="noConversion"/>
  </si>
  <si>
    <r>
      <t>A 파나마 50U 생산</t>
    </r>
    <r>
      <rPr>
        <b/>
        <sz val="11"/>
        <color rgb="FF000000"/>
        <rFont val="맑은 고딕"/>
        <family val="3"/>
        <charset val="129"/>
      </rPr>
      <t>#4-3</t>
    </r>
    <phoneticPr fontId="6" type="noConversion"/>
  </si>
  <si>
    <t>A 파나마 50U 생산#4-3</t>
    <phoneticPr fontId="6" type="noConversion"/>
  </si>
  <si>
    <t>A 태국 100U 생산#4-4</t>
    <phoneticPr fontId="6" type="noConversion"/>
  </si>
  <si>
    <t>A 태국 100U 생산#4-4</t>
    <phoneticPr fontId="6" type="noConversion"/>
  </si>
  <si>
    <t>A 국내용 200U 생산#4-5</t>
    <phoneticPr fontId="6" type="noConversion"/>
  </si>
  <si>
    <r>
      <t>국내 100U(</t>
    </r>
    <r>
      <rPr>
        <b/>
        <strike/>
        <sz val="12"/>
        <color rgb="FF000000"/>
        <rFont val="맑은 고딕"/>
        <family val="3"/>
        <charset val="129"/>
      </rPr>
      <t>AEON 포함</t>
    </r>
    <r>
      <rPr>
        <b/>
        <sz val="12"/>
        <color rgb="FF000000"/>
        <rFont val="맑은 고딕"/>
        <family val="2"/>
      </rPr>
      <t>)  #X20021</t>
    </r>
    <phoneticPr fontId="6" type="noConversion"/>
  </si>
  <si>
    <t>200U X20014, X20017</t>
    <phoneticPr fontId="6" type="noConversion"/>
  </si>
  <si>
    <r>
      <t>4월</t>
    </r>
    <r>
      <rPr>
        <sz val="11"/>
        <color rgb="FF000000"/>
        <rFont val="맑은 고딕"/>
        <family val="2"/>
      </rPr>
      <t xml:space="preserve"> 생산 가능 LIST</t>
    </r>
    <phoneticPr fontId="6" type="noConversion"/>
  </si>
  <si>
    <r>
      <t>1</t>
    </r>
    <r>
      <rPr>
        <sz val="11"/>
        <color rgb="FF000000"/>
        <rFont val="맑은 고딕"/>
        <family val="2"/>
      </rPr>
      <t>. 아랍</t>
    </r>
    <phoneticPr fontId="6" type="noConversion"/>
  </si>
  <si>
    <r>
      <t>2</t>
    </r>
    <r>
      <rPr>
        <sz val="11"/>
        <color rgb="FF000000"/>
        <rFont val="맑은 고딕"/>
        <family val="2"/>
      </rPr>
      <t>. 파나마 50U</t>
    </r>
    <phoneticPr fontId="6" type="noConversion"/>
  </si>
  <si>
    <r>
      <t>3</t>
    </r>
    <r>
      <rPr>
        <sz val="11"/>
        <color rgb="FF000000"/>
        <rFont val="맑은 고딕"/>
        <family val="2"/>
      </rPr>
      <t>. 태국 100U</t>
    </r>
    <phoneticPr fontId="6" type="noConversion"/>
  </si>
  <si>
    <r>
      <t>4</t>
    </r>
    <r>
      <rPr>
        <sz val="11"/>
        <color rgb="FF000000"/>
        <rFont val="맑은 고딕"/>
        <family val="2"/>
      </rPr>
      <t>. 베트남 100U</t>
    </r>
    <phoneticPr fontId="6" type="noConversion"/>
  </si>
  <si>
    <r>
      <t>5</t>
    </r>
    <r>
      <rPr>
        <sz val="11"/>
        <color rgb="FF000000"/>
        <rFont val="맑은 고딕"/>
        <family val="2"/>
      </rPr>
      <t>. 멕시코 100U</t>
    </r>
    <phoneticPr fontId="6" type="noConversion"/>
  </si>
  <si>
    <t>미국 100U #X20016</t>
    <phoneticPr fontId="6" type="noConversion"/>
  </si>
  <si>
    <t>A 국내 200U #X20014</t>
    <phoneticPr fontId="6" type="noConversion"/>
  </si>
  <si>
    <r>
      <t>5월</t>
    </r>
    <r>
      <rPr>
        <sz val="11"/>
        <color rgb="FF000000"/>
        <rFont val="맑은 고딕"/>
        <family val="2"/>
      </rPr>
      <t xml:space="preserve"> 포장</t>
    </r>
    <phoneticPr fontId="6" type="noConversion"/>
  </si>
  <si>
    <t>파나마 100U X20015A</t>
    <phoneticPr fontId="6" type="noConversion"/>
  </si>
  <si>
    <t>5. 인도(C동)</t>
    <phoneticPr fontId="6" type="noConversion"/>
  </si>
  <si>
    <t>4. 200U X20017(C동)</t>
    <phoneticPr fontId="6" type="noConversion"/>
  </si>
  <si>
    <t>6. 인도네시아(A동)</t>
    <phoneticPr fontId="6" type="noConversion"/>
  </si>
  <si>
    <t>1. 필리핀(A동)</t>
    <phoneticPr fontId="6" type="noConversion"/>
  </si>
  <si>
    <t>2. 태국(A동)</t>
    <phoneticPr fontId="6" type="noConversion"/>
  </si>
  <si>
    <t>3. 클로듀(A동)</t>
    <phoneticPr fontId="6" type="noConversion"/>
  </si>
  <si>
    <r>
      <t xml:space="preserve">국내용 생산 </t>
    </r>
    <r>
      <rPr>
        <b/>
        <sz val="11"/>
        <color rgb="FF000000"/>
        <rFont val="맑은 고딕"/>
        <family val="3"/>
        <charset val="129"/>
      </rPr>
      <t># 4-5</t>
    </r>
    <phoneticPr fontId="6" type="noConversion"/>
  </si>
  <si>
    <r>
      <t xml:space="preserve">캐나다 </t>
    </r>
    <r>
      <rPr>
        <b/>
        <sz val="11"/>
        <color rgb="FF000000"/>
        <rFont val="맑은 고딕"/>
        <family val="3"/>
        <charset val="129"/>
      </rPr>
      <t>X19013</t>
    </r>
    <phoneticPr fontId="6" type="noConversion"/>
  </si>
  <si>
    <t>A 필리핀 100U X20009</t>
    <phoneticPr fontId="6" type="noConversion"/>
  </si>
  <si>
    <t>파나마 50U 포장</t>
    <phoneticPr fontId="6" type="noConversion"/>
  </si>
  <si>
    <t>A 국내 200U #X20017 / 종료</t>
    <phoneticPr fontId="6" type="noConversion"/>
  </si>
  <si>
    <t>A 클로듀 100U #X20020</t>
    <phoneticPr fontId="6" type="noConversion"/>
  </si>
  <si>
    <t>A 클로듀 100U #X20020 / 종료</t>
    <phoneticPr fontId="6" type="noConversion"/>
  </si>
  <si>
    <t>A 국내용 200U #X20023</t>
    <phoneticPr fontId="6" type="noConversion"/>
  </si>
  <si>
    <t>UAE 100U 생산#4-1 / 종료</t>
    <phoneticPr fontId="6" type="noConversion"/>
  </si>
  <si>
    <t>A 국내용 200U #X20023 / 종료</t>
    <phoneticPr fontId="6" type="noConversion"/>
  </si>
  <si>
    <t>A 국내용 200U #X20024</t>
    <phoneticPr fontId="6" type="noConversion"/>
  </si>
  <si>
    <t>A 국내용 200U #X20024 / 종료</t>
    <phoneticPr fontId="6" type="noConversion"/>
  </si>
  <si>
    <r>
      <t xml:space="preserve">국내용 생산 </t>
    </r>
    <r>
      <rPr>
        <b/>
        <sz val="11"/>
        <color rgb="FF000000"/>
        <rFont val="맑은 고딕"/>
        <family val="3"/>
        <charset val="129"/>
      </rPr>
      <t>#5-2</t>
    </r>
    <phoneticPr fontId="6" type="noConversion"/>
  </si>
  <si>
    <r>
      <t xml:space="preserve">국내용 생산 </t>
    </r>
    <r>
      <rPr>
        <b/>
        <sz val="11"/>
        <color rgb="FF000000"/>
        <rFont val="맑은 고딕"/>
        <family val="3"/>
        <charset val="129"/>
      </rPr>
      <t>#5-3</t>
    </r>
    <phoneticPr fontId="6" type="noConversion"/>
  </si>
  <si>
    <r>
      <t xml:space="preserve">인도 </t>
    </r>
    <r>
      <rPr>
        <b/>
        <sz val="11"/>
        <color rgb="FF000000"/>
        <rFont val="맑은 고딕"/>
        <family val="3"/>
        <charset val="129"/>
      </rPr>
      <t>X19034F</t>
    </r>
    <phoneticPr fontId="6" type="noConversion"/>
  </si>
  <si>
    <r>
      <t xml:space="preserve">국내용 100U 생산 </t>
    </r>
    <r>
      <rPr>
        <b/>
        <sz val="11"/>
        <color rgb="FF000000"/>
        <rFont val="맑은 고딕"/>
        <family val="3"/>
        <charset val="129"/>
      </rPr>
      <t># X20026</t>
    </r>
    <phoneticPr fontId="6" type="noConversion"/>
  </si>
  <si>
    <t>국내용 100U 생산 # X20027</t>
    <phoneticPr fontId="6" type="noConversion"/>
  </si>
  <si>
    <t>국내용 100U 생산 # X20025</t>
    <phoneticPr fontId="6" type="noConversion"/>
  </si>
  <si>
    <r>
      <t>A 눈가주름 통증</t>
    </r>
    <r>
      <rPr>
        <sz val="11"/>
        <color rgb="FF000000"/>
        <rFont val="맑은 고딕"/>
        <family val="2"/>
      </rPr>
      <t xml:space="preserve"> 포장</t>
    </r>
    <phoneticPr fontId="6" type="noConversion"/>
  </si>
  <si>
    <t xml:space="preserve">포장 자재 입고 일정에 따라 포장 일자 변경 될 수 있습니다. </t>
    <phoneticPr fontId="6" type="noConversion"/>
  </si>
  <si>
    <t>A동</t>
    <phoneticPr fontId="6" type="noConversion"/>
  </si>
  <si>
    <t>반제품</t>
    <phoneticPr fontId="6" type="noConversion"/>
  </si>
  <si>
    <t>원액</t>
    <phoneticPr fontId="6" type="noConversion"/>
  </si>
  <si>
    <t>이물검사</t>
    <phoneticPr fontId="6" type="noConversion"/>
  </si>
  <si>
    <t>C동</t>
    <phoneticPr fontId="6" type="noConversion"/>
  </si>
  <si>
    <t>반제품</t>
    <phoneticPr fontId="6" type="noConversion"/>
  </si>
  <si>
    <t>포장</t>
    <phoneticPr fontId="6" type="noConversion"/>
  </si>
  <si>
    <t>이물검사</t>
    <phoneticPr fontId="6" type="noConversion"/>
  </si>
  <si>
    <t>A동 / C동</t>
    <phoneticPr fontId="6" type="noConversion"/>
  </si>
  <si>
    <t>비고</t>
    <phoneticPr fontId="6" type="noConversion"/>
  </si>
  <si>
    <t>근로자의날</t>
    <phoneticPr fontId="6" type="noConversion"/>
  </si>
  <si>
    <t>A 아랍 100U #3-3</t>
    <phoneticPr fontId="6" type="noConversion"/>
  </si>
  <si>
    <t>A 인도네시아 100U #4-5 / 종료</t>
    <phoneticPr fontId="6" type="noConversion"/>
  </si>
  <si>
    <t>A 국내용 200U #4-6</t>
    <phoneticPr fontId="6" type="noConversion"/>
  </si>
  <si>
    <t>C동</t>
    <phoneticPr fontId="6" type="noConversion"/>
  </si>
  <si>
    <r>
      <t xml:space="preserve">국내용 생산 </t>
    </r>
    <r>
      <rPr>
        <b/>
        <sz val="11"/>
        <color rgb="FF000000"/>
        <rFont val="맑은 고딕"/>
        <family val="3"/>
        <charset val="129"/>
      </rPr>
      <t>#5-1</t>
    </r>
    <phoneticPr fontId="6" type="noConversion"/>
  </si>
  <si>
    <t>이물검사</t>
    <phoneticPr fontId="6" type="noConversion"/>
  </si>
  <si>
    <t>국내 100U #3-6</t>
    <phoneticPr fontId="6" type="noConversion"/>
  </si>
  <si>
    <t>국내 100U #3-6 /  종료</t>
    <phoneticPr fontId="6" type="noConversion"/>
  </si>
  <si>
    <t>A동 / C동</t>
    <phoneticPr fontId="6" type="noConversion"/>
  </si>
  <si>
    <t>어린이날</t>
    <phoneticPr fontId="6" type="noConversion"/>
  </si>
  <si>
    <t>A동</t>
    <phoneticPr fontId="6" type="noConversion"/>
  </si>
  <si>
    <t>A 필리핀 100U X20009</t>
    <phoneticPr fontId="6" type="noConversion"/>
  </si>
  <si>
    <t>원액</t>
    <phoneticPr fontId="6" type="noConversion"/>
  </si>
  <si>
    <t>A 국내용 200U #4-6 / 종료</t>
    <phoneticPr fontId="6" type="noConversion"/>
  </si>
  <si>
    <t>A 국내용 200U #4-7</t>
    <phoneticPr fontId="6" type="noConversion"/>
  </si>
  <si>
    <t>A 국내용 200U #4-7 / 종료</t>
    <phoneticPr fontId="6" type="noConversion"/>
  </si>
  <si>
    <r>
      <t xml:space="preserve">국내용 생산 </t>
    </r>
    <r>
      <rPr>
        <b/>
        <sz val="11"/>
        <color rgb="FF000000"/>
        <rFont val="맑은 고딕"/>
        <family val="3"/>
        <charset val="129"/>
      </rPr>
      <t>#5-2</t>
    </r>
    <phoneticPr fontId="6" type="noConversion"/>
  </si>
  <si>
    <r>
      <t xml:space="preserve">국내용 생산 </t>
    </r>
    <r>
      <rPr>
        <b/>
        <sz val="11"/>
        <color rgb="FF000000"/>
        <rFont val="맑은 고딕"/>
        <family val="3"/>
        <charset val="129"/>
      </rPr>
      <t>#5-3</t>
    </r>
    <phoneticPr fontId="6" type="noConversion"/>
  </si>
  <si>
    <t>브라질 X20015C</t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</si>
  <si>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태국 100U #5-1</t>
    </r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</si>
  <si>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태국 100U #5-2</t>
    </r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</si>
  <si>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태국 100U #5-3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</si>
  <si>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클로듀 100U X20020</t>
    </r>
    <phoneticPr fontId="6" type="noConversion"/>
  </si>
  <si>
    <t>원액</t>
    <phoneticPr fontId="6" type="noConversion"/>
  </si>
  <si>
    <t>A 태국 100U #5-1</t>
    <phoneticPr fontId="6" type="noConversion"/>
  </si>
  <si>
    <t>C동</t>
    <phoneticPr fontId="6" type="noConversion"/>
  </si>
  <si>
    <t>반제품</t>
    <phoneticPr fontId="6" type="noConversion"/>
  </si>
  <si>
    <r>
      <t xml:space="preserve">국내용 생산 </t>
    </r>
    <r>
      <rPr>
        <b/>
        <sz val="11"/>
        <color rgb="FF000000"/>
        <rFont val="맑은 고딕"/>
        <family val="3"/>
        <charset val="129"/>
      </rPr>
      <t>#5-4</t>
    </r>
    <phoneticPr fontId="6" type="noConversion"/>
  </si>
  <si>
    <t>포장</t>
    <phoneticPr fontId="6" type="noConversion"/>
  </si>
  <si>
    <r>
      <t xml:space="preserve">인도 </t>
    </r>
    <r>
      <rPr>
        <b/>
        <sz val="11"/>
        <color rgb="FF000000"/>
        <rFont val="맑은 고딕"/>
        <family val="3"/>
        <charset val="129"/>
      </rPr>
      <t>X19034F</t>
    </r>
    <phoneticPr fontId="6" type="noConversion"/>
  </si>
  <si>
    <t>국내 100U #3-6</t>
    <phoneticPr fontId="6" type="noConversion"/>
  </si>
  <si>
    <t>시생산 #4-1</t>
    <phoneticPr fontId="6" type="noConversion"/>
  </si>
  <si>
    <t>시생산 #4-1 / 종료</t>
    <phoneticPr fontId="6" type="noConversion"/>
  </si>
  <si>
    <t>미국용 생산 #4-2</t>
    <phoneticPr fontId="6" type="noConversion"/>
  </si>
  <si>
    <t>비고</t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</si>
  <si>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베트남 100U #5-4</t>
    </r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</si>
  <si>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파나마 50U #5-5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</si>
  <si>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생산#4-2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</si>
  <si>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생산#4-3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</si>
  <si>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태국 100U 생산#4-4</t>
    </r>
    <phoneticPr fontId="6" type="noConversion"/>
  </si>
  <si>
    <t>A 태국 100U #5-1 / 종료</t>
    <phoneticPr fontId="6" type="noConversion"/>
  </si>
  <si>
    <t>A 태국 100U #5-2</t>
    <phoneticPr fontId="6" type="noConversion"/>
  </si>
  <si>
    <t>A 태국 100U #5-2 / 종료</t>
    <phoneticPr fontId="6" type="noConversion"/>
  </si>
  <si>
    <t>A 태국 100U #5-3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</si>
  <si>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포장 200U #4-6 / 4-7</t>
    </r>
    <phoneticPr fontId="6" type="noConversion"/>
  </si>
  <si>
    <t>A 포장 200U #X20017</t>
    <phoneticPr fontId="6" type="noConversion"/>
  </si>
  <si>
    <t>국내 100U #X20021</t>
    <phoneticPr fontId="6" type="noConversion"/>
  </si>
  <si>
    <t>국내 100U #X20025</t>
    <phoneticPr fontId="6" type="noConversion"/>
  </si>
  <si>
    <t>국내 100U #X20026</t>
    <phoneticPr fontId="6" type="noConversion"/>
  </si>
  <si>
    <t>국내 100U #X20027</t>
    <phoneticPr fontId="6" type="noConversion"/>
  </si>
  <si>
    <r>
      <t xml:space="preserve">국내용 생산 </t>
    </r>
    <r>
      <rPr>
        <b/>
        <sz val="11"/>
        <color rgb="FF000000"/>
        <rFont val="맑은 고딕"/>
        <family val="3"/>
        <charset val="129"/>
      </rPr>
      <t>#  X20029</t>
    </r>
    <phoneticPr fontId="6" type="noConversion"/>
  </si>
  <si>
    <t>국내용 100U 생산 # X20028</t>
    <phoneticPr fontId="6" type="noConversion"/>
  </si>
  <si>
    <t>충전기 PQ</t>
    <phoneticPr fontId="6" type="noConversion"/>
  </si>
  <si>
    <t>동결건조기 PQ, 중전기 Pre-test</t>
    <phoneticPr fontId="6" type="noConversion"/>
  </si>
  <si>
    <r>
      <t>B</t>
    </r>
    <r>
      <rPr>
        <sz val="11"/>
        <color rgb="FF000000"/>
        <rFont val="맑은 고딕"/>
        <family val="2"/>
      </rPr>
      <t>N</t>
    </r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</si>
  <si>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국내 150U X20032</t>
    </r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</si>
  <si>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국내 200U X20033</t>
    </r>
    <phoneticPr fontId="6" type="noConversion"/>
  </si>
  <si>
    <r>
      <t>A</t>
    </r>
    <r>
      <rPr>
        <sz val="11"/>
        <color rgb="FF000000"/>
        <rFont val="맑은 고딕"/>
        <family val="2"/>
      </rPr>
      <t xml:space="preserve"> 국내 200U X20034</t>
    </r>
    <phoneticPr fontId="6" type="noConversion"/>
  </si>
  <si>
    <t>국내 100U # X20026</t>
    <phoneticPr fontId="6" type="noConversion"/>
  </si>
  <si>
    <t>국내 100U # X20027</t>
    <phoneticPr fontId="6" type="noConversion"/>
  </si>
  <si>
    <t>국내 100U # X20028</t>
    <phoneticPr fontId="6" type="noConversion"/>
  </si>
  <si>
    <t>국내 100U # X20029</t>
    <phoneticPr fontId="6" type="noConversion"/>
  </si>
  <si>
    <t>국내 100U # X20030</t>
    <phoneticPr fontId="6" type="noConversion"/>
  </si>
  <si>
    <t>국내 100U # X20031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</si>
  <si>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150U X20032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</si>
  <si>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200U X20033</t>
    </r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</si>
  <si>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국내 200U X20034</t>
    </r>
    <phoneticPr fontId="6" type="noConversion"/>
  </si>
  <si>
    <r>
      <t>A 눈가주름 통증</t>
    </r>
    <r>
      <rPr>
        <b/>
        <sz val="11"/>
        <color rgb="FF000000"/>
        <rFont val="맑은 고딕"/>
        <family val="3"/>
        <charset val="129"/>
      </rPr>
      <t xml:space="preserve"> 포장 103299H</t>
    </r>
    <phoneticPr fontId="6" type="noConversion"/>
  </si>
  <si>
    <t>설날</t>
    <phoneticPr fontId="6" type="noConversion"/>
  </si>
  <si>
    <t>3.1절</t>
    <phoneticPr fontId="6" type="noConversion"/>
  </si>
  <si>
    <t>어린이날</t>
    <phoneticPr fontId="6" type="noConversion"/>
  </si>
  <si>
    <t>부처님 오신날</t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</si>
  <si>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9-7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</si>
  <si>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9-8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</si>
  <si>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10-1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</si>
  <si>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10-3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</si>
  <si>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10-4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</si>
  <si>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10-5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</si>
  <si>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10-7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</si>
  <si>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11-1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</si>
  <si>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11-2</t>
    </r>
    <phoneticPr fontId="6" type="noConversion"/>
  </si>
  <si>
    <r>
      <t>V</t>
    </r>
    <r>
      <rPr>
        <sz val="11"/>
        <color rgb="FF000000"/>
        <rFont val="맑은 고딕"/>
        <family val="2"/>
      </rPr>
      <t>HP 박스 PQ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</si>
  <si>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11-5</t>
    </r>
    <phoneticPr fontId="6" type="noConversion"/>
  </si>
  <si>
    <t>생산 # 12-2</t>
    <phoneticPr fontId="6" type="noConversion"/>
  </si>
  <si>
    <t>생산 # 12-1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</si>
  <si>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아랍 100U 생산# X20022</t>
    </r>
  </si>
  <si>
    <t>Cryo tube 변경, LT 안정성 3rd</t>
  </si>
  <si>
    <t>국내용 100U 생산 # X20035</t>
  </si>
  <si>
    <t>생산 # 6-2, 국내용 100U X20036</t>
  </si>
  <si>
    <t>국내용 100U 생산 # X20029</t>
  </si>
  <si>
    <t>국내 100U # X20031</t>
  </si>
  <si>
    <t>국내 100U # X20031 / 종료</t>
  </si>
  <si>
    <t>국내 100U #X20035</t>
  </si>
  <si>
    <t>국내용 100U 생산 # X20030</t>
  </si>
  <si>
    <t>브라질 X20015C</t>
  </si>
  <si>
    <t>국내용 100U 생산 # X20031</t>
  </si>
  <si>
    <t>국내 100U #X20035 / 종료</t>
  </si>
  <si>
    <t>국내 100U #X20036</t>
  </si>
  <si>
    <t>생산 # 6-4, 200U PV 3차 - 취소</t>
  </si>
  <si>
    <t>생산 # X20039</t>
  </si>
  <si>
    <t>국내 100U #X20039</t>
  </si>
  <si>
    <t>국내용 100U 포장 # X20036</t>
  </si>
  <si>
    <t>중국 PV 2차</t>
  </si>
  <si>
    <r>
      <t>A동</t>
    </r>
    <r>
      <rPr>
        <sz val="11"/>
        <color rgb="FF000000"/>
        <rFont val="맑은 고딕"/>
        <family val="2"/>
      </rPr>
      <t xml:space="preserve"> SHT</t>
    </r>
  </si>
  <si>
    <t>중국 PV 3차</t>
  </si>
  <si>
    <t>A동 SHT, A동 메디아필 2차  세척</t>
  </si>
  <si>
    <t>국내용 100U 포장 # X20039</t>
  </si>
  <si>
    <t>A동 SHT</t>
  </si>
  <si>
    <t>메디아필#1</t>
  </si>
  <si>
    <t>메디아필#2</t>
  </si>
  <si>
    <t>메디아필#3</t>
  </si>
  <si>
    <t>이물검사 C # 9-4</t>
    <phoneticPr fontId="6" type="noConversion"/>
  </si>
  <si>
    <t>이물검사 C # 9-5</t>
    <phoneticPr fontId="6" type="noConversion"/>
  </si>
  <si>
    <t>이물검사 C # 9-6</t>
    <phoneticPr fontId="6" type="noConversion"/>
  </si>
  <si>
    <t>이물검사 C # 10-1</t>
    <phoneticPr fontId="6" type="noConversion"/>
  </si>
  <si>
    <t>이물검사 C # 10-2</t>
    <phoneticPr fontId="6" type="noConversion"/>
  </si>
  <si>
    <t>이물검사 C # 10-3</t>
    <phoneticPr fontId="6" type="noConversion"/>
  </si>
  <si>
    <t>이물검사 C # 10-4</t>
    <phoneticPr fontId="6" type="noConversion"/>
  </si>
  <si>
    <t>이물검사 C # 10-7</t>
    <phoneticPr fontId="6" type="noConversion"/>
  </si>
  <si>
    <t>이물검사 C # 11-1</t>
    <phoneticPr fontId="6" type="noConversion"/>
  </si>
  <si>
    <t>이물검사 C # 11-2</t>
    <phoneticPr fontId="6" type="noConversion"/>
  </si>
  <si>
    <t>이물검사 C # 11-3</t>
    <phoneticPr fontId="6" type="noConversion"/>
  </si>
  <si>
    <t>이물검사 C # 11-4</t>
    <phoneticPr fontId="6" type="noConversion"/>
  </si>
  <si>
    <r>
      <t>A</t>
    </r>
    <r>
      <rPr>
        <b/>
        <sz val="11"/>
        <color rgb="FF000000"/>
        <rFont val="맑은 고딕"/>
        <family val="3"/>
        <charset val="129"/>
      </rPr>
      <t xml:space="preserve"> 클로듀 100U 생산# X20020</t>
    </r>
    <phoneticPr fontId="6" type="noConversion"/>
  </si>
  <si>
    <r>
      <t xml:space="preserve">태국 </t>
    </r>
    <r>
      <rPr>
        <b/>
        <sz val="11"/>
        <color rgb="FF000000"/>
        <rFont val="맑은 고딕"/>
        <family val="3"/>
        <charset val="129"/>
      </rPr>
      <t>200U X20038</t>
    </r>
    <phoneticPr fontId="6" type="noConversion"/>
  </si>
  <si>
    <r>
      <t xml:space="preserve">태국 </t>
    </r>
    <r>
      <rPr>
        <b/>
        <sz val="11"/>
        <color rgb="FF000000"/>
        <rFont val="맑은 고딕"/>
        <family val="3"/>
        <charset val="129"/>
      </rPr>
      <t>200U X20040</t>
    </r>
    <phoneticPr fontId="6" type="noConversion"/>
  </si>
  <si>
    <r>
      <t>태국 2</t>
    </r>
    <r>
      <rPr>
        <b/>
        <sz val="11"/>
        <color rgb="FF000000"/>
        <rFont val="맑은 고딕"/>
        <family val="3"/>
        <charset val="129"/>
      </rPr>
      <t>00U X20038</t>
    </r>
    <phoneticPr fontId="6" type="noConversion"/>
  </si>
  <si>
    <r>
      <t xml:space="preserve">태국 </t>
    </r>
    <r>
      <rPr>
        <b/>
        <sz val="11"/>
        <color rgb="FF000000"/>
        <rFont val="맑은 고딕"/>
        <family val="3"/>
        <charset val="129"/>
      </rPr>
      <t>100U X19010</t>
    </r>
    <phoneticPr fontId="6" type="noConversion"/>
  </si>
  <si>
    <r>
      <t>태국 1</t>
    </r>
    <r>
      <rPr>
        <b/>
        <sz val="11"/>
        <color rgb="FF000000"/>
        <rFont val="맑은 고딕"/>
        <family val="3"/>
        <charset val="129"/>
      </rPr>
      <t>00U X19035</t>
    </r>
    <phoneticPr fontId="6" type="noConversion"/>
  </si>
  <si>
    <r>
      <t>태국 2</t>
    </r>
    <r>
      <rPr>
        <b/>
        <sz val="11"/>
        <color rgb="FF000000"/>
        <rFont val="맑은 고딕"/>
        <family val="3"/>
        <charset val="129"/>
      </rPr>
      <t>00U X20040</t>
    </r>
    <phoneticPr fontId="6" type="noConversion"/>
  </si>
  <si>
    <t>국내 150U X20032</t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</si>
  <si>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11-2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</si>
  <si>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12-6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</si>
  <si>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12-7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</si>
  <si>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11-2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</si>
  <si>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11-3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</si>
  <si>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11-4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</si>
  <si>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11-5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</si>
  <si>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11-6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</si>
  <si>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11-7</t>
    </r>
    <phoneticPr fontId="6" type="noConversion"/>
  </si>
  <si>
    <t>이물검사 C # 9-4 / 종료</t>
    <phoneticPr fontId="6" type="noConversion"/>
  </si>
  <si>
    <t>이물검사 C # 9-5 / 종료</t>
    <phoneticPr fontId="6" type="noConversion"/>
  </si>
  <si>
    <t>이물검사 C # 9-6 / 종료</t>
    <phoneticPr fontId="6" type="noConversion"/>
  </si>
  <si>
    <t>이물검사 C # 9-7 / 종료</t>
    <phoneticPr fontId="6" type="noConversion"/>
  </si>
  <si>
    <t>이물검사 C # 9-8</t>
    <phoneticPr fontId="6" type="noConversion"/>
  </si>
  <si>
    <t>이물검사 C # 9-8 / 종료</t>
    <phoneticPr fontId="6" type="noConversion"/>
  </si>
  <si>
    <t>이물검사 C # 9-9 / 종료</t>
    <phoneticPr fontId="6" type="noConversion"/>
  </si>
  <si>
    <t>이물검사 C # 10-1 / 종료</t>
    <phoneticPr fontId="6" type="noConversion"/>
  </si>
  <si>
    <t>이물검사 C # 10-2 / 종료</t>
    <phoneticPr fontId="6" type="noConversion"/>
  </si>
  <si>
    <t>이물검사 C # 10-3 / 종료</t>
    <phoneticPr fontId="6" type="noConversion"/>
  </si>
  <si>
    <t>이물검사 C # 10-4 / 종료</t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</si>
  <si>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10-3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</si>
  <si>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10-7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</si>
  <si>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10-8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</si>
  <si>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11-6</t>
    </r>
    <phoneticPr fontId="6" type="noConversion"/>
  </si>
  <si>
    <r>
      <t xml:space="preserve">생산 </t>
    </r>
    <r>
      <rPr>
        <sz val="12"/>
        <color rgb="FF000000"/>
        <rFont val="맑은 고딕"/>
        <family val="3"/>
        <charset val="129"/>
      </rPr>
      <t># 11-8</t>
    </r>
    <phoneticPr fontId="6" type="noConversion"/>
  </si>
  <si>
    <t>이물검사 C # 10-5</t>
    <phoneticPr fontId="6" type="noConversion"/>
  </si>
  <si>
    <t>이물검사 C # 10-5 / 종료</t>
    <phoneticPr fontId="6" type="noConversion"/>
  </si>
  <si>
    <t>이물검사 C # 10-6</t>
    <phoneticPr fontId="6" type="noConversion"/>
  </si>
  <si>
    <t>이물검사 C # 10-6 / 종료</t>
    <phoneticPr fontId="6" type="noConversion"/>
  </si>
  <si>
    <t>이물검사 C # 10-7 / 종료</t>
    <phoneticPr fontId="6" type="noConversion"/>
  </si>
  <si>
    <t>이물검사 C # 10-8</t>
    <phoneticPr fontId="6" type="noConversion"/>
  </si>
  <si>
    <t>이물검사 C # 10-8 / 종료</t>
    <phoneticPr fontId="6" type="noConversion"/>
  </si>
  <si>
    <t>이물검사 C # 11-1 / 종료</t>
    <phoneticPr fontId="6" type="noConversion"/>
  </si>
  <si>
    <t>이물검사 C # 11-2 / 종료</t>
    <phoneticPr fontId="6" type="noConversion"/>
  </si>
  <si>
    <t>이물검사 C # 11-3 / 종료</t>
    <phoneticPr fontId="6" type="noConversion"/>
  </si>
  <si>
    <t>이물검사 C # 11-4 / 종료</t>
    <phoneticPr fontId="6" type="noConversion"/>
  </si>
  <si>
    <t>이물검사 C # 11-5</t>
    <phoneticPr fontId="6" type="noConversion"/>
  </si>
  <si>
    <r>
      <t xml:space="preserve">포장 </t>
    </r>
    <r>
      <rPr>
        <sz val="11"/>
        <color rgb="FF000000"/>
        <rFont val="맑은 고딕"/>
        <family val="2"/>
      </rPr>
      <t># 9-2</t>
    </r>
    <phoneticPr fontId="6" type="noConversion"/>
  </si>
  <si>
    <r>
      <t xml:space="preserve">포장 </t>
    </r>
    <r>
      <rPr>
        <sz val="11"/>
        <color rgb="FF000000"/>
        <rFont val="맑은 고딕"/>
        <family val="2"/>
      </rPr>
      <t># 9-3</t>
    </r>
    <phoneticPr fontId="6" type="noConversion"/>
  </si>
  <si>
    <r>
      <t xml:space="preserve">포장 </t>
    </r>
    <r>
      <rPr>
        <sz val="11"/>
        <color rgb="FF000000"/>
        <rFont val="맑은 고딕"/>
        <family val="2"/>
      </rPr>
      <t># 9-4</t>
    </r>
    <phoneticPr fontId="6" type="noConversion"/>
  </si>
  <si>
    <r>
      <t xml:space="preserve">포장 </t>
    </r>
    <r>
      <rPr>
        <sz val="11"/>
        <color rgb="FF000000"/>
        <rFont val="맑은 고딕"/>
        <family val="2"/>
      </rPr>
      <t># 9-5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</si>
  <si>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9-9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</si>
  <si>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10-2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</si>
  <si>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10-6</t>
    </r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</si>
  <si>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10-8</t>
    </r>
    <phoneticPr fontId="6" type="noConversion"/>
  </si>
  <si>
    <t>A동 메디아필 1차</t>
    <phoneticPr fontId="6" type="noConversion"/>
  </si>
  <si>
    <t xml:space="preserve">A동 메디아필 2차 </t>
    <phoneticPr fontId="6" type="noConversion"/>
  </si>
  <si>
    <r>
      <t xml:space="preserve">A동 메디아필 </t>
    </r>
    <r>
      <rPr>
        <sz val="11"/>
        <color rgb="FF000000"/>
        <rFont val="맑은 고딕"/>
        <family val="2"/>
      </rPr>
      <t>3</t>
    </r>
    <r>
      <rPr>
        <sz val="11"/>
        <color rgb="FF000000"/>
        <rFont val="맑은 고딕"/>
        <family val="2"/>
      </rPr>
      <t xml:space="preserve">차 </t>
    </r>
    <phoneticPr fontId="6" type="noConversion"/>
  </si>
  <si>
    <t>이물검사 C # 9-7</t>
    <phoneticPr fontId="6" type="noConversion"/>
  </si>
  <si>
    <t>이물검사 C # 9-9</t>
    <phoneticPr fontId="6" type="noConversion"/>
  </si>
  <si>
    <r>
      <t xml:space="preserve">포장 </t>
    </r>
    <r>
      <rPr>
        <sz val="12"/>
        <color rgb="FF000000"/>
        <rFont val="맑은 고딕"/>
        <family val="3"/>
        <charset val="129"/>
      </rPr>
      <t># 9-6</t>
    </r>
    <phoneticPr fontId="6" type="noConversion"/>
  </si>
  <si>
    <t>X20027 해체</t>
    <phoneticPr fontId="6" type="noConversion"/>
  </si>
  <si>
    <t>8-1 태국 200U X20041</t>
    <phoneticPr fontId="6" type="noConversion"/>
  </si>
  <si>
    <t>8-2 태국 200U X20042</t>
    <phoneticPr fontId="6" type="noConversion"/>
  </si>
  <si>
    <t>8-1 태국 200U X20042</t>
    <phoneticPr fontId="6" type="noConversion"/>
  </si>
  <si>
    <t xml:space="preserve">8-2 태국 200U X20042 </t>
    <phoneticPr fontId="6" type="noConversion"/>
  </si>
  <si>
    <r>
      <t xml:space="preserve">생산 </t>
    </r>
    <r>
      <rPr>
        <b/>
        <sz val="11"/>
        <color rgb="FF000000"/>
        <rFont val="맑은 고딕"/>
        <family val="3"/>
        <charset val="129"/>
      </rPr>
      <t># 8-1 국내용 100U X20043</t>
    </r>
    <phoneticPr fontId="6" type="noConversion"/>
  </si>
  <si>
    <t>이물검사 # 8-1 X20043</t>
    <phoneticPr fontId="6" type="noConversion"/>
  </si>
  <si>
    <t>이물검사 C X20044</t>
    <phoneticPr fontId="6" type="noConversion"/>
  </si>
  <si>
    <r>
      <t xml:space="preserve">캐나다 </t>
    </r>
    <r>
      <rPr>
        <b/>
        <sz val="11"/>
        <color rgb="FF000000"/>
        <rFont val="맑은 고딕"/>
        <family val="3"/>
        <charset val="129"/>
      </rPr>
      <t>X19013</t>
    </r>
    <phoneticPr fontId="6" type="noConversion"/>
  </si>
  <si>
    <r>
      <t xml:space="preserve">캐나다 </t>
    </r>
    <r>
      <rPr>
        <b/>
        <sz val="11"/>
        <color rgb="FF000000"/>
        <rFont val="맑은 고딕"/>
        <family val="3"/>
        <charset val="129"/>
      </rPr>
      <t>X20016</t>
    </r>
    <phoneticPr fontId="6" type="noConversion"/>
  </si>
  <si>
    <t>AEON X20027 해체#1</t>
    <phoneticPr fontId="6" type="noConversion"/>
  </si>
  <si>
    <t>AEON X20027 해체#2</t>
    <phoneticPr fontId="6" type="noConversion"/>
  </si>
  <si>
    <r>
      <t xml:space="preserve">생산 </t>
    </r>
    <r>
      <rPr>
        <b/>
        <sz val="11"/>
        <color rgb="FF000000"/>
        <rFont val="맑은 고딕"/>
        <family val="3"/>
        <charset val="129"/>
      </rPr>
      <t># 8-2 국내용 100U X20044</t>
    </r>
    <phoneticPr fontId="6" type="noConversion"/>
  </si>
  <si>
    <t>200U #X20023</t>
    <phoneticPr fontId="6" type="noConversion"/>
  </si>
  <si>
    <t>8-3 태국 100U X20045</t>
    <phoneticPr fontId="6" type="noConversion"/>
  </si>
  <si>
    <t>8-4 태국 100U X20046</t>
    <phoneticPr fontId="6" type="noConversion"/>
  </si>
  <si>
    <t>8-5 국내용 200U X20047</t>
    <phoneticPr fontId="6" type="noConversion"/>
  </si>
  <si>
    <r>
      <t xml:space="preserve">생산 </t>
    </r>
    <r>
      <rPr>
        <b/>
        <sz val="11"/>
        <color rgb="FFC00000"/>
        <rFont val="맑은 고딕"/>
        <family val="3"/>
        <charset val="129"/>
      </rPr>
      <t># 8-3 국내용 100U 임시 공휴일로 생산 미착수</t>
    </r>
    <phoneticPr fontId="6" type="noConversion"/>
  </si>
  <si>
    <t>8-7 국내용 200U X20052</t>
    <phoneticPr fontId="6" type="noConversion"/>
  </si>
  <si>
    <t>8-6 태국 100U X20051</t>
    <phoneticPr fontId="6" type="noConversion"/>
  </si>
  <si>
    <t>50U PV #1 포장 905642C</t>
    <phoneticPr fontId="6" type="noConversion"/>
  </si>
  <si>
    <r>
      <t xml:space="preserve">생산 </t>
    </r>
    <r>
      <rPr>
        <b/>
        <sz val="11"/>
        <color rgb="FF000000"/>
        <rFont val="맑은 고딕"/>
        <family val="3"/>
        <charset val="129"/>
      </rPr>
      <t># 8-5 국내용 100U X20049</t>
    </r>
    <phoneticPr fontId="6" type="noConversion"/>
  </si>
  <si>
    <r>
      <t xml:space="preserve">생산 </t>
    </r>
    <r>
      <rPr>
        <b/>
        <sz val="11"/>
        <color rgb="FF000000"/>
        <rFont val="맑은 고딕"/>
        <family val="3"/>
        <charset val="129"/>
      </rPr>
      <t># 8-6 국내용 100U X20050</t>
    </r>
    <phoneticPr fontId="6" type="noConversion"/>
  </si>
  <si>
    <t>유문보존위절제술# 103299K</t>
    <phoneticPr fontId="6" type="noConversion"/>
  </si>
  <si>
    <r>
      <t xml:space="preserve">생산 </t>
    </r>
    <r>
      <rPr>
        <b/>
        <sz val="11"/>
        <color rgb="FF000000"/>
        <rFont val="맑은 고딕"/>
        <family val="3"/>
        <charset val="129"/>
      </rPr>
      <t># 8-4 국내용 100U X20048</t>
    </r>
    <phoneticPr fontId="6" type="noConversion"/>
  </si>
  <si>
    <t>10-1 클로듀 100U</t>
    <phoneticPr fontId="6" type="noConversion"/>
  </si>
  <si>
    <t>10-2 국내 200U</t>
    <phoneticPr fontId="6" type="noConversion"/>
  </si>
  <si>
    <t>이물검사 C # X20048</t>
    <phoneticPr fontId="6" type="noConversion"/>
  </si>
  <si>
    <t>이물검사 C X20044 / 종료</t>
    <phoneticPr fontId="6" type="noConversion"/>
  </si>
  <si>
    <t>이물검사 C # X20048 / 종료</t>
    <phoneticPr fontId="6" type="noConversion"/>
  </si>
  <si>
    <t>이물검사 C # X20049</t>
    <phoneticPr fontId="6" type="noConversion"/>
  </si>
  <si>
    <t>이물검사 C # X20049 / 종료</t>
    <phoneticPr fontId="6" type="noConversion"/>
  </si>
  <si>
    <t>이물검사 C # X20050</t>
    <phoneticPr fontId="6" type="noConversion"/>
  </si>
  <si>
    <t>이물검사 C # X20050 / 종료</t>
    <phoneticPr fontId="6" type="noConversion"/>
  </si>
  <si>
    <t>대만 포장</t>
    <phoneticPr fontId="6" type="noConversion"/>
  </si>
  <si>
    <t xml:space="preserve"> </t>
    <phoneticPr fontId="6" type="noConversion"/>
  </si>
  <si>
    <t>국내용 100단위 X20036C</t>
    <phoneticPr fontId="6" type="noConversion"/>
  </si>
  <si>
    <t>생산 # 9-1 X20055</t>
    <phoneticPr fontId="6" type="noConversion"/>
  </si>
  <si>
    <t>해체 보고서 승인</t>
    <phoneticPr fontId="6" type="noConversion"/>
  </si>
  <si>
    <r>
      <t>50U PV #2 포장</t>
    </r>
    <r>
      <rPr>
        <b/>
        <sz val="11"/>
        <color rgb="FF000000"/>
        <rFont val="맑은 고딕"/>
        <family val="3"/>
        <charset val="129"/>
      </rPr>
      <t xml:space="preserve"> 905676C</t>
    </r>
    <phoneticPr fontId="6" type="noConversion"/>
  </si>
  <si>
    <r>
      <t>50U PV #3 포장</t>
    </r>
    <r>
      <rPr>
        <b/>
        <sz val="11"/>
        <color rgb="FF000000"/>
        <rFont val="맑은 고딕"/>
        <family val="3"/>
        <charset val="129"/>
      </rPr>
      <t xml:space="preserve"> 905677C</t>
    </r>
    <phoneticPr fontId="6" type="noConversion"/>
  </si>
  <si>
    <t>9-2 국내용 200U X20057</t>
    <phoneticPr fontId="6" type="noConversion"/>
  </si>
  <si>
    <r>
      <t xml:space="preserve">포장 </t>
    </r>
    <r>
      <rPr>
        <b/>
        <sz val="11"/>
        <color rgb="FF000000"/>
        <rFont val="맑은 고딕"/>
        <family val="3"/>
        <charset val="129"/>
      </rPr>
      <t># 국내 100U X20043</t>
    </r>
    <phoneticPr fontId="6" type="noConversion"/>
  </si>
  <si>
    <r>
      <t xml:space="preserve">포장 # 국내 100U </t>
    </r>
    <r>
      <rPr>
        <b/>
        <sz val="11"/>
        <color rgb="FF000000"/>
        <rFont val="맑은 고딕"/>
        <family val="3"/>
        <charset val="129"/>
      </rPr>
      <t>X20044</t>
    </r>
    <phoneticPr fontId="6" type="noConversion"/>
  </si>
  <si>
    <r>
      <t>포장 # 국내 100U</t>
    </r>
    <r>
      <rPr>
        <b/>
        <sz val="11"/>
        <color rgb="FF000000"/>
        <rFont val="맑은 고딕"/>
        <family val="3"/>
        <charset val="129"/>
      </rPr>
      <t xml:space="preserve"> X20048</t>
    </r>
    <phoneticPr fontId="6" type="noConversion"/>
  </si>
  <si>
    <r>
      <t>포장 # 국내 100U</t>
    </r>
    <r>
      <rPr>
        <b/>
        <sz val="11"/>
        <color rgb="FF000000"/>
        <rFont val="맑은 고딕"/>
        <family val="3"/>
        <charset val="129"/>
      </rPr>
      <t xml:space="preserve"> X20049</t>
    </r>
    <phoneticPr fontId="6" type="noConversion"/>
  </si>
  <si>
    <r>
      <t>포장 # 국내 100U</t>
    </r>
    <r>
      <rPr>
        <b/>
        <sz val="11"/>
        <color rgb="FF000000"/>
        <rFont val="맑은 고딕"/>
        <family val="3"/>
        <charset val="129"/>
      </rPr>
      <t xml:space="preserve"> X20050</t>
    </r>
    <phoneticPr fontId="6" type="noConversion"/>
  </si>
  <si>
    <r>
      <t>포장 # 국내 100U</t>
    </r>
    <r>
      <rPr>
        <b/>
        <sz val="11"/>
        <color rgb="FF000000"/>
        <rFont val="맑은 고딕"/>
        <family val="3"/>
        <charset val="129"/>
      </rPr>
      <t xml:space="preserve"> X20055</t>
    </r>
    <phoneticPr fontId="6" type="noConversion"/>
  </si>
  <si>
    <t>포장 # 브라질 X20015E</t>
    <phoneticPr fontId="6" type="noConversion"/>
  </si>
  <si>
    <t>포장 # 대만 X20015F</t>
    <phoneticPr fontId="6" type="noConversion"/>
  </si>
  <si>
    <r>
      <t>포장 # A</t>
    </r>
    <r>
      <rPr>
        <b/>
        <sz val="11"/>
        <color rgb="FF000000"/>
        <rFont val="맑은 고딕"/>
        <family val="3"/>
        <charset val="129"/>
      </rPr>
      <t>EON 포장 X20027A</t>
    </r>
    <phoneticPr fontId="6" type="noConversion"/>
  </si>
  <si>
    <t>생산 # 9-1 국내 100U X20055</t>
    <phoneticPr fontId="6" type="noConversion"/>
  </si>
  <si>
    <t xml:space="preserve"> </t>
    <phoneticPr fontId="6" type="noConversion"/>
  </si>
  <si>
    <t>생산 # 9-4 국내 100U X20059</t>
    <phoneticPr fontId="6" type="noConversion"/>
  </si>
  <si>
    <t>이물검사 C # X20055</t>
    <phoneticPr fontId="6" type="noConversion"/>
  </si>
  <si>
    <t>이물검사 C # X20055 / 종료</t>
    <phoneticPr fontId="6" type="noConversion"/>
  </si>
  <si>
    <t>이물검사 C # X20056</t>
    <phoneticPr fontId="6" type="noConversion"/>
  </si>
  <si>
    <t>이물검사 C #  X20056 / 종료</t>
    <phoneticPr fontId="6" type="noConversion"/>
  </si>
  <si>
    <t>이물검사 C # X200058</t>
    <phoneticPr fontId="6" type="noConversion"/>
  </si>
  <si>
    <t>이물검사 C # X20058 / 종료</t>
    <phoneticPr fontId="6" type="noConversion"/>
  </si>
  <si>
    <t>9-6 태국 100U X20064(11월 출하1)</t>
    <phoneticPr fontId="6" type="noConversion"/>
  </si>
  <si>
    <t xml:space="preserve">9-9 태국 100U X20070(11월 출하2) </t>
    <phoneticPr fontId="6" type="noConversion"/>
  </si>
  <si>
    <t>9-8 태국 200U X20069(11월 출하1)</t>
    <phoneticPr fontId="6" type="noConversion"/>
  </si>
  <si>
    <t>8-1 태국 200U X20041(9월 출하1)</t>
    <phoneticPr fontId="6" type="noConversion"/>
  </si>
  <si>
    <t>8-2 태국 200U X20042(9월 출하2)</t>
    <phoneticPr fontId="6" type="noConversion"/>
  </si>
  <si>
    <t>8-6 태국 100U X20051(9월 출하1)</t>
    <phoneticPr fontId="6" type="noConversion"/>
  </si>
  <si>
    <t>8-7 태국 100U X20053(9월 출하2)</t>
    <phoneticPr fontId="6" type="noConversion"/>
  </si>
  <si>
    <t>9-1 태국 200U X20054(10월 출하1)</t>
    <phoneticPr fontId="6" type="noConversion"/>
  </si>
  <si>
    <t>9-3 태국 200U X20060(10월 출하2)</t>
    <phoneticPr fontId="6" type="noConversion"/>
  </si>
  <si>
    <t>9-4 태국 100U X20061(10월 출하1)</t>
    <phoneticPr fontId="6" type="noConversion"/>
  </si>
  <si>
    <t>9-5 멕시코 100U X20062(10월 출하1)</t>
    <phoneticPr fontId="6" type="noConversion"/>
  </si>
  <si>
    <t>9-6 태국 100U X20063(10월 출하2)</t>
    <phoneticPr fontId="6" type="noConversion"/>
  </si>
  <si>
    <t>생산 # 9-7 국내 100U X20067</t>
    <phoneticPr fontId="6" type="noConversion"/>
  </si>
  <si>
    <t>`</t>
    <phoneticPr fontId="6" type="noConversion"/>
  </si>
  <si>
    <t>현충일</t>
    <phoneticPr fontId="6" type="noConversion"/>
  </si>
  <si>
    <t>추석</t>
    <phoneticPr fontId="6" type="noConversion"/>
  </si>
  <si>
    <t>한글날</t>
    <phoneticPr fontId="6" type="noConversion"/>
  </si>
  <si>
    <t>개천절</t>
    <phoneticPr fontId="6" type="noConversion"/>
  </si>
  <si>
    <t>크리스마스</t>
    <phoneticPr fontId="6" type="noConversion"/>
  </si>
  <si>
    <t>생산 # 2-2</t>
    <phoneticPr fontId="6" type="noConversion"/>
  </si>
  <si>
    <t>생산 # 8-1</t>
    <phoneticPr fontId="6" type="noConversion"/>
  </si>
  <si>
    <t>생산 # 8-2</t>
    <phoneticPr fontId="6" type="noConversion"/>
  </si>
  <si>
    <t>생산 # 8-3</t>
    <phoneticPr fontId="6" type="noConversion"/>
  </si>
  <si>
    <t>생산 # 8-4</t>
    <phoneticPr fontId="6" type="noConversion"/>
  </si>
  <si>
    <t>생산 # 8-5</t>
    <phoneticPr fontId="6" type="noConversion"/>
  </si>
  <si>
    <t xml:space="preserve"> </t>
    <phoneticPr fontId="6" type="noConversion"/>
  </si>
  <si>
    <t>생산 # 6-3, 200U PV 1차 - fail Z20005</t>
    <phoneticPr fontId="6" type="noConversion"/>
  </si>
  <si>
    <t>생산 # 6-4, 200U PV 1차 - 취소 Z20004</t>
    <phoneticPr fontId="6" type="noConversion"/>
  </si>
  <si>
    <r>
      <t xml:space="preserve">A 국내용 200U </t>
    </r>
    <r>
      <rPr>
        <b/>
        <sz val="11"/>
        <color rgb="FFFF0000"/>
        <rFont val="맑은 고딕"/>
        <family val="3"/>
        <charset val="129"/>
      </rPr>
      <t>#20024 - 폐기</t>
    </r>
    <phoneticPr fontId="6" type="noConversion"/>
  </si>
  <si>
    <t>9-5 멕시코 100U X20062(10월 출하)</t>
    <phoneticPr fontId="6" type="noConversion"/>
  </si>
  <si>
    <t>DoE 2차, 3차</t>
    <phoneticPr fontId="6" type="noConversion"/>
  </si>
  <si>
    <t>DoE 4차, 5차</t>
    <phoneticPr fontId="6" type="noConversion"/>
  </si>
  <si>
    <t>DoE</t>
    <phoneticPr fontId="6" type="noConversion"/>
  </si>
  <si>
    <t>DoE 6차, 7차</t>
    <phoneticPr fontId="6" type="noConversion"/>
  </si>
  <si>
    <r>
      <t>D</t>
    </r>
    <r>
      <rPr>
        <b/>
        <sz val="12"/>
        <color rgb="FF000000"/>
        <rFont val="맑은 고딕"/>
        <family val="3"/>
        <charset val="129"/>
      </rPr>
      <t>oE 1차</t>
    </r>
    <phoneticPr fontId="6" type="noConversion"/>
  </si>
  <si>
    <t>DoE 8차, 9차</t>
    <phoneticPr fontId="6" type="noConversion"/>
  </si>
  <si>
    <t>DoE 10차, 11차</t>
    <phoneticPr fontId="6" type="noConversion"/>
  </si>
  <si>
    <t>DoE 12차, 13차</t>
    <phoneticPr fontId="6" type="noConversion"/>
  </si>
  <si>
    <t>DoE 14차, 15차</t>
    <phoneticPr fontId="6" type="noConversion"/>
  </si>
  <si>
    <t>DoE 16차, 17차</t>
    <phoneticPr fontId="6" type="noConversion"/>
  </si>
  <si>
    <t>DoE 18차, 19차</t>
    <phoneticPr fontId="6" type="noConversion"/>
  </si>
  <si>
    <t>DoE 20차, 21차</t>
    <phoneticPr fontId="6" type="noConversion"/>
  </si>
  <si>
    <t>DoE 22차, 23차</t>
    <phoneticPr fontId="6" type="noConversion"/>
  </si>
  <si>
    <t>DoE 24차, 25차</t>
    <phoneticPr fontId="6" type="noConversion"/>
  </si>
  <si>
    <t>DoE 26차, 27차</t>
    <phoneticPr fontId="6" type="noConversion"/>
  </si>
  <si>
    <t>DoE 28차</t>
    <phoneticPr fontId="6" type="noConversion"/>
  </si>
  <si>
    <t>국내용 200단위 X20033, X20034</t>
    <phoneticPr fontId="6" type="noConversion"/>
  </si>
  <si>
    <t>국내용 200단위 X20047, X20057</t>
    <phoneticPr fontId="6" type="noConversion"/>
  </si>
  <si>
    <t>8-7 국내용 200U X20052
- 동결건조기 고장으로 착수X</t>
    <phoneticPr fontId="6" type="noConversion"/>
  </si>
  <si>
    <t>10-2 태국 200U X20073(11월 출하2)</t>
    <phoneticPr fontId="6" type="noConversion"/>
  </si>
  <si>
    <t>10-1 태국 100U X20072(11월 출하3)</t>
    <phoneticPr fontId="6" type="noConversion"/>
  </si>
  <si>
    <t>생산 # 9-8 국내 100U X20068</t>
    <phoneticPr fontId="6" type="noConversion"/>
  </si>
  <si>
    <t>생산 # 9-2 국내 100U X20056</t>
    <phoneticPr fontId="6" type="noConversion"/>
  </si>
  <si>
    <t>포장 # 9-2 국내 100U X20056</t>
    <phoneticPr fontId="6" type="noConversion"/>
  </si>
  <si>
    <t>생산 # 9-3 국내 100U X20058</t>
    <phoneticPr fontId="6" type="noConversion"/>
  </si>
  <si>
    <t>포장 # 국내 100U X20058</t>
    <phoneticPr fontId="6" type="noConversion"/>
  </si>
  <si>
    <t>생산 # 9-4 국내 100U X20059</t>
    <phoneticPr fontId="6" type="noConversion"/>
  </si>
  <si>
    <t>생산 # 9-6 국내 100U X20066</t>
    <phoneticPr fontId="6" type="noConversion"/>
  </si>
  <si>
    <t>포장 # 국내 100U X20059</t>
    <phoneticPr fontId="6" type="noConversion"/>
  </si>
  <si>
    <t>생산 # 10-1 국내 100U X20071</t>
    <phoneticPr fontId="6" type="noConversion"/>
  </si>
  <si>
    <t>9-9 태국 100U X20070(11월 출하2)</t>
    <phoneticPr fontId="6" type="noConversion"/>
  </si>
  <si>
    <t>9-3 태국 200U X20060(10월 출하2)</t>
    <phoneticPr fontId="6" type="noConversion"/>
  </si>
  <si>
    <t>9-1 태국 100U X20053(9월 출하2)</t>
    <phoneticPr fontId="6" type="noConversion"/>
  </si>
  <si>
    <t>8-6 태국 100U X20051(9월 출하1)</t>
    <phoneticPr fontId="6" type="noConversion"/>
  </si>
  <si>
    <t>9-1 태국 100U X20054(10월 출하1)</t>
    <phoneticPr fontId="6" type="noConversion"/>
  </si>
  <si>
    <t>9-4 태국 100U X20061(10월 출하1)</t>
    <phoneticPr fontId="6" type="noConversion"/>
  </si>
  <si>
    <t>10-4 태국 100U X20075(12월 출하2)</t>
    <phoneticPr fontId="6" type="noConversion"/>
  </si>
  <si>
    <t>생산 # 10-2 X20076 파나마, 브라질 수출용 100U</t>
    <phoneticPr fontId="6" type="noConversion"/>
  </si>
  <si>
    <t>DoE - test</t>
    <phoneticPr fontId="6" type="noConversion"/>
  </si>
  <si>
    <t>포장 # 국내 100U X20068</t>
    <phoneticPr fontId="6" type="noConversion"/>
  </si>
  <si>
    <t>생산 # 9-5 국내 100U X20065</t>
    <phoneticPr fontId="6" type="noConversion"/>
  </si>
  <si>
    <t>이물검사 C # X20065 / 종료</t>
    <phoneticPr fontId="6" type="noConversion"/>
  </si>
  <si>
    <t>이물검사 C # X20065</t>
    <phoneticPr fontId="6" type="noConversion"/>
  </si>
  <si>
    <t>이물검사 C # X20066</t>
    <phoneticPr fontId="6" type="noConversion"/>
  </si>
  <si>
    <t>이물검사 C # X20058</t>
    <phoneticPr fontId="6" type="noConversion"/>
  </si>
  <si>
    <t>이물검사 C # X20067</t>
    <phoneticPr fontId="6" type="noConversion"/>
  </si>
  <si>
    <t>이물검사 C # X20065</t>
    <phoneticPr fontId="6" type="noConversion"/>
  </si>
  <si>
    <t>이물검사 C # X20067 / 종료</t>
    <phoneticPr fontId="6" type="noConversion"/>
  </si>
  <si>
    <t>이물검사 C # X20068</t>
    <phoneticPr fontId="6" type="noConversion"/>
  </si>
  <si>
    <t>이물검사 C # X20068 / 종료</t>
    <phoneticPr fontId="6" type="noConversion"/>
  </si>
  <si>
    <t>이물검사 C # X20071</t>
    <phoneticPr fontId="6" type="noConversion"/>
  </si>
  <si>
    <t>이물검사 C # X20071 / 종료</t>
    <phoneticPr fontId="6" type="noConversion"/>
  </si>
  <si>
    <t>포장 # AEON 임상약 X20065A</t>
    <phoneticPr fontId="6" type="noConversion"/>
  </si>
  <si>
    <t>포장 # 미국 100U X20016C</t>
    <phoneticPr fontId="6" type="noConversion"/>
  </si>
  <si>
    <t>포장 # 국내 100U X20066</t>
    <phoneticPr fontId="6" type="noConversion"/>
  </si>
  <si>
    <t>포장 # 국내 100U X20067</t>
    <phoneticPr fontId="6" type="noConversion"/>
  </si>
  <si>
    <t>10-5 태국 200U X20077(12월 출하1)</t>
    <phoneticPr fontId="6" type="noConversion"/>
  </si>
  <si>
    <t>10-6 국내 200U X20078</t>
    <phoneticPr fontId="6" type="noConversion"/>
  </si>
  <si>
    <t>포장 # 국내 100U X20065C</t>
    <phoneticPr fontId="6" type="noConversion"/>
  </si>
  <si>
    <t>포장 # 미국 100U X19013C</t>
    <phoneticPr fontId="6" type="noConversion"/>
  </si>
  <si>
    <t>10-7 국내 200U X20079</t>
    <phoneticPr fontId="6" type="noConversion"/>
  </si>
  <si>
    <t>10-8 국내 200U X20080</t>
    <phoneticPr fontId="6" type="noConversion"/>
  </si>
  <si>
    <t>10-9 중동 100U X20081(12월 출하)</t>
    <phoneticPr fontId="6" type="noConversion"/>
  </si>
  <si>
    <t>포장 # X20076A - 파나마(국검 포함 2월 출하)</t>
    <phoneticPr fontId="6" type="noConversion"/>
  </si>
  <si>
    <t>포장 # X20071</t>
    <phoneticPr fontId="6" type="noConversion"/>
  </si>
  <si>
    <t>10-3 태국 100U X20074(12월 출하1)</t>
    <phoneticPr fontId="6" type="noConversion"/>
  </si>
  <si>
    <t>10-4 태국 100U X20075(12월 출하2)</t>
    <phoneticPr fontId="6" type="noConversion"/>
  </si>
  <si>
    <t>10-5 태국 200U X20077(12월 출하1)</t>
    <phoneticPr fontId="6" type="noConversion"/>
  </si>
  <si>
    <t>이물검사 C # X20066 / 종료</t>
    <phoneticPr fontId="6" type="noConversion"/>
  </si>
  <si>
    <t>이물검사 C # X20076</t>
    <phoneticPr fontId="6" type="noConversion"/>
  </si>
  <si>
    <t>이물검사 C # X20076 / 종료</t>
    <phoneticPr fontId="6" type="noConversion"/>
  </si>
  <si>
    <t>국내용 200단위 X20078, X20079</t>
    <phoneticPr fontId="6" type="noConversion"/>
  </si>
  <si>
    <t>국내용 200단위 X20080</t>
    <phoneticPr fontId="6" type="noConversion"/>
  </si>
  <si>
    <t>11-2 중동 100U(FOC) X20082 1월 출하물량</t>
    <phoneticPr fontId="6" type="noConversion"/>
  </si>
  <si>
    <t>11-1 베트남 100U X20083 1월 출하 물량</t>
    <phoneticPr fontId="6" type="noConversion"/>
  </si>
  <si>
    <t>11-3 국내 200U X20084</t>
    <phoneticPr fontId="6" type="noConversion"/>
  </si>
  <si>
    <t>11-4 국내 200U X20085</t>
    <phoneticPr fontId="6" type="noConversion"/>
  </si>
  <si>
    <t>10-3 태국 100U X20074(12월 출하1)</t>
    <phoneticPr fontId="6" type="noConversion"/>
  </si>
  <si>
    <t xml:space="preserve"> </t>
    <phoneticPr fontId="6" type="noConversion"/>
  </si>
  <si>
    <t>11-5 태국 100U X20091(1월 FOC 물량)</t>
    <phoneticPr fontId="6" type="noConversion"/>
  </si>
  <si>
    <t>11-6 태국 100U X20092(1월 FOC 물량)</t>
    <phoneticPr fontId="6" type="noConversion"/>
  </si>
  <si>
    <t xml:space="preserve"> </t>
    <phoneticPr fontId="6" type="noConversion"/>
  </si>
  <si>
    <t>11-7 멕시코 100U X20093(1월 출하)</t>
    <phoneticPr fontId="6" type="noConversion"/>
  </si>
  <si>
    <t>생산 # 11-2 X20087</t>
    <phoneticPr fontId="6" type="noConversion"/>
  </si>
  <si>
    <t>생산 # 11-3 X20088</t>
    <phoneticPr fontId="6" type="noConversion"/>
  </si>
  <si>
    <t>생산 # 11-1 X20086</t>
    <phoneticPr fontId="6" type="noConversion"/>
  </si>
  <si>
    <t>VHP 박스 PQ</t>
    <phoneticPr fontId="6" type="noConversion"/>
  </si>
  <si>
    <t>이물검사 C # X20086</t>
    <phoneticPr fontId="6" type="noConversion"/>
  </si>
  <si>
    <t>이물검사 C # X20086 / 종료</t>
    <phoneticPr fontId="6" type="noConversion"/>
  </si>
  <si>
    <t>이물검사 C # X20087</t>
    <phoneticPr fontId="6" type="noConversion"/>
  </si>
  <si>
    <t>이물검사 C # X20087 / 종료</t>
    <phoneticPr fontId="6" type="noConversion"/>
  </si>
  <si>
    <t>이물검사 C # X20088</t>
    <phoneticPr fontId="6" type="noConversion"/>
  </si>
  <si>
    <t>11-8 멕시코 100U X20094(1월 출하)</t>
    <phoneticPr fontId="6" type="noConversion"/>
  </si>
  <si>
    <t>11-9 태국 200U X20095(1월 FOC 물량)</t>
    <phoneticPr fontId="6" type="noConversion"/>
  </si>
  <si>
    <t>11-10 태국 200U X20096(1월 FOC 물량)</t>
    <phoneticPr fontId="6" type="noConversion"/>
  </si>
  <si>
    <t>포장 # 11-1 X20086</t>
    <phoneticPr fontId="6" type="noConversion"/>
  </si>
  <si>
    <t>국내용 200단위 X20084, X20085</t>
    <phoneticPr fontId="6" type="noConversion"/>
  </si>
  <si>
    <t>국내용 200단위 X20089, X20090</t>
    <phoneticPr fontId="6" type="noConversion"/>
  </si>
  <si>
    <t>생산 # 11-6 X20099</t>
    <phoneticPr fontId="6" type="noConversion"/>
  </si>
  <si>
    <t>11-8 멕시코 100U X20094(1월 출하)</t>
    <phoneticPr fontId="6" type="noConversion"/>
  </si>
  <si>
    <t>생산 # 11-4 X20097</t>
    <phoneticPr fontId="6" type="noConversion"/>
  </si>
  <si>
    <t>생산 # 11-5 X20098</t>
    <phoneticPr fontId="6" type="noConversion"/>
  </si>
  <si>
    <t>이물검사 C # X20098</t>
    <phoneticPr fontId="6" type="noConversion"/>
  </si>
  <si>
    <t>이물검사 C # X20098 / 종료</t>
    <phoneticPr fontId="6" type="noConversion"/>
  </si>
  <si>
    <t>포장 # X20087</t>
    <phoneticPr fontId="6" type="noConversion"/>
  </si>
  <si>
    <t>포장 # 11-3 X20088</t>
    <phoneticPr fontId="6" type="noConversion"/>
  </si>
  <si>
    <t>포장 # 11-4 X20097</t>
    <phoneticPr fontId="6" type="noConversion"/>
  </si>
  <si>
    <t>포장 # 11-5 X20098</t>
    <phoneticPr fontId="6" type="noConversion"/>
  </si>
  <si>
    <t>인도네시아 100U X20083A</t>
    <phoneticPr fontId="6" type="noConversion"/>
  </si>
  <si>
    <t>11-1 베트남 100U X20083C 1월 출하 물량</t>
    <phoneticPr fontId="6" type="noConversion"/>
  </si>
  <si>
    <t>생산 # 11-6 X20099</t>
    <phoneticPr fontId="6" type="noConversion"/>
  </si>
  <si>
    <t>생산 # 12-1 국내용 100단위 X20100</t>
    <phoneticPr fontId="6" type="noConversion"/>
  </si>
  <si>
    <t>이물검사 C # X20088 / 종료</t>
    <phoneticPr fontId="6" type="noConversion"/>
  </si>
  <si>
    <t>12-1 국내 200U X20089</t>
    <phoneticPr fontId="6" type="noConversion"/>
  </si>
  <si>
    <t>12-2 국내 200U X20090</t>
    <phoneticPr fontId="6" type="noConversion"/>
  </si>
  <si>
    <t>12-3 국내 200U X20101</t>
    <phoneticPr fontId="6" type="noConversion"/>
  </si>
  <si>
    <t>12-5 연구용 액상제형</t>
    <phoneticPr fontId="6" type="noConversion"/>
  </si>
  <si>
    <t>12-4 국내 200U X20102</t>
    <phoneticPr fontId="6" type="noConversion"/>
  </si>
  <si>
    <t>12-6 국내 200U X20103</t>
    <phoneticPr fontId="6" type="noConversion"/>
  </si>
  <si>
    <t>생산 # 국내용 100단위 12-2 X20104</t>
    <phoneticPr fontId="6" type="noConversion"/>
  </si>
  <si>
    <t>국내용 200단위 X20101</t>
    <phoneticPr fontId="6" type="noConversion"/>
  </si>
  <si>
    <t>12-2 국내 200U X20102, X20103</t>
    <phoneticPr fontId="6" type="noConversion"/>
  </si>
  <si>
    <t>포장 # X20087</t>
  </si>
  <si>
    <t>12-7 태국 100U X20107 - 3월 출하물량</t>
    <phoneticPr fontId="6" type="noConversion"/>
  </si>
  <si>
    <t>12-8 태국 200U X20108- 3월 출하물량</t>
    <phoneticPr fontId="6" type="noConversion"/>
  </si>
  <si>
    <t>생산 # 미국용 100단위 12-3 X20106</t>
    <phoneticPr fontId="6" type="noConversion"/>
  </si>
  <si>
    <t>포장 # 미국용 100단위 12-3 X20106</t>
    <phoneticPr fontId="6" type="noConversion"/>
  </si>
  <si>
    <t>포장 # 국내용 11-6 X20099</t>
    <phoneticPr fontId="6" type="noConversion"/>
  </si>
  <si>
    <t>포장 # 12-1 국내용 100단위 X20100</t>
    <phoneticPr fontId="6" type="noConversion"/>
  </si>
  <si>
    <t>포장 # 국내용 100단위 X20104</t>
    <phoneticPr fontId="6" type="noConversion"/>
  </si>
  <si>
    <t>생산 # 12-6 미국 X20113</t>
    <phoneticPr fontId="6" type="noConversion"/>
  </si>
  <si>
    <t>11-9 태국 200U X20095(1월 FOC 물량)</t>
    <phoneticPr fontId="6" type="noConversion"/>
  </si>
  <si>
    <t>생산 # 12-5 국내용 100단위 X20110</t>
    <phoneticPr fontId="6" type="noConversion"/>
  </si>
  <si>
    <t>이물검사 C # X20099</t>
    <phoneticPr fontId="6" type="noConversion"/>
  </si>
  <si>
    <t>이물검사 C # X20099 / 종료</t>
    <phoneticPr fontId="6" type="noConversion"/>
  </si>
  <si>
    <t>이물검사 C # 11-4 X20097 / 종료</t>
    <phoneticPr fontId="6" type="noConversion"/>
  </si>
  <si>
    <t>이물검사 C # X20106</t>
    <phoneticPr fontId="6" type="noConversion"/>
  </si>
  <si>
    <t>이물검사 C # X20106 / 종료</t>
    <phoneticPr fontId="6" type="noConversion"/>
  </si>
  <si>
    <t>이물검사 C # X20100</t>
    <phoneticPr fontId="6" type="noConversion"/>
  </si>
  <si>
    <t>이물검사 C # X20100 / 종료</t>
    <phoneticPr fontId="6" type="noConversion"/>
  </si>
  <si>
    <t>이물검사 C # X20104</t>
    <phoneticPr fontId="6" type="noConversion"/>
  </si>
  <si>
    <t>이물검사 C # X20104 / 종료</t>
    <phoneticPr fontId="6" type="noConversion"/>
  </si>
  <si>
    <t>이물검사 C # X20113 / 종료</t>
    <phoneticPr fontId="6" type="noConversion"/>
  </si>
  <si>
    <t>포장 # 국내용 100단위 X20110</t>
    <phoneticPr fontId="6" type="noConversion"/>
  </si>
  <si>
    <t>포장 # 미국용 100단위 X20106</t>
    <phoneticPr fontId="6" type="noConversion"/>
  </si>
  <si>
    <t>포장 # 미국용 100단위 X20113</t>
    <phoneticPr fontId="6" type="noConversion"/>
  </si>
  <si>
    <t>임상(유문) X20015K, X20015H</t>
    <phoneticPr fontId="6" type="noConversion"/>
  </si>
  <si>
    <t>이물검사 C # X20109</t>
    <phoneticPr fontId="6" type="noConversion"/>
  </si>
  <si>
    <t>이물검사 C # X20109 / 종료</t>
    <phoneticPr fontId="6" type="noConversion"/>
  </si>
  <si>
    <t>이물검사 C # X20110</t>
    <phoneticPr fontId="6" type="noConversion"/>
  </si>
  <si>
    <t>이물검사 C # X20110 / 종료</t>
    <phoneticPr fontId="6" type="noConversion"/>
  </si>
  <si>
    <t>이물검사 C # X20113</t>
    <phoneticPr fontId="6" type="noConversion"/>
  </si>
  <si>
    <t>포장 # 브라질 X20076C</t>
    <phoneticPr fontId="6" type="noConversion"/>
  </si>
  <si>
    <t>셧다운</t>
    <phoneticPr fontId="6" type="noConversion"/>
  </si>
  <si>
    <t>이물검사C #6-4 / 종료</t>
    <phoneticPr fontId="6" type="noConversion"/>
  </si>
  <si>
    <t>이물검사C #6-5</t>
    <phoneticPr fontId="6" type="noConversion"/>
  </si>
  <si>
    <t>이물검사C #6-5 / 종료</t>
    <phoneticPr fontId="6" type="noConversion"/>
  </si>
  <si>
    <t>이물검사C #8-1</t>
    <phoneticPr fontId="6" type="noConversion"/>
  </si>
  <si>
    <t>이물검사C #8-1 / 종료</t>
    <phoneticPr fontId="6" type="noConversion"/>
  </si>
  <si>
    <t>이물검사C #8-2</t>
    <phoneticPr fontId="6" type="noConversion"/>
  </si>
  <si>
    <t>이물검사C #8-2 / 종료</t>
    <phoneticPr fontId="6" type="noConversion"/>
  </si>
  <si>
    <t>이물검사C #8-3</t>
    <phoneticPr fontId="6" type="noConversion"/>
  </si>
  <si>
    <t>이물검사C #10-3 / 종료</t>
    <phoneticPr fontId="6" type="noConversion"/>
  </si>
  <si>
    <t>이물검사C #10-4 / 종료</t>
    <phoneticPr fontId="6" type="noConversion"/>
  </si>
  <si>
    <t>이물검사C #11-2 / 종료</t>
    <phoneticPr fontId="6" type="noConversion"/>
  </si>
  <si>
    <t>신정</t>
    <phoneticPr fontId="6" type="noConversion"/>
  </si>
  <si>
    <t>설날</t>
    <phoneticPr fontId="6" type="noConversion"/>
  </si>
  <si>
    <t>3.1 절</t>
    <phoneticPr fontId="6" type="noConversion"/>
  </si>
  <si>
    <r>
      <t>A동</t>
    </r>
    <r>
      <rPr>
        <sz val="11"/>
        <color rgb="FF000000"/>
        <rFont val="맑은 고딕"/>
        <family val="2"/>
      </rPr>
      <t xml:space="preserve"> 메디아필</t>
    </r>
    <phoneticPr fontId="6" type="noConversion"/>
  </si>
  <si>
    <r>
      <t>C동</t>
    </r>
    <r>
      <rPr>
        <sz val="11"/>
        <color rgb="FF000000"/>
        <rFont val="맑은 고딕"/>
        <family val="2"/>
      </rPr>
      <t xml:space="preserve"> 메디아필</t>
    </r>
    <phoneticPr fontId="6" type="noConversion"/>
  </si>
  <si>
    <t>A동 메디아필</t>
    <phoneticPr fontId="6" type="noConversion"/>
  </si>
  <si>
    <t xml:space="preserve"> C동 메디아필</t>
    <phoneticPr fontId="6" type="noConversion"/>
  </si>
  <si>
    <t>생산 # 12-4 국내용 50단위 X20109</t>
    <phoneticPr fontId="6" type="noConversion"/>
  </si>
  <si>
    <t>생산 # 3-3 국내 200U</t>
    <phoneticPr fontId="6" type="noConversion"/>
  </si>
  <si>
    <t>포장 # 2-1 미국 向 X20106</t>
    <phoneticPr fontId="6" type="noConversion"/>
  </si>
  <si>
    <t>이물검사C #2-1 X21001</t>
    <phoneticPr fontId="6" type="noConversion"/>
  </si>
  <si>
    <t>생산 # 2-1 X21002</t>
    <phoneticPr fontId="6" type="noConversion"/>
  </si>
  <si>
    <t>생산 # 2-2 X21003</t>
    <phoneticPr fontId="6" type="noConversion"/>
  </si>
  <si>
    <t>생산 # 2-3 X21004</t>
    <phoneticPr fontId="6" type="noConversion"/>
  </si>
  <si>
    <t>포장 # 2-1 미국 向 X20113</t>
    <phoneticPr fontId="6" type="noConversion"/>
  </si>
  <si>
    <t>생산 #3-1 국내 200U</t>
    <phoneticPr fontId="6" type="noConversion"/>
  </si>
  <si>
    <t>생산 #3-2 국내 200U</t>
    <phoneticPr fontId="6" type="noConversion"/>
  </si>
  <si>
    <t>생산 # 3-3 국내 200U</t>
    <phoneticPr fontId="6" type="noConversion"/>
  </si>
  <si>
    <t>생산 # 3-4 국내 200U or 멕시코</t>
    <phoneticPr fontId="6" type="noConversion"/>
  </si>
  <si>
    <t>생산 # 3-5 국내 200U or 멕시코</t>
    <phoneticPr fontId="6" type="noConversion"/>
  </si>
  <si>
    <t>생산 # 3-6 국내 200U</t>
    <phoneticPr fontId="6" type="noConversion"/>
  </si>
  <si>
    <t>생산 # 3-6 국내 200U</t>
    <phoneticPr fontId="6" type="noConversion"/>
  </si>
  <si>
    <t>생산 # 3-7 국내 200U</t>
    <phoneticPr fontId="6" type="noConversion"/>
  </si>
  <si>
    <t>생산 # 3-8 국내 200U</t>
    <phoneticPr fontId="6" type="noConversion"/>
  </si>
  <si>
    <t>생산 # 3-8 국내 200U</t>
    <phoneticPr fontId="6" type="noConversion"/>
  </si>
  <si>
    <t>생산 # 3-9 태국 200U(6월 출하물량)</t>
    <phoneticPr fontId="6" type="noConversion"/>
  </si>
  <si>
    <t>생산 # 2-1 X21002</t>
    <phoneticPr fontId="6" type="noConversion"/>
  </si>
  <si>
    <t>생산 # 2-2 X21003</t>
    <phoneticPr fontId="6" type="noConversion"/>
  </si>
  <si>
    <t>생산 # 2-3 X21004</t>
    <phoneticPr fontId="6" type="noConversion"/>
  </si>
  <si>
    <t>생산 #3-1 국내 200U X21005</t>
    <phoneticPr fontId="6" type="noConversion"/>
  </si>
  <si>
    <t>생산 #3-2 국내 200U X21006</t>
    <phoneticPr fontId="6" type="noConversion"/>
  </si>
  <si>
    <t>생산 # 3-1 미국용 100U X21007</t>
    <phoneticPr fontId="6" type="noConversion"/>
  </si>
  <si>
    <t>생산 # 국내 200U X21002</t>
    <phoneticPr fontId="6" type="noConversion"/>
  </si>
  <si>
    <t>생산 # 3-3 국내 200U X21010</t>
    <phoneticPr fontId="6" type="noConversion"/>
  </si>
  <si>
    <t>생산 # 3-4 국내 200U X21011</t>
    <phoneticPr fontId="6" type="noConversion"/>
  </si>
  <si>
    <t>생산 # 국내 200U X21003, X21004</t>
    <phoneticPr fontId="6" type="noConversion"/>
  </si>
  <si>
    <t>이물검사C #2-1 X21001 / 종료</t>
    <phoneticPr fontId="6" type="noConversion"/>
  </si>
  <si>
    <t>이물검사C # 미국용 X21007</t>
    <phoneticPr fontId="6" type="noConversion"/>
  </si>
  <si>
    <t>이물검사C 미국용 X21007</t>
    <phoneticPr fontId="6" type="noConversion"/>
  </si>
  <si>
    <t>이물검사C 미국용 X21007 / 종료</t>
    <phoneticPr fontId="6" type="noConversion"/>
  </si>
  <si>
    <t>이물검사C 국내용 3-2 X21008</t>
    <phoneticPr fontId="6" type="noConversion"/>
  </si>
  <si>
    <t>생산 # 3-4 국내용 100U X21009</t>
    <phoneticPr fontId="6" type="noConversion"/>
  </si>
  <si>
    <t>생산 # 3-3 미국용 100U X21012</t>
    <phoneticPr fontId="6" type="noConversion"/>
  </si>
  <si>
    <t>이물검사C 미국용 3-3 X21012</t>
    <phoneticPr fontId="6" type="noConversion"/>
  </si>
  <si>
    <t>이물검사C 국내용 3-4 X21009</t>
    <phoneticPr fontId="6" type="noConversion"/>
  </si>
  <si>
    <t>포장 # 3-4 국내 100단위 X21009</t>
    <phoneticPr fontId="6" type="noConversion"/>
  </si>
  <si>
    <t>포장 # X20076E(파나마)</t>
    <phoneticPr fontId="6" type="noConversion"/>
  </si>
  <si>
    <t>포장 # X20076F(대만)</t>
    <phoneticPr fontId="6" type="noConversion"/>
  </si>
  <si>
    <t>포장 # X20076H(인도)</t>
    <phoneticPr fontId="6" type="noConversion"/>
  </si>
  <si>
    <t>생산 # 3-5 국내용 100U X21013</t>
    <phoneticPr fontId="6" type="noConversion"/>
  </si>
  <si>
    <t>생산 # 3-5 국내 200U X21014</t>
    <phoneticPr fontId="6" type="noConversion"/>
  </si>
  <si>
    <t>생산 # 3-6 국내 200U X21015</t>
    <phoneticPr fontId="6" type="noConversion"/>
  </si>
  <si>
    <t>생산 # 8-1 국내용 100단위</t>
    <phoneticPr fontId="6" type="noConversion"/>
  </si>
  <si>
    <t>이물검사C 국내용 3-2 X21008 / 종료</t>
    <phoneticPr fontId="6" type="noConversion"/>
  </si>
  <si>
    <t>이물검사C 미국용 3-3 X21012 / 종료</t>
    <phoneticPr fontId="6" type="noConversion"/>
  </si>
  <si>
    <t>생산 # 3-7 국내 200U X21016</t>
    <phoneticPr fontId="6" type="noConversion"/>
  </si>
  <si>
    <t>생산 # 3-8 국내 200U X21017</t>
    <phoneticPr fontId="6" type="noConversion"/>
  </si>
  <si>
    <t>생산 # 3-10 국내 200U X21021</t>
    <phoneticPr fontId="6" type="noConversion"/>
  </si>
  <si>
    <t>생산 # 3-6 국내용 100U X21018(취소_오더 삭제)</t>
    <phoneticPr fontId="6" type="noConversion"/>
  </si>
  <si>
    <t xml:space="preserve">이물검사C 미국용 X21007 </t>
    <phoneticPr fontId="6" type="noConversion"/>
  </si>
  <si>
    <t>이물검사C 국내용 3-4 X21009 / 종료</t>
    <phoneticPr fontId="6" type="noConversion"/>
  </si>
  <si>
    <t>이물검사C 국내용 3-4 X21013</t>
    <phoneticPr fontId="6" type="noConversion"/>
  </si>
  <si>
    <t>이물검사C 국내용 3-4 X21013 / 종료</t>
    <phoneticPr fontId="6" type="noConversion"/>
  </si>
  <si>
    <t>이물검사C #6-4</t>
    <phoneticPr fontId="6" type="noConversion"/>
  </si>
  <si>
    <t>포장 # X20076K(브라질)</t>
    <phoneticPr fontId="6" type="noConversion"/>
  </si>
  <si>
    <t>생산 # 국내 200U X21005, X21006</t>
    <phoneticPr fontId="6" type="noConversion"/>
  </si>
  <si>
    <t>생산 # 국내 200U X21010, X21011</t>
    <phoneticPr fontId="6" type="noConversion"/>
  </si>
  <si>
    <t>생산 # 국내 200U X21014, X21015</t>
    <phoneticPr fontId="6" type="noConversion"/>
  </si>
  <si>
    <t>이물검사C 국내용 3-6 X21019</t>
    <phoneticPr fontId="6" type="noConversion"/>
  </si>
  <si>
    <t>이물검사C 국내용 3-6 X21019 / 종료</t>
    <phoneticPr fontId="6" type="noConversion"/>
  </si>
  <si>
    <t>생산 # 3-9 태국 200U X21020(5월 선적)</t>
    <phoneticPr fontId="6" type="noConversion"/>
  </si>
  <si>
    <t>생산 # 4-2 국내 200U X21024</t>
    <phoneticPr fontId="6" type="noConversion"/>
  </si>
  <si>
    <t>생산 # 4-1UAE X21023(5월 선적)</t>
    <phoneticPr fontId="6" type="noConversion"/>
  </si>
  <si>
    <t>생산 # 2-2 X21003</t>
    <phoneticPr fontId="6" type="noConversion"/>
  </si>
  <si>
    <t>생산 # 2-3 X21004</t>
    <phoneticPr fontId="6" type="noConversion"/>
  </si>
  <si>
    <t>생산 # 4-3 캐나다용 100U X21027</t>
    <phoneticPr fontId="6" type="noConversion"/>
  </si>
  <si>
    <t>밸브 교체 및 검증</t>
    <phoneticPr fontId="6" type="noConversion"/>
  </si>
  <si>
    <t>생산 # 3-3 미국용 100U X21012</t>
    <phoneticPr fontId="6" type="noConversion"/>
  </si>
  <si>
    <t>생산 # 4-1UAE X21023(5월 선적)</t>
    <phoneticPr fontId="6" type="noConversion"/>
  </si>
  <si>
    <t>생산 # 국내 200U X21016, X21017</t>
    <phoneticPr fontId="6" type="noConversion"/>
  </si>
  <si>
    <t>생산 # 국내 200U X21021, X21024</t>
    <phoneticPr fontId="6" type="noConversion"/>
  </si>
  <si>
    <t>생산 # 4-4 미국용 100U X21030</t>
    <phoneticPr fontId="6" type="noConversion"/>
  </si>
  <si>
    <t>포장 # X21013C(브라질)</t>
    <phoneticPr fontId="6" type="noConversion"/>
  </si>
  <si>
    <t>생산 # 2-1 국내 100U X21001</t>
    <phoneticPr fontId="6" type="noConversion"/>
  </si>
  <si>
    <t>생산 # 4-1 국내용 100U X21022</t>
    <phoneticPr fontId="6" type="noConversion"/>
  </si>
  <si>
    <t>포장 # 3-2 국내용 100U X21019</t>
    <phoneticPr fontId="6" type="noConversion"/>
  </si>
  <si>
    <t>포장 # 3-4 국내용 100U X21009</t>
    <phoneticPr fontId="6" type="noConversion"/>
  </si>
  <si>
    <t>생산 # 4-2 국내용 100U(브라질용으로 사용) X21025</t>
    <phoneticPr fontId="6" type="noConversion"/>
  </si>
  <si>
    <t>생산 # 3-2 국내용 100U X21008</t>
    <phoneticPr fontId="6" type="noConversion"/>
  </si>
  <si>
    <t>포장 # 3-2 국내용 100U X21008</t>
    <phoneticPr fontId="6" type="noConversion"/>
  </si>
  <si>
    <t>포장 # 3-5 국내용 100U X21013A</t>
    <phoneticPr fontId="6" type="noConversion"/>
  </si>
  <si>
    <t>생산 # 4-3 베트남X21028(6월 선적)</t>
    <phoneticPr fontId="6" type="noConversion"/>
  </si>
  <si>
    <t>생산 # 4-4 국내 200U X21029</t>
    <phoneticPr fontId="6" type="noConversion"/>
  </si>
  <si>
    <t>생산 # 4-7 미국용 100U X21033</t>
    <phoneticPr fontId="6" type="noConversion"/>
  </si>
  <si>
    <t>생산 # 4-5 태국 200U(6월 선적) X21032</t>
    <phoneticPr fontId="6" type="noConversion"/>
  </si>
  <si>
    <t>생산 # 4-10 200U TEST</t>
    <phoneticPr fontId="6" type="noConversion"/>
  </si>
  <si>
    <t>포장 # 4-7 미국 X21033</t>
    <phoneticPr fontId="6" type="noConversion"/>
  </si>
  <si>
    <t>포장 # 4-4 미국 X21030</t>
    <phoneticPr fontId="6" type="noConversion"/>
  </si>
  <si>
    <t>생산 # 4-8 국내용 100U X21034</t>
    <phoneticPr fontId="6" type="noConversion"/>
  </si>
  <si>
    <t>포장 # 4-8 국내용 100U X21034</t>
    <phoneticPr fontId="6" type="noConversion"/>
  </si>
  <si>
    <t>생산 # 4-6 베트남 X21035(6월 선적)</t>
    <phoneticPr fontId="6" type="noConversion"/>
  </si>
  <si>
    <t xml:space="preserve">생산 # 4-5 국내용 100U(브라질용으로 사용) X21026 </t>
    <phoneticPr fontId="6" type="noConversion"/>
  </si>
  <si>
    <t>포장 # 4-1 국내 100U X21022</t>
    <phoneticPr fontId="6" type="noConversion"/>
  </si>
  <si>
    <t>생산 # 4-6 국내용 100U X21031</t>
    <phoneticPr fontId="6" type="noConversion"/>
  </si>
  <si>
    <t>이물검사C 국내용 X21022</t>
    <phoneticPr fontId="6" type="noConversion"/>
  </si>
  <si>
    <t>이물검사C 국내용 X21025</t>
    <phoneticPr fontId="6" type="noConversion"/>
  </si>
  <si>
    <t>이물검사C 국내용 X21025 / 종료</t>
    <phoneticPr fontId="6" type="noConversion"/>
  </si>
  <si>
    <t>이물검사C # X21027</t>
    <phoneticPr fontId="6" type="noConversion"/>
  </si>
  <si>
    <t>이물검사C # X21027 / 종료</t>
    <phoneticPr fontId="6" type="noConversion"/>
  </si>
  <si>
    <t>이물검사C # X21030</t>
    <phoneticPr fontId="6" type="noConversion"/>
  </si>
  <si>
    <t>이물검사C # X21026</t>
    <phoneticPr fontId="6" type="noConversion"/>
  </si>
  <si>
    <t>이물검사C # X21026 / 종료</t>
    <phoneticPr fontId="6" type="noConversion"/>
  </si>
  <si>
    <t>이물검사C # X21031</t>
    <phoneticPr fontId="6" type="noConversion"/>
  </si>
  <si>
    <t>이물검사C # X21033</t>
    <phoneticPr fontId="6" type="noConversion"/>
  </si>
  <si>
    <t>이물검사C # X21033 / 종료</t>
    <phoneticPr fontId="6" type="noConversion"/>
  </si>
  <si>
    <t>이물검사C # X21034</t>
    <phoneticPr fontId="6" type="noConversion"/>
  </si>
  <si>
    <t>이물검사C # X21034 / 종료</t>
    <phoneticPr fontId="6" type="noConversion"/>
  </si>
  <si>
    <t>이물검사C #6-6 / 종료</t>
    <phoneticPr fontId="6" type="noConversion"/>
  </si>
  <si>
    <t>생산 # 8-6</t>
    <phoneticPr fontId="6" type="noConversion"/>
  </si>
  <si>
    <t>생산 # 8-7</t>
    <phoneticPr fontId="6" type="noConversion"/>
  </si>
  <si>
    <t>생산 # 8-8</t>
    <phoneticPr fontId="6" type="noConversion"/>
  </si>
  <si>
    <t>포장 # 4-5 국내용 100U(브라질용으로 사용) X21026</t>
    <phoneticPr fontId="6" type="noConversion"/>
  </si>
  <si>
    <t>생산 # 4-7 국내 200U X21037</t>
    <phoneticPr fontId="6" type="noConversion"/>
  </si>
  <si>
    <t>생산 # 파나마 100U X20076M</t>
    <phoneticPr fontId="6" type="noConversion"/>
  </si>
  <si>
    <t>생산 # 4-3 캐나다용 100U X21027</t>
    <phoneticPr fontId="6" type="noConversion"/>
  </si>
  <si>
    <t>생산 # 4-8 국내 200U X21038</t>
    <phoneticPr fontId="6" type="noConversion"/>
  </si>
  <si>
    <t>생산 # 국내 200U X21029, X21037</t>
    <phoneticPr fontId="6" type="noConversion"/>
  </si>
  <si>
    <t>생산 # 국내 200U X21038</t>
    <phoneticPr fontId="6" type="noConversion"/>
  </si>
  <si>
    <t>생산 # 5-3 태국 200U X21043(7월 선적)</t>
    <phoneticPr fontId="6" type="noConversion"/>
  </si>
  <si>
    <t>생산 # 5-4 태국 200UX21044(8월 선적)</t>
    <phoneticPr fontId="6" type="noConversion"/>
  </si>
  <si>
    <t>생산 # 4-6 국내용 100U X21031</t>
    <phoneticPr fontId="6" type="noConversion"/>
  </si>
  <si>
    <t>생산 # 5-1 국내200U X21041</t>
    <phoneticPr fontId="6" type="noConversion"/>
  </si>
  <si>
    <t>생산 # 5-2 국내 200U X21042</t>
    <phoneticPr fontId="6" type="noConversion"/>
  </si>
  <si>
    <t>생산 # 5-6 태국 100U X21047(7월 선적)</t>
    <phoneticPr fontId="6" type="noConversion"/>
  </si>
  <si>
    <t>생산 # 5-6 미국용 100U x21050</t>
    <phoneticPr fontId="6" type="noConversion"/>
  </si>
  <si>
    <t>생산 # 국내 200U X21041, X21042</t>
    <phoneticPr fontId="6" type="noConversion"/>
  </si>
  <si>
    <t>일요일</t>
    <phoneticPr fontId="6" type="noConversion"/>
  </si>
  <si>
    <t>생산 # 5-1  국내용 100U X21039</t>
    <phoneticPr fontId="6" type="noConversion"/>
  </si>
  <si>
    <t>포장 # 5-1 국내용 100U X21039</t>
    <phoneticPr fontId="6" type="noConversion"/>
  </si>
  <si>
    <t>생산 # 5-2 국내용 100U X21040</t>
    <phoneticPr fontId="6" type="noConversion"/>
  </si>
  <si>
    <t>생산 # 5-4  국내용 100U X21046</t>
    <phoneticPr fontId="6" type="noConversion"/>
  </si>
  <si>
    <t>포장 # 5-2  국내용 100U X21040</t>
    <phoneticPr fontId="6" type="noConversion"/>
  </si>
  <si>
    <t>포장 # 5-4 국내용 100U X21046</t>
    <phoneticPr fontId="6" type="noConversion"/>
  </si>
  <si>
    <t>생산 # 5-8 멕시코 100U X21052(7월 선적)</t>
    <phoneticPr fontId="6" type="noConversion"/>
  </si>
  <si>
    <t>생산 # 5-7  멕시코 100U X21051(7월 선적)</t>
    <phoneticPr fontId="6" type="noConversion"/>
  </si>
  <si>
    <t>포장 # 4-2 국내용 100U(브라질용으로 사용) X21026A</t>
    <phoneticPr fontId="6" type="noConversion"/>
  </si>
  <si>
    <t>생산 # 4-6 베트남 X21035(6월 선적)</t>
    <phoneticPr fontId="6" type="noConversion"/>
  </si>
  <si>
    <t>생산 # 5-5 미국용 100U x21049</t>
    <phoneticPr fontId="6" type="noConversion"/>
  </si>
  <si>
    <t>생산 # 5-5 국내 200U X21045</t>
    <phoneticPr fontId="6" type="noConversion"/>
  </si>
  <si>
    <t>포장 # 5-5 미국용 100U x21049</t>
    <phoneticPr fontId="6" type="noConversion"/>
  </si>
  <si>
    <t>생산 # 5-10 태국 100U X21048(8월 선적)</t>
    <phoneticPr fontId="6" type="noConversion"/>
  </si>
  <si>
    <t>생산 # 3-9 태국 200U X21020(5월 선적)-&gt; 6월로 변경</t>
    <phoneticPr fontId="6" type="noConversion"/>
  </si>
  <si>
    <t>생산 # 4-5 태국 200U X21032(7월 선적)</t>
    <phoneticPr fontId="6" type="noConversion"/>
  </si>
  <si>
    <t>생산 # 5-3 태국 200U X21043(8월 선적)</t>
    <phoneticPr fontId="6" type="noConversion"/>
  </si>
  <si>
    <t>생산 # 6-3 국내 200U X21060</t>
    <phoneticPr fontId="6" type="noConversion"/>
  </si>
  <si>
    <t>생산 # 5-9 태국 100U X21048(8월 선적)</t>
    <phoneticPr fontId="6" type="noConversion"/>
  </si>
  <si>
    <t>생산 # 5-10 국내 200U X21057</t>
    <phoneticPr fontId="6" type="noConversion"/>
  </si>
  <si>
    <t>생산 # 3-6 국내용 100U X21019</t>
    <phoneticPr fontId="6" type="noConversion"/>
  </si>
  <si>
    <t>이물검사C #  X21030 / 종료</t>
    <phoneticPr fontId="6" type="noConversion"/>
  </si>
  <si>
    <t>이물검사C # X21031 / 종료</t>
    <phoneticPr fontId="6" type="noConversion"/>
  </si>
  <si>
    <t>이물검사C # X21036</t>
    <phoneticPr fontId="6" type="noConversion"/>
  </si>
  <si>
    <t>이물검사C # X21036 / 종료</t>
    <phoneticPr fontId="6" type="noConversion"/>
  </si>
  <si>
    <t>이물검사C # X21039</t>
    <phoneticPr fontId="6" type="noConversion"/>
  </si>
  <si>
    <t>이물검사C # X21039 / 종료</t>
    <phoneticPr fontId="6" type="noConversion"/>
  </si>
  <si>
    <t>이물검사C # X21040</t>
    <phoneticPr fontId="6" type="noConversion"/>
  </si>
  <si>
    <t>이물검사C # X21040 / 종료</t>
    <phoneticPr fontId="6" type="noConversion"/>
  </si>
  <si>
    <t>이물검사C # X21046</t>
    <phoneticPr fontId="6" type="noConversion"/>
  </si>
  <si>
    <t>이물검사C # X21046 / 종료</t>
    <phoneticPr fontId="6" type="noConversion"/>
  </si>
  <si>
    <t>이물검사C # X21049</t>
    <phoneticPr fontId="6" type="noConversion"/>
  </si>
  <si>
    <t>이물검사C # X21054</t>
    <phoneticPr fontId="6" type="noConversion"/>
  </si>
  <si>
    <t>생산 # 5-9  국내용 100U X21056</t>
    <phoneticPr fontId="6" type="noConversion"/>
  </si>
  <si>
    <t>포장 # 4-5 국내용 100U(브라질용으로 사용) X21025</t>
    <phoneticPr fontId="6" type="noConversion"/>
  </si>
  <si>
    <t>생산 # 5-3 200U 시생산#1(기술이전) Z21001</t>
    <phoneticPr fontId="6" type="noConversion"/>
  </si>
  <si>
    <t>이물검사C #200U기술이전 Z21001</t>
    <phoneticPr fontId="6" type="noConversion"/>
  </si>
  <si>
    <t>생산 # 5-7  국내용 100U X21054</t>
    <phoneticPr fontId="6" type="noConversion"/>
  </si>
  <si>
    <t>포장 # 5-7  국내용 100U X21054</t>
    <phoneticPr fontId="6" type="noConversion"/>
  </si>
  <si>
    <t>포장 # 5-6 미국용 100U x21050</t>
    <phoneticPr fontId="6" type="noConversion"/>
  </si>
  <si>
    <t>생산 # 5-8 국내용 100U X21055</t>
    <phoneticPr fontId="6" type="noConversion"/>
  </si>
  <si>
    <t>포장 # 5-9  국내용 100U X21056</t>
    <phoneticPr fontId="6" type="noConversion"/>
  </si>
  <si>
    <t>포장 # 5-8 국내용 100U X21055</t>
    <phoneticPr fontId="6" type="noConversion"/>
  </si>
  <si>
    <t>포장 # 4-2 국내용 100U(브라질용 남은 수량 포장) X21026C</t>
    <phoneticPr fontId="6" type="noConversion"/>
  </si>
  <si>
    <t xml:space="preserve"> </t>
    <phoneticPr fontId="6" type="noConversion"/>
  </si>
  <si>
    <t>생산 # 6-2 국내 200U X21059</t>
    <phoneticPr fontId="6" type="noConversion"/>
  </si>
  <si>
    <t>생산 # 6-1 국내 200U X21058</t>
    <phoneticPr fontId="6" type="noConversion"/>
  </si>
  <si>
    <t>생산 # 5-11 멕시코 100U X21053(7월 선적)</t>
    <phoneticPr fontId="6" type="noConversion"/>
  </si>
  <si>
    <t>생산 # 4-9 국내용 100U X21036</t>
    <phoneticPr fontId="6" type="noConversion"/>
  </si>
  <si>
    <t>포장 # 4-9 국내용 100U X21036</t>
    <phoneticPr fontId="6" type="noConversion"/>
  </si>
  <si>
    <t>생산 # 6-1 미국용 100단위 X21062</t>
    <phoneticPr fontId="6" type="noConversion"/>
  </si>
  <si>
    <t>생산 # 6-2 미국용 100단위 X21063</t>
    <phoneticPr fontId="6" type="noConversion"/>
  </si>
  <si>
    <t>이물검사C # X21049 / 완료</t>
    <phoneticPr fontId="6" type="noConversion"/>
  </si>
  <si>
    <t>이물검사C # X21055</t>
    <phoneticPr fontId="6" type="noConversion"/>
  </si>
  <si>
    <t>이물검사C # X21055 / 종료</t>
    <phoneticPr fontId="6" type="noConversion"/>
  </si>
  <si>
    <t>이물검사C # 미국 X21050</t>
    <phoneticPr fontId="6" type="noConversion"/>
  </si>
  <si>
    <t>이물검사C # 미국 X21050 / 종료</t>
    <phoneticPr fontId="6" type="noConversion"/>
  </si>
  <si>
    <t>생산 # 5-10 QC 표준품(PR-DP) X21061</t>
    <phoneticPr fontId="6" type="noConversion"/>
  </si>
  <si>
    <t>이물검사C # 표준품 X21061</t>
    <phoneticPr fontId="6" type="noConversion"/>
  </si>
  <si>
    <t>이물검사C # 표준품 X21061 / 종료</t>
    <phoneticPr fontId="6" type="noConversion"/>
  </si>
  <si>
    <t>생산 # 6-4 멕시코 100U(8월) X21065</t>
    <phoneticPr fontId="6" type="noConversion"/>
  </si>
  <si>
    <t>생산 # UAE 100U(8월) X21066</t>
    <phoneticPr fontId="6" type="noConversion"/>
  </si>
  <si>
    <t>생산 # 6-6 UAE 100U(8월) X21067</t>
    <phoneticPr fontId="6" type="noConversion"/>
  </si>
  <si>
    <t>목요일</t>
    <phoneticPr fontId="6" type="noConversion"/>
  </si>
  <si>
    <t>이물검사C #미국 X21068</t>
    <phoneticPr fontId="6" type="noConversion"/>
  </si>
  <si>
    <t>이물검사C #미국 X21068 / 종료</t>
    <phoneticPr fontId="6" type="noConversion"/>
  </si>
  <si>
    <t>생산 # 6-2 미국용 100단위 X21068</t>
    <phoneticPr fontId="6" type="noConversion"/>
  </si>
  <si>
    <t>생산 # 6-3 수출용 002B 제품 X21064</t>
    <phoneticPr fontId="6" type="noConversion"/>
  </si>
  <si>
    <t>이물검사C #002B X21064</t>
    <phoneticPr fontId="6" type="noConversion"/>
  </si>
  <si>
    <t>이물검사C #002B X21064 /종료</t>
    <phoneticPr fontId="6" type="noConversion"/>
  </si>
  <si>
    <t>이물검사C #6-6</t>
    <phoneticPr fontId="6" type="noConversion"/>
  </si>
  <si>
    <t>이물검사C #200U기술이전 Z21001 / 종료</t>
    <phoneticPr fontId="6" type="noConversion"/>
  </si>
  <si>
    <t>생산 # 8-2 국내용 100단위</t>
    <phoneticPr fontId="6" type="noConversion"/>
  </si>
  <si>
    <t>생산 # 8-3 국내용 100단위</t>
    <phoneticPr fontId="6" type="noConversion"/>
  </si>
  <si>
    <t>생산 # 8-4 미국용 100단위</t>
    <phoneticPr fontId="6" type="noConversion"/>
  </si>
  <si>
    <t>이물검사C # X21056 / 종료</t>
    <phoneticPr fontId="6" type="noConversion"/>
  </si>
  <si>
    <t>이물검사C # X21056</t>
    <phoneticPr fontId="6" type="noConversion"/>
  </si>
  <si>
    <t>이물검사C # X21062</t>
    <phoneticPr fontId="6" type="noConversion"/>
  </si>
  <si>
    <t>이물검사C # X21062 / 종료</t>
    <phoneticPr fontId="6" type="noConversion"/>
  </si>
  <si>
    <t>생산 # 6-1 미국용 100단위 X21062</t>
    <phoneticPr fontId="6" type="noConversion"/>
  </si>
  <si>
    <t>생산 # 6-2 미국용 100단위 X21068</t>
    <phoneticPr fontId="6" type="noConversion"/>
  </si>
  <si>
    <t>생산 # 6-3 대만용 100단위 X21064A</t>
    <phoneticPr fontId="6" type="noConversion"/>
  </si>
  <si>
    <t>생산 # 6-4 국내용 100단위 X21069</t>
    <phoneticPr fontId="6" type="noConversion"/>
  </si>
  <si>
    <t>생산 # 6-5 국내용 100단위 X21070</t>
    <phoneticPr fontId="6" type="noConversion"/>
  </si>
  <si>
    <t>생산 # 6-6 국내용 100단위 X21071</t>
    <phoneticPr fontId="6" type="noConversion"/>
  </si>
  <si>
    <t>생산 # 8-1 국내용 100단위</t>
    <phoneticPr fontId="6" type="noConversion"/>
  </si>
  <si>
    <t>생산 # 8-5 미국용 100단위</t>
    <phoneticPr fontId="6" type="noConversion"/>
  </si>
  <si>
    <r>
      <t>공장 물</t>
    </r>
    <r>
      <rPr>
        <sz val="11"/>
        <color rgb="FF000000"/>
        <rFont val="맑은 고딕"/>
        <family val="2"/>
      </rPr>
      <t xml:space="preserve"> 공급 중단(공단 폐수처리장 공사)</t>
    </r>
    <phoneticPr fontId="6" type="noConversion"/>
  </si>
  <si>
    <t>생산 # 6-7  국내 200U X21073</t>
    <phoneticPr fontId="6" type="noConversion"/>
  </si>
  <si>
    <t>생산 # 6-8 국내 200U X21074</t>
    <phoneticPr fontId="6" type="noConversion"/>
  </si>
  <si>
    <t>생산 # 6-9 멕시코 100U(8월) X21072</t>
    <phoneticPr fontId="6" type="noConversion"/>
  </si>
  <si>
    <t>생산 # 터키 100U X21067A</t>
    <phoneticPr fontId="6" type="noConversion"/>
  </si>
  <si>
    <t>생산 # 6-6 UAE 100U(8월) X21067C</t>
    <phoneticPr fontId="6" type="noConversion"/>
  </si>
  <si>
    <t>포장#국내 200U X21058, X21059</t>
    <phoneticPr fontId="6" type="noConversion"/>
  </si>
  <si>
    <t>포장#국내 200U X21060,X21073</t>
    <phoneticPr fontId="6" type="noConversion"/>
  </si>
  <si>
    <t>포장 # 6-8 국내 200U X21074</t>
    <phoneticPr fontId="6" type="noConversion"/>
  </si>
  <si>
    <t>생산 # 5-8 멕시코 100U X21051(7월 선적)</t>
    <phoneticPr fontId="6" type="noConversion"/>
  </si>
  <si>
    <t>생산 # 5-9 멕시코 100U X21052(7월 선적)</t>
    <phoneticPr fontId="6" type="noConversion"/>
  </si>
  <si>
    <t>포장  #국내 200U X21045</t>
    <phoneticPr fontId="6" type="noConversion"/>
  </si>
  <si>
    <t>포장  #국내 200U X21057</t>
    <phoneticPr fontId="6" type="noConversion"/>
  </si>
  <si>
    <t>생산 # 5-4 태국 200U X21044(9월 선적)</t>
    <phoneticPr fontId="6" type="noConversion"/>
  </si>
  <si>
    <t>C동 메디아필 2차</t>
    <phoneticPr fontId="6" type="noConversion"/>
  </si>
  <si>
    <t>C동 메디아필 3차</t>
    <phoneticPr fontId="6" type="noConversion"/>
  </si>
  <si>
    <t>C동 메디아필 1차</t>
    <phoneticPr fontId="6" type="noConversion"/>
  </si>
  <si>
    <r>
      <t xml:space="preserve">A동 메디아필 </t>
    </r>
    <r>
      <rPr>
        <b/>
        <sz val="10"/>
        <color rgb="FF000000"/>
        <rFont val="맑은 고딕"/>
        <family val="3"/>
        <charset val="129"/>
      </rPr>
      <t>1차</t>
    </r>
    <phoneticPr fontId="6" type="noConversion"/>
  </si>
  <si>
    <r>
      <t xml:space="preserve">A동 메디아필 </t>
    </r>
    <r>
      <rPr>
        <b/>
        <sz val="10"/>
        <color rgb="FF000000"/>
        <rFont val="맑은 고딕"/>
        <family val="3"/>
        <charset val="129"/>
      </rPr>
      <t>2차</t>
    </r>
    <phoneticPr fontId="6" type="noConversion"/>
  </si>
  <si>
    <r>
      <t xml:space="preserve">A동 메디아필 </t>
    </r>
    <r>
      <rPr>
        <b/>
        <sz val="10"/>
        <color rgb="FF000000"/>
        <rFont val="맑은 고딕"/>
        <family val="3"/>
        <charset val="129"/>
      </rPr>
      <t>3차</t>
    </r>
    <phoneticPr fontId="6" type="noConversion"/>
  </si>
  <si>
    <t>생산 # 멕시코 X21065, X21072(8월)</t>
    <phoneticPr fontId="6" type="noConversion"/>
  </si>
  <si>
    <t>대체공휴일</t>
    <phoneticPr fontId="6" type="noConversion"/>
  </si>
  <si>
    <t>생산 # 5-10 멕시코 100U(7월 선적) X21053</t>
    <phoneticPr fontId="6" type="noConversion"/>
  </si>
  <si>
    <t>이물검사C #11-6 / 종료</t>
    <phoneticPr fontId="6" type="noConversion"/>
  </si>
  <si>
    <t>이물검사C #11-8 / 종료</t>
    <phoneticPr fontId="6" type="noConversion"/>
  </si>
  <si>
    <t>`</t>
    <phoneticPr fontId="6" type="noConversion"/>
  </si>
  <si>
    <t>대체 공휴일</t>
    <phoneticPr fontId="6" type="noConversion"/>
  </si>
  <si>
    <t>대체 공휴일</t>
    <phoneticPr fontId="6" type="noConversion"/>
  </si>
  <si>
    <t>이물검사C #10-3</t>
    <phoneticPr fontId="6" type="noConversion"/>
  </si>
  <si>
    <t>이물검사C #10-4</t>
    <phoneticPr fontId="6" type="noConversion"/>
  </si>
  <si>
    <t>이물검사C #10-5</t>
    <phoneticPr fontId="6" type="noConversion"/>
  </si>
  <si>
    <t>이물검사C #11-1 / 종료</t>
    <phoneticPr fontId="6" type="noConversion"/>
  </si>
  <si>
    <t>이물검사C #11-2</t>
    <phoneticPr fontId="6" type="noConversion"/>
  </si>
  <si>
    <t>이물검사C #11-5</t>
    <phoneticPr fontId="6" type="noConversion"/>
  </si>
  <si>
    <t>이물검사C #11-9</t>
    <phoneticPr fontId="6" type="noConversion"/>
  </si>
  <si>
    <t>이물검사C #12-5 / 종료</t>
    <phoneticPr fontId="6" type="noConversion"/>
  </si>
  <si>
    <t>이물검사C #12-6</t>
    <phoneticPr fontId="6" type="noConversion"/>
  </si>
  <si>
    <t>이물검사C #12-6 / 종료</t>
    <phoneticPr fontId="6" type="noConversion"/>
  </si>
  <si>
    <t>생산 # 8-1 국내 200U</t>
    <phoneticPr fontId="6" type="noConversion"/>
  </si>
  <si>
    <t>생산 # 8-2 국내 200U</t>
    <phoneticPr fontId="6" type="noConversion"/>
  </si>
  <si>
    <t>생산 # 8-3 국내 200U</t>
    <phoneticPr fontId="6" type="noConversion"/>
  </si>
  <si>
    <t>생산 # 8-4 테국 200U(10월 선적)</t>
    <phoneticPr fontId="6" type="noConversion"/>
  </si>
  <si>
    <t>생산 # 8-1 국내 200U X21075</t>
    <phoneticPr fontId="6" type="noConversion"/>
  </si>
  <si>
    <t>생산 # 8-2 태국 200U X21076(10월 선적)</t>
    <phoneticPr fontId="6" type="noConversion"/>
  </si>
  <si>
    <t>생산 # 8-3 국내 200U X21077</t>
    <phoneticPr fontId="6" type="noConversion"/>
  </si>
  <si>
    <t>생산 # 8-4 국내 200U X21078</t>
    <phoneticPr fontId="6" type="noConversion"/>
  </si>
  <si>
    <t>생산 # 8-5 국내 200U X21079</t>
    <phoneticPr fontId="6" type="noConversion"/>
  </si>
  <si>
    <t>생산 # 8-6 국내 200U X21080</t>
    <phoneticPr fontId="6" type="noConversion"/>
  </si>
  <si>
    <t>생산 # 9-1 국내 200단위 X21081</t>
    <phoneticPr fontId="6" type="noConversion"/>
  </si>
  <si>
    <t>포장 # 국내 200U X21075</t>
    <phoneticPr fontId="6" type="noConversion"/>
  </si>
  <si>
    <t>포장 # 국내 200U X21077, X21078</t>
    <phoneticPr fontId="6" type="noConversion"/>
  </si>
  <si>
    <t>생산 # 8-1 국내용 100단위 X21083</t>
    <phoneticPr fontId="6" type="noConversion"/>
  </si>
  <si>
    <t>생산 # 9-1 미국용 100단위 X21084</t>
    <phoneticPr fontId="6" type="noConversion"/>
  </si>
  <si>
    <t>생산 # 9-3 국내 200단위 X21087</t>
    <phoneticPr fontId="6" type="noConversion"/>
  </si>
  <si>
    <t>생산 # 9-4 국내 200단위 X21088</t>
    <phoneticPr fontId="6" type="noConversion"/>
  </si>
  <si>
    <t>생산 # 9-5 국내 200단위 X21089</t>
    <phoneticPr fontId="6" type="noConversion"/>
  </si>
  <si>
    <t>포장 # 9-1 미국용 100단위 X21084</t>
    <phoneticPr fontId="6" type="noConversion"/>
  </si>
  <si>
    <t>포장 # 국내 200U X21079</t>
    <phoneticPr fontId="6" type="noConversion"/>
  </si>
  <si>
    <t>포장 # 국내 200U X21081</t>
    <phoneticPr fontId="6" type="noConversion"/>
  </si>
  <si>
    <t>생산 # 9-6 국내 200단위 X21092</t>
    <phoneticPr fontId="6" type="noConversion"/>
  </si>
  <si>
    <t>생산 # 9-7 국내 200단위 X21093</t>
    <phoneticPr fontId="6" type="noConversion"/>
  </si>
  <si>
    <t>생산 # 9-2 국내 200단위 X21082 - 동결건조기 이슈로 생산 공정 중단</t>
    <phoneticPr fontId="6" type="noConversion"/>
  </si>
  <si>
    <t>생산 # 9-2  미국용 100단위 X21085</t>
    <phoneticPr fontId="6" type="noConversion"/>
  </si>
  <si>
    <t>포장 # 미국용 100단위 9-2 X21085</t>
    <phoneticPr fontId="6" type="noConversion"/>
  </si>
  <si>
    <t>생산 # 9-5 국내용 100단위 X21091</t>
    <phoneticPr fontId="6" type="noConversion"/>
  </si>
  <si>
    <t>포장 # 9-5 국내용 100단위 X21091</t>
    <phoneticPr fontId="6" type="noConversion"/>
  </si>
  <si>
    <t>포장 # 9-3 브라질용 100단위 X21086</t>
    <phoneticPr fontId="6" type="noConversion"/>
  </si>
  <si>
    <t>생산 # 8-1 국내 200U X21075</t>
    <phoneticPr fontId="6" type="noConversion"/>
  </si>
  <si>
    <t>생산 # 8-2 태국 200U X21076(10월 선적)</t>
    <phoneticPr fontId="6" type="noConversion"/>
  </si>
  <si>
    <t>이물C # 미국용 100단위 X21084</t>
    <phoneticPr fontId="6" type="noConversion"/>
  </si>
  <si>
    <t>이물C # 미국용 100단위 X21085</t>
    <phoneticPr fontId="6" type="noConversion"/>
  </si>
  <si>
    <t>생산 # 9-3 국내용 100단위(브라질로 사용) X21086</t>
    <phoneticPr fontId="6" type="noConversion"/>
  </si>
  <si>
    <t>이물C # 브라질 100단위 X21086</t>
    <phoneticPr fontId="6" type="noConversion"/>
  </si>
  <si>
    <t>생산 # 9-4 국내용 100단위 X21090</t>
    <phoneticPr fontId="6" type="noConversion"/>
  </si>
  <si>
    <t>이물C # 국내용 100단위 X21090</t>
    <phoneticPr fontId="6" type="noConversion"/>
  </si>
  <si>
    <t>이물C # 국내용 100단위 X21091</t>
    <phoneticPr fontId="6" type="noConversion"/>
  </si>
  <si>
    <t>생산 # 10-2 국내 200단위</t>
    <phoneticPr fontId="6" type="noConversion"/>
  </si>
  <si>
    <t>생산 # 10-3  국내 200단위</t>
    <phoneticPr fontId="6" type="noConversion"/>
  </si>
  <si>
    <t>이물 # 8-1 국내용 100단위 X21083</t>
    <phoneticPr fontId="6" type="noConversion"/>
  </si>
  <si>
    <t>이물 # 8-1 국내용 100단위 X21083</t>
    <phoneticPr fontId="6" type="noConversion"/>
  </si>
  <si>
    <t>이물 # 8-3 국내 200U X21077</t>
    <phoneticPr fontId="6" type="noConversion"/>
  </si>
  <si>
    <t>이물 # 8-4 국내 200U X21078</t>
    <phoneticPr fontId="6" type="noConversion"/>
  </si>
  <si>
    <t>이물 # 8-5 국내 200U X21079</t>
  </si>
  <si>
    <t>이물 # 9-1 국내 200단위 X21081</t>
  </si>
  <si>
    <t>이물 # 9-3 국내 200단위 X21087</t>
  </si>
  <si>
    <t>이물 # 9-4 국내 200단위 X21088</t>
  </si>
  <si>
    <t>이물 # 9-5 국내 200단위 X21089</t>
  </si>
  <si>
    <t>이물 # 9-6 국내 200단위 X21092</t>
    <phoneticPr fontId="6" type="noConversion"/>
  </si>
  <si>
    <t>이물 # 9-7 국내 200단위 X21093</t>
    <phoneticPr fontId="6" type="noConversion"/>
  </si>
  <si>
    <t>이물 # 9-8 국내 200단위 X21094</t>
  </si>
  <si>
    <t>이물 # 9-9 태국 100단위(11월 선적)</t>
  </si>
  <si>
    <t>이물 # 9-10  태국 200단위(11월 선적)</t>
  </si>
  <si>
    <t>이물 # 9-11 UAE 100단위</t>
  </si>
  <si>
    <t>이물 # 9-12  태국 100단위(12월 선적)</t>
  </si>
  <si>
    <t>이물 # 10-1 태국 200단위(12월 선적)</t>
  </si>
  <si>
    <t>생산 # 9-11 국내 200단위 X21099</t>
    <phoneticPr fontId="6" type="noConversion"/>
  </si>
  <si>
    <t>생산 # 9-12  국내 200단위 X21100</t>
    <phoneticPr fontId="6" type="noConversion"/>
  </si>
  <si>
    <t>생산 # 9-8 국내 200단위 X21094</t>
    <phoneticPr fontId="6" type="noConversion"/>
  </si>
  <si>
    <t>이물검사C #9-6 미국용 100단위 X21096</t>
    <phoneticPr fontId="6" type="noConversion"/>
  </si>
  <si>
    <t>이물검사C # 국내용 100단위 X21097</t>
    <phoneticPr fontId="6" type="noConversion"/>
  </si>
  <si>
    <t>이물검사C # 미국용 100단위 X21096</t>
    <phoneticPr fontId="6" type="noConversion"/>
  </si>
  <si>
    <t>`</t>
    <phoneticPr fontId="6" type="noConversion"/>
  </si>
  <si>
    <t>생산 # 9-9  국내 200단위 X21098</t>
    <phoneticPr fontId="6" type="noConversion"/>
  </si>
  <si>
    <t>생산 # 9-10 UAE 100단위 X21095</t>
    <phoneticPr fontId="6" type="noConversion"/>
  </si>
  <si>
    <t>9-4 국내용 100단위 X21090A</t>
    <phoneticPr fontId="6" type="noConversion"/>
  </si>
  <si>
    <t>생산 # 10-1 국내 100U X21101</t>
    <phoneticPr fontId="6" type="noConversion"/>
  </si>
  <si>
    <t>생산 # 10-2  국내 100U X21102</t>
    <phoneticPr fontId="6" type="noConversion"/>
  </si>
  <si>
    <t>생산 # 10-3 국내 100U X21103</t>
    <phoneticPr fontId="6" type="noConversion"/>
  </si>
  <si>
    <t>이물검사C #9-6 미국용 100단위 X21096</t>
    <phoneticPr fontId="6" type="noConversion"/>
  </si>
  <si>
    <t>국내 200단위 X21087, X21088</t>
    <phoneticPr fontId="6" type="noConversion"/>
  </si>
  <si>
    <t>국내 200단위 X21089, X21092</t>
    <phoneticPr fontId="6" type="noConversion"/>
  </si>
  <si>
    <t># 국내 200단위 X21098, X21080</t>
    <phoneticPr fontId="6" type="noConversion"/>
  </si>
  <si>
    <t>생산 # 200U TEST 생산(자재는 사용X, 원료/원액 사용O)</t>
    <phoneticPr fontId="6" type="noConversion"/>
  </si>
  <si>
    <t>이물검사C # 국내용 100단위 X21101</t>
    <phoneticPr fontId="6" type="noConversion"/>
  </si>
  <si>
    <t>이물검사C # 국내용 100단위 X21102</t>
    <phoneticPr fontId="6" type="noConversion"/>
  </si>
  <si>
    <t>이물검사C # 국내용 100단위 X21103</t>
    <phoneticPr fontId="6" type="noConversion"/>
  </si>
  <si>
    <t>생산 # 9-7 국내용 100단위 X21097</t>
    <phoneticPr fontId="6" type="noConversion"/>
  </si>
  <si>
    <t>포장 # 9-7 국내용 100단위 X21097</t>
    <phoneticPr fontId="6" type="noConversion"/>
  </si>
  <si>
    <t>생산 # 9-6 미국용 100단위 X21096</t>
    <phoneticPr fontId="6" type="noConversion"/>
  </si>
  <si>
    <t>포장 # 9-6  미국용 100단위 X21096</t>
    <phoneticPr fontId="6" type="noConversion"/>
  </si>
  <si>
    <t>포장 # 10-1 국내 100U X21101</t>
    <phoneticPr fontId="6" type="noConversion"/>
  </si>
  <si>
    <t>포장 # 10-2 국내 100U X21102</t>
    <phoneticPr fontId="6" type="noConversion"/>
  </si>
  <si>
    <t>포장 # 10-3 국내 100U X21103</t>
    <phoneticPr fontId="6" type="noConversion"/>
  </si>
  <si>
    <t>생산 # 9-7 국내용 100단위 X21097</t>
    <phoneticPr fontId="6" type="noConversion"/>
  </si>
  <si>
    <t>생산#10-4  국내 200단위 X21109</t>
    <phoneticPr fontId="6" type="noConversion"/>
  </si>
  <si>
    <t>생산#10-5  국내 200단위 X21110</t>
    <phoneticPr fontId="6" type="noConversion"/>
  </si>
  <si>
    <t>생산#10-6  국내 200단위 X21111</t>
    <phoneticPr fontId="6" type="noConversion"/>
  </si>
  <si>
    <t>생산#10-1 국내 200단위 X21104</t>
    <phoneticPr fontId="6" type="noConversion"/>
  </si>
  <si>
    <t>생산#10-2 국내 200단위 X21105</t>
    <phoneticPr fontId="6" type="noConversion"/>
  </si>
  <si>
    <t>생산#10-3  국내 200단위 X21106</t>
    <phoneticPr fontId="6" type="noConversion"/>
  </si>
  <si>
    <t>생산 # 10-5 국내 100U X21108</t>
    <phoneticPr fontId="6" type="noConversion"/>
  </si>
  <si>
    <t>국내 200단위 X21093, X21094</t>
    <phoneticPr fontId="6" type="noConversion"/>
  </si>
  <si>
    <t>이물검사C #10-10</t>
    <phoneticPr fontId="6" type="noConversion"/>
  </si>
  <si>
    <t>이물검사C #10-10 / 종료</t>
    <phoneticPr fontId="6" type="noConversion"/>
  </si>
  <si>
    <t>이물검사C #11-1</t>
    <phoneticPr fontId="6" type="noConversion"/>
  </si>
  <si>
    <t>이물검사C #11-3</t>
    <phoneticPr fontId="6" type="noConversion"/>
  </si>
  <si>
    <t>이물검사C #11-3</t>
    <phoneticPr fontId="6" type="noConversion"/>
  </si>
  <si>
    <t>이물검사C #11-3 / 종료</t>
    <phoneticPr fontId="6" type="noConversion"/>
  </si>
  <si>
    <t>이물검사C #11-4</t>
    <phoneticPr fontId="6" type="noConversion"/>
  </si>
  <si>
    <t>이물검사C #11-4 / 종료</t>
    <phoneticPr fontId="6" type="noConversion"/>
  </si>
  <si>
    <t>이물검사C #11-5 / 종료</t>
    <phoneticPr fontId="6" type="noConversion"/>
  </si>
  <si>
    <t>이물검사C #11-6</t>
    <phoneticPr fontId="6" type="noConversion"/>
  </si>
  <si>
    <t>이물검사C #11-7</t>
    <phoneticPr fontId="6" type="noConversion"/>
  </si>
  <si>
    <t>이물검사C #11-7</t>
    <phoneticPr fontId="6" type="noConversion"/>
  </si>
  <si>
    <t>이물검사C #11-7 / 종료</t>
    <phoneticPr fontId="6" type="noConversion"/>
  </si>
  <si>
    <t>이물검사C #11-8</t>
    <phoneticPr fontId="6" type="noConversion"/>
  </si>
  <si>
    <t>이물검사C #11-9</t>
    <phoneticPr fontId="6" type="noConversion"/>
  </si>
  <si>
    <t>이물검사C #11-9 / 종료</t>
    <phoneticPr fontId="6" type="noConversion"/>
  </si>
  <si>
    <t>이물검사C #11-10</t>
    <phoneticPr fontId="6" type="noConversion"/>
  </si>
  <si>
    <t>이물검사C #11-10 / 종료</t>
    <phoneticPr fontId="6" type="noConversion"/>
  </si>
  <si>
    <t>이물검사C #11-11</t>
    <phoneticPr fontId="6" type="noConversion"/>
  </si>
  <si>
    <t>이물검사C #11-11</t>
    <phoneticPr fontId="6" type="noConversion"/>
  </si>
  <si>
    <t>이물검사C #11-11 / 종료</t>
    <phoneticPr fontId="6" type="noConversion"/>
  </si>
  <si>
    <t>이물검사C #11-12</t>
    <phoneticPr fontId="6" type="noConversion"/>
  </si>
  <si>
    <t>이물검사C #11-12 / 종료</t>
    <phoneticPr fontId="6" type="noConversion"/>
  </si>
  <si>
    <t>이물검사C #12-1</t>
    <phoneticPr fontId="6" type="noConversion"/>
  </si>
  <si>
    <t>이물검사C #12-1</t>
    <phoneticPr fontId="6" type="noConversion"/>
  </si>
  <si>
    <t>이물검사C #12-1 / 종료</t>
    <phoneticPr fontId="6" type="noConversion"/>
  </si>
  <si>
    <t>이물검사C #12-2</t>
    <phoneticPr fontId="6" type="noConversion"/>
  </si>
  <si>
    <t>이물검사C #12-2 / 종료</t>
    <phoneticPr fontId="6" type="noConversion"/>
  </si>
  <si>
    <t>이물검사C #12-3</t>
    <phoneticPr fontId="6" type="noConversion"/>
  </si>
  <si>
    <t>이물검사C #12-3</t>
    <phoneticPr fontId="6" type="noConversion"/>
  </si>
  <si>
    <t>이물검사C #12-3 / 종료</t>
    <phoneticPr fontId="6" type="noConversion"/>
  </si>
  <si>
    <t>이물검사C #12-4</t>
    <phoneticPr fontId="6" type="noConversion"/>
  </si>
  <si>
    <t>이물검사C #12-4 / 종료</t>
    <phoneticPr fontId="6" type="noConversion"/>
  </si>
  <si>
    <t>이물검사C #12-5</t>
    <phoneticPr fontId="6" type="noConversion"/>
  </si>
  <si>
    <t>이물검사C #12-5</t>
    <phoneticPr fontId="6" type="noConversion"/>
  </si>
  <si>
    <t>이물검사C #12-7</t>
    <phoneticPr fontId="6" type="noConversion"/>
  </si>
  <si>
    <t>이물검사C #12-7 / 종료</t>
    <phoneticPr fontId="6" type="noConversion"/>
  </si>
  <si>
    <t>이물검사C #12-8</t>
    <phoneticPr fontId="6" type="noConversion"/>
  </si>
  <si>
    <t>이물검사C #12-8 / 종료</t>
    <phoneticPr fontId="6" type="noConversion"/>
  </si>
  <si>
    <r>
      <t>2</t>
    </r>
    <r>
      <rPr>
        <sz val="11"/>
        <color rgb="FF4270C3"/>
        <rFont val="맑은 고딕"/>
        <family val="2"/>
      </rPr>
      <t>022-03-01</t>
    </r>
    <phoneticPr fontId="6" type="noConversion"/>
  </si>
  <si>
    <t>생산 # 10-7 국내 200단위 X21112</t>
    <phoneticPr fontId="6" type="noConversion"/>
  </si>
  <si>
    <t>생산 # 10-8  국내 200단위 X21113</t>
    <phoneticPr fontId="6" type="noConversion"/>
  </si>
  <si>
    <t>생산 # 10-9  국내 200단위 X21114</t>
    <phoneticPr fontId="6" type="noConversion"/>
  </si>
  <si>
    <t>생산 # 10-10  국내 200단위 X21117</t>
    <phoneticPr fontId="6" type="noConversion"/>
  </si>
  <si>
    <t>생산 # 10-11  국내 200단위 X21118</t>
    <phoneticPr fontId="6" type="noConversion"/>
  </si>
  <si>
    <t>생산 # 10-12  국내 200단위 X21119</t>
    <phoneticPr fontId="6" type="noConversion"/>
  </si>
  <si>
    <t>포장 # 200단위 X21099, X21100</t>
    <phoneticPr fontId="6" type="noConversion"/>
  </si>
  <si>
    <t>포장 # 파나마 X21064C</t>
    <phoneticPr fontId="6" type="noConversion"/>
  </si>
  <si>
    <t>포장 # 10-5 국내 100U X21108</t>
    <phoneticPr fontId="6" type="noConversion"/>
  </si>
  <si>
    <t>생산 # 10-6 미국용 100단위 X21115</t>
    <phoneticPr fontId="6" type="noConversion"/>
  </si>
  <si>
    <t>포장 # 10-6 미국용 100단위 X21115</t>
    <phoneticPr fontId="6" type="noConversion"/>
  </si>
  <si>
    <t>생산 # 10-7 미국용 100단위 X21116</t>
    <phoneticPr fontId="6" type="noConversion"/>
  </si>
  <si>
    <t>포장 # 10-7  미국용 100단위 X21116</t>
    <phoneticPr fontId="6" type="noConversion"/>
  </si>
  <si>
    <t>생산 # 10-4 브라질 100단위 X21107</t>
    <phoneticPr fontId="6" type="noConversion"/>
  </si>
  <si>
    <t>생산 # 10-9 미국용 100U X21121</t>
    <phoneticPr fontId="6" type="noConversion"/>
  </si>
  <si>
    <t>포장 #10-9 미국용 100U X21121</t>
    <phoneticPr fontId="6" type="noConversion"/>
  </si>
  <si>
    <t>포장 # 10-10 미국용 100U X21122</t>
    <phoneticPr fontId="6" type="noConversion"/>
  </si>
  <si>
    <t>포장 # 200단위 X21104, X21105</t>
    <phoneticPr fontId="6" type="noConversion"/>
  </si>
  <si>
    <t>포장 # 9-10 UAE 100단위 X21095</t>
    <phoneticPr fontId="6" type="noConversion"/>
  </si>
  <si>
    <t>포장 자재 입고 일정에 따라 포장 일자 변경 될 수 있습니다. 
11월의 경우, 터키 PO 수령에 따라 A동 생산 배치가 변경될 수 있습니다.</t>
    <phoneticPr fontId="6" type="noConversion"/>
  </si>
  <si>
    <t>생산 # 11-1 200U 기술이전 - 오더없이 생산</t>
    <phoneticPr fontId="6" type="noConversion"/>
  </si>
  <si>
    <t>포장 # 200단위 X21113, X21114</t>
    <phoneticPr fontId="6" type="noConversion"/>
  </si>
  <si>
    <t>10-7 미국용 100단위 X21116</t>
    <phoneticPr fontId="6" type="noConversion"/>
  </si>
  <si>
    <t>10-7 미국용 100단위 X21116 /종료</t>
    <phoneticPr fontId="6" type="noConversion"/>
  </si>
  <si>
    <t>10-8 국내, 브라질 100U X21120</t>
    <phoneticPr fontId="6" type="noConversion"/>
  </si>
  <si>
    <t xml:space="preserve"> </t>
    <phoneticPr fontId="6" type="noConversion"/>
  </si>
  <si>
    <t>생산 # 10-10 미국용 100U X21122</t>
    <phoneticPr fontId="6" type="noConversion"/>
  </si>
  <si>
    <t>10-10 미국용 100U X21122</t>
    <phoneticPr fontId="6" type="noConversion"/>
  </si>
  <si>
    <t>10-10 미국용 100U X21122</t>
    <phoneticPr fontId="6" type="noConversion"/>
  </si>
  <si>
    <t>10-10 미국용 100U X21122</t>
    <phoneticPr fontId="6" type="noConversion"/>
  </si>
  <si>
    <t>10-9 미국용 100U X21121</t>
    <phoneticPr fontId="6" type="noConversion"/>
  </si>
  <si>
    <t>10-9 미국용 100U X21121/종료</t>
    <phoneticPr fontId="6" type="noConversion"/>
  </si>
  <si>
    <t>포장 # 외안각주름 4상 X21090C, 21078</t>
    <phoneticPr fontId="6" type="noConversion"/>
  </si>
  <si>
    <t>포장 # 200단위 X21106, X21117</t>
    <phoneticPr fontId="6" type="noConversion"/>
  </si>
  <si>
    <t>포장 # 200단위 X21118, X21119</t>
    <phoneticPr fontId="6" type="noConversion"/>
  </si>
  <si>
    <t>포장 # 200단위 X21123, X21124</t>
    <phoneticPr fontId="6" type="noConversion"/>
  </si>
  <si>
    <t>생산 # 11-2 국내용 100단위 X21125</t>
    <phoneticPr fontId="6" type="noConversion"/>
  </si>
  <si>
    <t>생산 # 11-3 국내용 100단위 X21126</t>
    <phoneticPr fontId="6" type="noConversion"/>
  </si>
  <si>
    <t>생산 # 11-4 국내용 100단위 X21127</t>
    <phoneticPr fontId="6" type="noConversion"/>
  </si>
  <si>
    <t>생산 # 11-3 국내 200단위 X21129</t>
    <phoneticPr fontId="6" type="noConversion"/>
  </si>
  <si>
    <t>생산 # 11-4 국내 200단위 X21130</t>
    <phoneticPr fontId="6" type="noConversion"/>
  </si>
  <si>
    <t>생산 # 11-5 국내 200단위 X21131</t>
    <phoneticPr fontId="6" type="noConversion"/>
  </si>
  <si>
    <t>생산 #11-1 국내 200단위 X21123</t>
    <phoneticPr fontId="6" type="noConversion"/>
  </si>
  <si>
    <t>생산 # 11-2 국내 200단위 X21124</t>
    <phoneticPr fontId="6" type="noConversion"/>
  </si>
  <si>
    <t>포장 # 10-8 국내용 100U X21125</t>
    <phoneticPr fontId="6" type="noConversion"/>
  </si>
  <si>
    <t>생산 # 11-6  유럽용 50단위 X21135</t>
    <phoneticPr fontId="6" type="noConversion"/>
  </si>
  <si>
    <t>생산 # 11-7  유럽용 50단위 X21136</t>
    <phoneticPr fontId="6" type="noConversion"/>
  </si>
  <si>
    <t>생산 # 11-6 국내용 200단위 X21132</t>
    <phoneticPr fontId="6" type="noConversion"/>
  </si>
  <si>
    <t>생산 # 11-7 국내용 200단위 X21133</t>
    <phoneticPr fontId="6" type="noConversion"/>
  </si>
  <si>
    <t>생산 # 11-8 국내용 200단위 X21134</t>
    <phoneticPr fontId="6" type="noConversion"/>
  </si>
  <si>
    <t>포장 # 200단위 X21109, X21110, X21111</t>
    <phoneticPr fontId="6" type="noConversion"/>
  </si>
  <si>
    <t>포장 # 200단위 X21112</t>
    <phoneticPr fontId="6" type="noConversion"/>
  </si>
  <si>
    <t>포장 # 200단위 X21129, X21130</t>
    <phoneticPr fontId="6" type="noConversion"/>
  </si>
  <si>
    <t>포장 # 200단위 X21131, X21132</t>
    <phoneticPr fontId="6" type="noConversion"/>
  </si>
  <si>
    <t>포장 # 200단위 X21133, X21134</t>
    <phoneticPr fontId="6" type="noConversion"/>
  </si>
  <si>
    <t>생산 # 11-8  국내용 100단위 X21137</t>
    <phoneticPr fontId="6" type="noConversion"/>
  </si>
  <si>
    <t>포장 # 국내용 100단위 X21126</t>
    <phoneticPr fontId="6" type="noConversion"/>
  </si>
  <si>
    <t>포장 # 중국 국검 샘플 포장</t>
    <phoneticPr fontId="6" type="noConversion"/>
  </si>
  <si>
    <t>포장 # 국내용 100단위 X21127</t>
    <phoneticPr fontId="6" type="noConversion"/>
  </si>
  <si>
    <t>생산 # 11-5 국내용 100단위 X21128</t>
    <phoneticPr fontId="6" type="noConversion"/>
  </si>
  <si>
    <t>생산 # 10-8 국내용, 브라질용 100U X21120</t>
    <phoneticPr fontId="6" type="noConversion"/>
  </si>
  <si>
    <t>포장 # 브라질용 100U X21120A</t>
    <phoneticPr fontId="6" type="noConversion"/>
  </si>
  <si>
    <t>포장 # 10-4 브라질 100단위 X21107</t>
    <phoneticPr fontId="6" type="noConversion"/>
  </si>
  <si>
    <t>포장 #  국내용 100단위 X21128</t>
    <phoneticPr fontId="6" type="noConversion"/>
  </si>
  <si>
    <t>포장 # 11-6 국내용 100단위 X21137</t>
    <phoneticPr fontId="6" type="noConversion"/>
  </si>
  <si>
    <t>포장 # 대만 100단위 X21064E</t>
    <phoneticPr fontId="6" type="noConversion"/>
  </si>
  <si>
    <t>생산 # 11-9 태국 100단위 X21138</t>
    <phoneticPr fontId="6" type="noConversion"/>
  </si>
  <si>
    <t>생산 # 11-10 태국 100단위 X21139</t>
    <phoneticPr fontId="6" type="noConversion"/>
  </si>
  <si>
    <t>생산 # 11-11 태국 100단위 X21140</t>
    <phoneticPr fontId="6" type="noConversion"/>
  </si>
  <si>
    <t>생산 # 11-9 국내용 50단위 X21141</t>
    <phoneticPr fontId="6" type="noConversion"/>
  </si>
  <si>
    <t>생산 # 11-10  국내용 100단위 X21142</t>
    <phoneticPr fontId="6" type="noConversion"/>
  </si>
  <si>
    <t>포장 #  국내용 50단위 X21141</t>
    <phoneticPr fontId="6" type="noConversion"/>
  </si>
  <si>
    <t>포장 # 국내용 100단위 X21142</t>
    <phoneticPr fontId="6" type="noConversion"/>
  </si>
  <si>
    <t>생산 # 11-11 미국용 100단위 X21143</t>
    <phoneticPr fontId="6" type="noConversion"/>
  </si>
  <si>
    <t>포장 # 미국용 100단위 X21143</t>
    <phoneticPr fontId="6" type="noConversion"/>
  </si>
  <si>
    <t>생산 # 11-12  미국용 100단위 X21147</t>
    <phoneticPr fontId="6" type="noConversion"/>
  </si>
  <si>
    <t>생산 # 12-1 미국용 100단위 X21148</t>
    <phoneticPr fontId="6" type="noConversion"/>
  </si>
  <si>
    <t>생산 # 12-2 미국용 100단위 X21149</t>
    <phoneticPr fontId="6" type="noConversion"/>
  </si>
  <si>
    <t>생산 # 12-1 국내 200U X21145</t>
    <phoneticPr fontId="6" type="noConversion"/>
  </si>
  <si>
    <t>생산 # 12-2 국내 200U X21146</t>
    <phoneticPr fontId="6" type="noConversion"/>
  </si>
  <si>
    <t>포장 # 11-9 태국 100단위 X21138</t>
    <phoneticPr fontId="6" type="noConversion"/>
  </si>
  <si>
    <t>포장 # 11-10 태국 100단위 X21139</t>
    <phoneticPr fontId="6" type="noConversion"/>
  </si>
  <si>
    <t>포장 # 11-11 태국 100단위 X21140</t>
    <phoneticPr fontId="6" type="noConversion"/>
  </si>
  <si>
    <t>생산 # 12-3 국내용 100단위 X21150</t>
    <phoneticPr fontId="6" type="noConversion"/>
  </si>
  <si>
    <t>생산 # 12-4 국내용 100단위 X21151</t>
    <phoneticPr fontId="6" type="noConversion"/>
  </si>
  <si>
    <t>생산 # 12-5 국내용 100단위 X21152</t>
    <phoneticPr fontId="6" type="noConversion"/>
  </si>
  <si>
    <t>생산 # 12-3 국내 200U X21153</t>
    <phoneticPr fontId="6" type="noConversion"/>
  </si>
  <si>
    <t>포장 # 200단위 X21145, X21146</t>
    <phoneticPr fontId="6" type="noConversion"/>
  </si>
  <si>
    <t>포장 # 국내용 100단위 X21150</t>
    <phoneticPr fontId="6" type="noConversion"/>
  </si>
  <si>
    <t>포장 # 국내용 100단위 X21151</t>
    <phoneticPr fontId="6" type="noConversion"/>
  </si>
  <si>
    <t>포장 # 국내용 100단위 X21152</t>
    <phoneticPr fontId="6" type="noConversion"/>
  </si>
  <si>
    <t>생산 # 12-4 터키 100U X21154</t>
    <phoneticPr fontId="6" type="noConversion"/>
  </si>
  <si>
    <t>생산 # 12-5 터키 100U X21155</t>
    <phoneticPr fontId="6" type="noConversion"/>
  </si>
  <si>
    <t>생산 # 12-6 태국 200U X21157</t>
    <phoneticPr fontId="6" type="noConversion"/>
  </si>
  <si>
    <t>생산 # 12-8 터키 100U X21156</t>
    <phoneticPr fontId="6" type="noConversion"/>
  </si>
  <si>
    <t>포장 # 12-6 태국 200U X21157</t>
    <phoneticPr fontId="6" type="noConversion"/>
  </si>
  <si>
    <t>메디아필 1차</t>
    <phoneticPr fontId="6" type="noConversion"/>
  </si>
  <si>
    <t>메디아필 2차</t>
    <phoneticPr fontId="6" type="noConversion"/>
  </si>
  <si>
    <t>메디아필 3차</t>
    <phoneticPr fontId="6" type="noConversion"/>
  </si>
  <si>
    <t>생산 # 12-7 태국 100U X21158</t>
    <phoneticPr fontId="6" type="noConversion"/>
  </si>
  <si>
    <t>생산 # 12-9 터키 100U X21159</t>
    <phoneticPr fontId="6" type="noConversion"/>
  </si>
  <si>
    <t>생산 # 12-10 베트남 100U X21160</t>
    <phoneticPr fontId="6" type="noConversion"/>
  </si>
  <si>
    <t>생산 # 12-7 국내용 100단위 X21162</t>
    <phoneticPr fontId="6" type="noConversion"/>
  </si>
  <si>
    <t>생산 # 12-8 국내용 100단위 X21163</t>
    <phoneticPr fontId="6" type="noConversion"/>
  </si>
  <si>
    <t>포장 #200단위 X21153</t>
    <phoneticPr fontId="6" type="noConversion"/>
  </si>
  <si>
    <t>포장 # 터키 100U X21154</t>
    <phoneticPr fontId="6" type="noConversion"/>
  </si>
  <si>
    <t>포장 # 터키 100U X21155</t>
    <phoneticPr fontId="6" type="noConversion"/>
  </si>
  <si>
    <t>포장 # 터키 100U X21156</t>
    <phoneticPr fontId="6" type="noConversion"/>
  </si>
  <si>
    <t>포장 # 터키 100U X21159</t>
    <phoneticPr fontId="6" type="noConversion"/>
  </si>
  <si>
    <t>포장 # 베트남 100U X21160</t>
    <phoneticPr fontId="6" type="noConversion"/>
  </si>
  <si>
    <t>생산 # 12-6 캐나다 100단위 X21161</t>
    <phoneticPr fontId="6" type="noConversion"/>
  </si>
  <si>
    <t xml:space="preserve">포장 자재 입고 일정에 따라 포장 일자 변경 될 수 있습니다. </t>
    <phoneticPr fontId="6" type="noConversion"/>
  </si>
  <si>
    <t>A동</t>
    <phoneticPr fontId="6" type="noConversion"/>
  </si>
  <si>
    <t>반제품</t>
    <phoneticPr fontId="6" type="noConversion"/>
  </si>
  <si>
    <t>원액</t>
    <phoneticPr fontId="6" type="noConversion"/>
  </si>
  <si>
    <t>이물검사</t>
    <phoneticPr fontId="6" type="noConversion"/>
  </si>
  <si>
    <t>C동</t>
    <phoneticPr fontId="6" type="noConversion"/>
  </si>
  <si>
    <t>반제품</t>
    <phoneticPr fontId="6" type="noConversion"/>
  </si>
  <si>
    <t>포장</t>
    <phoneticPr fontId="6" type="noConversion"/>
  </si>
  <si>
    <t>A동 / C동</t>
    <phoneticPr fontId="6" type="noConversion"/>
  </si>
  <si>
    <t>비고</t>
    <phoneticPr fontId="6" type="noConversion"/>
  </si>
  <si>
    <t>3.1 절</t>
    <phoneticPr fontId="6" type="noConversion"/>
  </si>
  <si>
    <t>A동</t>
    <phoneticPr fontId="6" type="noConversion"/>
  </si>
  <si>
    <t>C동</t>
    <phoneticPr fontId="6" type="noConversion"/>
  </si>
  <si>
    <t>A동 / C동</t>
    <phoneticPr fontId="6" type="noConversion"/>
  </si>
  <si>
    <t>비고</t>
    <phoneticPr fontId="6" type="noConversion"/>
  </si>
  <si>
    <t>대통령 선거</t>
    <phoneticPr fontId="6" type="noConversion"/>
  </si>
  <si>
    <t>반제품</t>
    <phoneticPr fontId="6" type="noConversion"/>
  </si>
  <si>
    <t>이물검사</t>
    <phoneticPr fontId="6" type="noConversion"/>
  </si>
  <si>
    <t>C동</t>
    <phoneticPr fontId="6" type="noConversion"/>
  </si>
  <si>
    <t>원액</t>
    <phoneticPr fontId="6" type="noConversion"/>
  </si>
  <si>
    <t>포장</t>
    <phoneticPr fontId="6" type="noConversion"/>
  </si>
  <si>
    <t>이물검사</t>
    <phoneticPr fontId="6" type="noConversion"/>
  </si>
  <si>
    <t>원액</t>
    <phoneticPr fontId="6" type="noConversion"/>
  </si>
  <si>
    <t>이물검사C #4-5 / 종료</t>
    <phoneticPr fontId="6" type="noConversion"/>
  </si>
  <si>
    <t>원액</t>
    <phoneticPr fontId="6" type="noConversion"/>
  </si>
  <si>
    <t xml:space="preserve">포장 자재 입고 일정에 따라 포장 일자 변경 될 수 있습니다. </t>
    <phoneticPr fontId="6" type="noConversion"/>
  </si>
  <si>
    <t>A동</t>
    <phoneticPr fontId="6" type="noConversion"/>
  </si>
  <si>
    <t>반제품</t>
    <phoneticPr fontId="6" type="noConversion"/>
  </si>
  <si>
    <t>이물검사</t>
    <phoneticPr fontId="6" type="noConversion"/>
  </si>
  <si>
    <t>C동</t>
    <phoneticPr fontId="6" type="noConversion"/>
  </si>
  <si>
    <t>반제품</t>
    <phoneticPr fontId="6" type="noConversion"/>
  </si>
  <si>
    <t>포장</t>
    <phoneticPr fontId="6" type="noConversion"/>
  </si>
  <si>
    <t>이물검사</t>
    <phoneticPr fontId="6" type="noConversion"/>
  </si>
  <si>
    <t>A동 / C동</t>
    <phoneticPr fontId="6" type="noConversion"/>
  </si>
  <si>
    <t>비고</t>
    <phoneticPr fontId="6" type="noConversion"/>
  </si>
  <si>
    <t>2022 지방선거</t>
    <phoneticPr fontId="6" type="noConversion"/>
  </si>
  <si>
    <t>C동</t>
    <phoneticPr fontId="6" type="noConversion"/>
  </si>
  <si>
    <t>포장</t>
    <phoneticPr fontId="6" type="noConversion"/>
  </si>
  <si>
    <t>현충일</t>
    <phoneticPr fontId="6" type="noConversion"/>
  </si>
  <si>
    <t>원액</t>
    <phoneticPr fontId="6" type="noConversion"/>
  </si>
  <si>
    <t>셧다운</t>
    <phoneticPr fontId="6" type="noConversion"/>
  </si>
  <si>
    <t>A동</t>
    <phoneticPr fontId="6" type="noConversion"/>
  </si>
  <si>
    <t>반제품</t>
    <phoneticPr fontId="6" type="noConversion"/>
  </si>
  <si>
    <t>이물검사</t>
    <phoneticPr fontId="6" type="noConversion"/>
  </si>
  <si>
    <t>포장</t>
    <phoneticPr fontId="6" type="noConversion"/>
  </si>
  <si>
    <t>이물검사C #6-3</t>
    <phoneticPr fontId="6" type="noConversion"/>
  </si>
  <si>
    <t>A동 / C동</t>
    <phoneticPr fontId="6" type="noConversion"/>
  </si>
  <si>
    <t>비고</t>
    <phoneticPr fontId="6" type="noConversion"/>
  </si>
  <si>
    <t>광복절</t>
    <phoneticPr fontId="6" type="noConversion"/>
  </si>
  <si>
    <t>추석</t>
    <phoneticPr fontId="6" type="noConversion"/>
  </si>
  <si>
    <t>대체공휴일</t>
    <phoneticPr fontId="6" type="noConversion"/>
  </si>
  <si>
    <t>한글날</t>
    <phoneticPr fontId="6" type="noConversion"/>
  </si>
  <si>
    <t>비고</t>
    <phoneticPr fontId="6" type="noConversion"/>
  </si>
  <si>
    <t>A동</t>
    <phoneticPr fontId="6" type="noConversion"/>
  </si>
  <si>
    <t>성탄절</t>
    <phoneticPr fontId="6" type="noConversion"/>
  </si>
  <si>
    <t>설날</t>
    <phoneticPr fontId="6" type="noConversion"/>
  </si>
  <si>
    <t>설날</t>
    <phoneticPr fontId="6" type="noConversion"/>
  </si>
  <si>
    <t>이물검사C #12-7</t>
    <phoneticPr fontId="6" type="noConversion"/>
  </si>
  <si>
    <t>3.1절</t>
    <phoneticPr fontId="6" type="noConversion"/>
  </si>
  <si>
    <t>포장 # 12-6 태국 100U X21158</t>
    <phoneticPr fontId="6" type="noConversion"/>
  </si>
  <si>
    <t>포장 # 국내용 100단위 X21162</t>
    <phoneticPr fontId="6" type="noConversion"/>
  </si>
  <si>
    <t>파나마 X21064F</t>
    <phoneticPr fontId="6" type="noConversion"/>
  </si>
  <si>
    <t>포장 # 미국용 100단위 X21147</t>
    <phoneticPr fontId="6" type="noConversion"/>
  </si>
  <si>
    <t>생산 # 1-1 국내 200U X22001</t>
    <phoneticPr fontId="6" type="noConversion"/>
  </si>
  <si>
    <t>생산 # 1-2 국내 200U X22002</t>
    <phoneticPr fontId="6" type="noConversion"/>
  </si>
  <si>
    <t>포장 # 미국용 100단위  X21148</t>
    <phoneticPr fontId="6" type="noConversion"/>
  </si>
  <si>
    <t>포장 # 미국용 100단위  X21149</t>
    <phoneticPr fontId="6" type="noConversion"/>
  </si>
  <si>
    <t>생산 # 1-3 태국 200U X22003 - 4월 선적1</t>
    <phoneticPr fontId="6" type="noConversion"/>
  </si>
  <si>
    <t>생산 # 1-4 태국 100U X22004 - 4월 선적1</t>
    <phoneticPr fontId="6" type="noConversion"/>
  </si>
  <si>
    <t>포장 # 캐나다 100단위 X21161</t>
  </si>
  <si>
    <t>메디아필 1차 - 훈증 후 균 발생으로 지연</t>
    <phoneticPr fontId="6" type="noConversion"/>
  </si>
  <si>
    <t>생산 # 2-1 국내 200U X22005</t>
    <phoneticPr fontId="6" type="noConversion"/>
  </si>
  <si>
    <t>생산 # 2-2 태국 100U X22006, 4월 선적2</t>
    <phoneticPr fontId="6" type="noConversion"/>
  </si>
  <si>
    <t>생산 # 2-3 듀얼브랜드 비임상 생산#1</t>
    <phoneticPr fontId="6" type="noConversion"/>
  </si>
  <si>
    <t>생산 # 2-4 태국 200U X22007 4월 선적 2</t>
    <phoneticPr fontId="6" type="noConversion"/>
  </si>
  <si>
    <t>메디아필 3차</t>
    <phoneticPr fontId="6" type="noConversion"/>
  </si>
  <si>
    <t>포장 # 국내용 100단위 X21163</t>
    <phoneticPr fontId="6" type="noConversion"/>
  </si>
  <si>
    <t>이물검사C #2-1</t>
    <phoneticPr fontId="6" type="noConversion"/>
  </si>
  <si>
    <t>메디아필 2차</t>
    <phoneticPr fontId="6" type="noConversion"/>
  </si>
  <si>
    <t>메디아필 2차</t>
    <phoneticPr fontId="6" type="noConversion"/>
  </si>
  <si>
    <t>메디아필 3차</t>
    <phoneticPr fontId="6" type="noConversion"/>
  </si>
  <si>
    <t>이물검사C #2-1 / 완료</t>
    <phoneticPr fontId="6" type="noConversion"/>
  </si>
  <si>
    <t>이물검사C #2-2</t>
    <phoneticPr fontId="6" type="noConversion"/>
  </si>
  <si>
    <t>이물검사C #2-2 / 종료</t>
    <phoneticPr fontId="6" type="noConversion"/>
  </si>
  <si>
    <t>이물검사C #2-3</t>
    <phoneticPr fontId="6" type="noConversion"/>
  </si>
  <si>
    <t>이물검사C #2-3 / 종료</t>
    <phoneticPr fontId="6" type="noConversion"/>
  </si>
  <si>
    <t>이물검사C #2-4</t>
    <phoneticPr fontId="6" type="noConversion"/>
  </si>
  <si>
    <t>이물검사C #2-4 / 종료</t>
    <phoneticPr fontId="6" type="noConversion"/>
  </si>
  <si>
    <t>이물검사C #3-1</t>
    <phoneticPr fontId="6" type="noConversion"/>
  </si>
  <si>
    <t>이물검사C #3-1 / 종료</t>
    <phoneticPr fontId="6" type="noConversion"/>
  </si>
  <si>
    <t>이물검사C #3-2</t>
    <phoneticPr fontId="6" type="noConversion"/>
  </si>
  <si>
    <t>이물검사C #3-2 / 종료</t>
    <phoneticPr fontId="6" type="noConversion"/>
  </si>
  <si>
    <t>이물검사C #3-3</t>
    <phoneticPr fontId="6" type="noConversion"/>
  </si>
  <si>
    <t>이물검사C #3-3 / 종료</t>
    <phoneticPr fontId="6" type="noConversion"/>
  </si>
  <si>
    <t>이물검사C #3-4</t>
    <phoneticPr fontId="6" type="noConversion"/>
  </si>
  <si>
    <t>이물검사C #3-4 / 종료</t>
    <phoneticPr fontId="6" type="noConversion"/>
  </si>
  <si>
    <t>이물검사C #3-5</t>
    <phoneticPr fontId="6" type="noConversion"/>
  </si>
  <si>
    <t>이물검사C #3-5 / 종료</t>
    <phoneticPr fontId="6" type="noConversion"/>
  </si>
  <si>
    <t>이물검사C #3-6</t>
    <phoneticPr fontId="6" type="noConversion"/>
  </si>
  <si>
    <t>이물검사C #3-6 / 종료</t>
    <phoneticPr fontId="6" type="noConversion"/>
  </si>
  <si>
    <t>이물검사C #3-11 / 종료</t>
    <phoneticPr fontId="6" type="noConversion"/>
  </si>
  <si>
    <t>이물검사C #3-12</t>
    <phoneticPr fontId="6" type="noConversion"/>
  </si>
  <si>
    <t>이물검사C #3-12 / 종료</t>
    <phoneticPr fontId="6" type="noConversion"/>
  </si>
  <si>
    <t xml:space="preserve">이물검사C #4-1 </t>
    <phoneticPr fontId="6" type="noConversion"/>
  </si>
  <si>
    <t>이물검사C #4-1 / 종료</t>
    <phoneticPr fontId="6" type="noConversion"/>
  </si>
  <si>
    <t>이물검사C #4-2 / 종료</t>
    <phoneticPr fontId="6" type="noConversion"/>
  </si>
  <si>
    <t>이물검사C #4-4 / 종료</t>
    <phoneticPr fontId="6" type="noConversion"/>
  </si>
  <si>
    <t>이물검사C #6-2</t>
    <phoneticPr fontId="6" type="noConversion"/>
  </si>
  <si>
    <t>이물검사C #8-1</t>
    <phoneticPr fontId="6" type="noConversion"/>
  </si>
  <si>
    <t>이물검사C #8-1 / 종료</t>
    <phoneticPr fontId="6" type="noConversion"/>
  </si>
  <si>
    <t>이물검사C #8-2</t>
    <phoneticPr fontId="6" type="noConversion"/>
  </si>
  <si>
    <t>이물검사C #8-2 / 종료</t>
    <phoneticPr fontId="6" type="noConversion"/>
  </si>
  <si>
    <t>이물검사C #8-3</t>
    <phoneticPr fontId="6" type="noConversion"/>
  </si>
  <si>
    <t>이물검사C #8-5</t>
    <phoneticPr fontId="6" type="noConversion"/>
  </si>
  <si>
    <t>이물검사C #8-5 / 종료</t>
    <phoneticPr fontId="6" type="noConversion"/>
  </si>
  <si>
    <t>이물검사C #8-6</t>
    <phoneticPr fontId="6" type="noConversion"/>
  </si>
  <si>
    <t>이물검사C #8-6 / 종료</t>
    <phoneticPr fontId="6" type="noConversion"/>
  </si>
  <si>
    <t>이물검사C #8-7</t>
    <phoneticPr fontId="6" type="noConversion"/>
  </si>
  <si>
    <t>이물검사C #8-7 / 종료</t>
    <phoneticPr fontId="6" type="noConversion"/>
  </si>
  <si>
    <t>이물검사C #9-11</t>
    <phoneticPr fontId="6" type="noConversion"/>
  </si>
  <si>
    <t>이물검사C #11-2</t>
    <phoneticPr fontId="6" type="noConversion"/>
  </si>
  <si>
    <t>이물검사C #11-4</t>
    <phoneticPr fontId="6" type="noConversion"/>
  </si>
  <si>
    <t>대체 공휴일</t>
    <phoneticPr fontId="6" type="noConversion"/>
  </si>
  <si>
    <t>포장 # 국내 200U X22001, X22002</t>
    <phoneticPr fontId="6" type="noConversion"/>
  </si>
  <si>
    <t xml:space="preserve">생산 # 2-7 태국 100U X22010 4월 선적3 </t>
    <phoneticPr fontId="6" type="noConversion"/>
  </si>
  <si>
    <t>생산 # 2-6 국내 200U X22009</t>
    <phoneticPr fontId="6" type="noConversion"/>
  </si>
  <si>
    <t>생산 # 2-8 국내 200U X22011</t>
    <phoneticPr fontId="6" type="noConversion"/>
  </si>
  <si>
    <t>생산 # 2-5 태국 200U X22008 - 4월 선적 3</t>
    <phoneticPr fontId="6" type="noConversion"/>
  </si>
  <si>
    <t>생산 # 2-9 태국 200U X22012 4월 선적4</t>
    <phoneticPr fontId="6" type="noConversion"/>
  </si>
  <si>
    <t>포장 # UAE X21154A(재포장)</t>
    <phoneticPr fontId="6" type="noConversion"/>
  </si>
  <si>
    <t>포장 # UAE X21155A(재포장)</t>
    <phoneticPr fontId="6" type="noConversion"/>
  </si>
  <si>
    <t>포장 # UAE X21156A(재포장)</t>
    <phoneticPr fontId="6" type="noConversion"/>
  </si>
  <si>
    <t>포장 # UAE X21159A(재포장)</t>
    <phoneticPr fontId="6" type="noConversion"/>
  </si>
  <si>
    <t>포장 # 국내 200U X20005</t>
    <phoneticPr fontId="6" type="noConversion"/>
  </si>
  <si>
    <t>생산 # 2-10 국내 200U X22013</t>
    <phoneticPr fontId="6" type="noConversion"/>
  </si>
  <si>
    <t>생산 # 2-11 국내 200U X22014</t>
    <phoneticPr fontId="6" type="noConversion"/>
  </si>
  <si>
    <t>생산 # 2-13 국내 200U X22016</t>
    <phoneticPr fontId="6" type="noConversion"/>
  </si>
  <si>
    <t>생산 # 2-3 ROW 002B 수출제품 X22019</t>
    <phoneticPr fontId="6" type="noConversion"/>
  </si>
  <si>
    <t>포장 # shipping validation</t>
    <phoneticPr fontId="6" type="noConversion"/>
  </si>
  <si>
    <t>포장 # 2-6 국내 200U X22009</t>
    <phoneticPr fontId="6" type="noConversion"/>
  </si>
  <si>
    <t>포장 # 국내 200U X22011, X22013</t>
    <phoneticPr fontId="6" type="noConversion"/>
  </si>
  <si>
    <t>생산 # 2-4 PV#1 200U Z22001</t>
    <phoneticPr fontId="6" type="noConversion"/>
  </si>
  <si>
    <t>생산 # 2-4 PV#1 200U Z22001</t>
    <phoneticPr fontId="6" type="noConversion"/>
  </si>
  <si>
    <t>포장 # 2-11 국내 200U X22014</t>
    <phoneticPr fontId="6" type="noConversion"/>
  </si>
  <si>
    <t>포장 # 태국 200U X22007 4월 선적 2</t>
    <phoneticPr fontId="6" type="noConversion"/>
  </si>
  <si>
    <t>3-1 태국 100U 5월 선적1 X22020</t>
    <phoneticPr fontId="6" type="noConversion"/>
  </si>
  <si>
    <t>생산 # 2-1 국내 100U X22017</t>
    <phoneticPr fontId="6" type="noConversion"/>
  </si>
  <si>
    <t>포장 # 2-1 국내 100U X22017</t>
    <phoneticPr fontId="6" type="noConversion"/>
  </si>
  <si>
    <t>생산 # 2-2 국내 100U X22018</t>
    <phoneticPr fontId="6" type="noConversion"/>
  </si>
  <si>
    <t>포장 # 2-2 국내 100U X22018</t>
    <phoneticPr fontId="6" type="noConversion"/>
  </si>
  <si>
    <t>생산 # 3-1 미국 100U X22021</t>
    <phoneticPr fontId="6" type="noConversion"/>
  </si>
  <si>
    <t>포장 # 3-1 미국 100U X22021</t>
    <phoneticPr fontId="6" type="noConversion"/>
  </si>
  <si>
    <t>생산 # 3-2 국내 200U X22022</t>
    <phoneticPr fontId="6" type="noConversion"/>
  </si>
  <si>
    <t>생산#3-6 태국 200U 5월 선적3 X22027</t>
    <phoneticPr fontId="6" type="noConversion"/>
  </si>
  <si>
    <t>생산#3-7 태국 100U 5월 선적2 X22028</t>
    <phoneticPr fontId="6" type="noConversion"/>
  </si>
  <si>
    <t>생산#3-3 태국 200U 5월 선적1 X22023</t>
    <phoneticPr fontId="6" type="noConversion"/>
  </si>
  <si>
    <t>생산#3-4 태국 200U 5월 선적2 X22026</t>
    <phoneticPr fontId="6" type="noConversion"/>
  </si>
  <si>
    <t>포장 # 국내 200U X22015</t>
    <phoneticPr fontId="6" type="noConversion"/>
  </si>
  <si>
    <t>생산 #3-4 국내 100U X22025</t>
    <phoneticPr fontId="6" type="noConversion"/>
  </si>
  <si>
    <t>포장 # 3-4 국내 100U X22025</t>
    <phoneticPr fontId="6" type="noConversion"/>
  </si>
  <si>
    <t>생산 # 3-2 유럽 50U X22024</t>
    <phoneticPr fontId="6" type="noConversion"/>
  </si>
  <si>
    <t>생산 #3-3 PV#2 200U Z22002</t>
    <phoneticPr fontId="6" type="noConversion"/>
  </si>
  <si>
    <t>생산 #3-5 PV#3 200U Z22003</t>
    <phoneticPr fontId="6" type="noConversion"/>
  </si>
  <si>
    <t>생산 # 3-5 국내 150U X22029</t>
    <phoneticPr fontId="6" type="noConversion"/>
  </si>
  <si>
    <t>포장 # 국내 200U X22016, X22022</t>
    <phoneticPr fontId="6" type="noConversion"/>
  </si>
  <si>
    <t>생산 #3-6 국내 100U X22030</t>
    <phoneticPr fontId="6" type="noConversion"/>
  </si>
  <si>
    <t>생산 #3-7 국내 100U X22031</t>
    <phoneticPr fontId="6" type="noConversion"/>
  </si>
  <si>
    <t>생산 #3-8 미국 100U X22032</t>
    <phoneticPr fontId="6" type="noConversion"/>
  </si>
  <si>
    <t>생산 # 3-8 국내 200U X22036</t>
    <phoneticPr fontId="6" type="noConversion"/>
  </si>
  <si>
    <t>생산 # 3-9 국내 200U X22037</t>
    <phoneticPr fontId="6" type="noConversion"/>
  </si>
  <si>
    <t>생산 # 3-10 국내 200U X22038</t>
    <phoneticPr fontId="6" type="noConversion"/>
  </si>
  <si>
    <t>생산 #3-9 미국 100U X22033</t>
    <phoneticPr fontId="6" type="noConversion"/>
  </si>
  <si>
    <t>생산 # 3-11국내 200U X22039</t>
    <phoneticPr fontId="6" type="noConversion"/>
  </si>
  <si>
    <t>생산 # 3-12 국내 200U X22040</t>
    <phoneticPr fontId="6" type="noConversion"/>
  </si>
  <si>
    <t>생산 # 3-13 국내 200U X22041</t>
    <phoneticPr fontId="6" type="noConversion"/>
  </si>
  <si>
    <t>생산 #3-12 국내 100U X22042</t>
    <phoneticPr fontId="6" type="noConversion"/>
  </si>
  <si>
    <t>생산 #4-2 국내용 100단위 X22044</t>
    <phoneticPr fontId="6" type="noConversion"/>
  </si>
  <si>
    <t>포장 국내 100U X22025
국내 200U X22016</t>
    <phoneticPr fontId="6" type="noConversion"/>
  </si>
  <si>
    <t>포장 국내 200U X22022
국내 150U X22029, PV#2 Z22002A</t>
    <phoneticPr fontId="6" type="noConversion"/>
  </si>
  <si>
    <t>포장 # PV#3 200U Z22003A
국내 100U X22030</t>
    <phoneticPr fontId="6" type="noConversion"/>
  </si>
  <si>
    <t>포장 국내 100U X22030</t>
    <phoneticPr fontId="6" type="noConversion"/>
  </si>
  <si>
    <t>포장 국내 100U X22031</t>
    <phoneticPr fontId="6" type="noConversion"/>
  </si>
  <si>
    <t>포장 # 미국 X22032</t>
    <phoneticPr fontId="6" type="noConversion"/>
  </si>
  <si>
    <t>포장 # 유럽 50U X22024A, 
미국 100U X22032</t>
    <phoneticPr fontId="6" type="noConversion"/>
  </si>
  <si>
    <t>포장 # 국내 Z19001E, Z20001E</t>
    <phoneticPr fontId="6" type="noConversion"/>
  </si>
  <si>
    <t>포장 # 국내 100U Z20001E</t>
    <phoneticPr fontId="6" type="noConversion"/>
  </si>
  <si>
    <t>포장 # 국내 100U Z20001E, Z20002E</t>
    <phoneticPr fontId="6" type="noConversion"/>
  </si>
  <si>
    <t>포장 # 미국 X22033</t>
    <phoneticPr fontId="6" type="noConversion"/>
  </si>
  <si>
    <t>태국 200U X22012 4월 선적4</t>
    <phoneticPr fontId="6" type="noConversion"/>
  </si>
  <si>
    <t>태국 100U 5월 선적2 X22028</t>
    <phoneticPr fontId="6" type="noConversion"/>
  </si>
  <si>
    <t>태국 200U 5월 선적3 X22027</t>
    <phoneticPr fontId="6" type="noConversion"/>
  </si>
  <si>
    <t xml:space="preserve"> 태국 200U 5월 선적2 X22026</t>
    <phoneticPr fontId="6" type="noConversion"/>
  </si>
  <si>
    <t>태국 200U 5월 선적1 X22023</t>
    <phoneticPr fontId="6" type="noConversion"/>
  </si>
  <si>
    <t>태국 100U 5월 선적1 X22020</t>
    <phoneticPr fontId="6" type="noConversion"/>
  </si>
  <si>
    <t>생산 # 국내 임상 포장(잇몸 노출, 구강장치 병용), 외안각주름 보상약</t>
    <phoneticPr fontId="6" type="noConversion"/>
  </si>
  <si>
    <t>포장 # 2-3 듀얼브랜드 비임상 생산#1</t>
    <phoneticPr fontId="6" type="noConversion"/>
  </si>
  <si>
    <t>포장 # 인도 X22019A, 국내200U X22036, X22037, X22038</t>
    <phoneticPr fontId="6" type="noConversion"/>
  </si>
  <si>
    <t>C동 일련번호 I/OQ</t>
    <phoneticPr fontId="6" type="noConversion"/>
  </si>
  <si>
    <t>C동 일련번호 I/OQ</t>
    <phoneticPr fontId="6" type="noConversion"/>
  </si>
  <si>
    <t>생산 # 4-1 태국 100U 6월 선적1 
X22045</t>
    <phoneticPr fontId="6" type="noConversion"/>
  </si>
  <si>
    <t>생산 # 4-2 태국 100U 6월 선적2
X22046</t>
    <phoneticPr fontId="6" type="noConversion"/>
  </si>
  <si>
    <t>생산 # 4-3 태국 200U 6월 선적1
X22047</t>
    <phoneticPr fontId="6" type="noConversion"/>
  </si>
  <si>
    <t>생산 # 4-5 국내 200U X22055</t>
    <phoneticPr fontId="6" type="noConversion"/>
  </si>
  <si>
    <t>생산 # 4-6 국내 200U X22056</t>
    <phoneticPr fontId="6" type="noConversion"/>
  </si>
  <si>
    <t>생산 #4-7 국내용 100단위 X22052</t>
    <phoneticPr fontId="6" type="noConversion"/>
  </si>
  <si>
    <t>생산 #4-8 미국용 100단위 X22053</t>
    <phoneticPr fontId="6" type="noConversion"/>
  </si>
  <si>
    <t>포장 # 국내 100U X22042</t>
    <phoneticPr fontId="6" type="noConversion"/>
  </si>
  <si>
    <t>포장 # 국내 100U X22043</t>
    <phoneticPr fontId="6" type="noConversion"/>
  </si>
  <si>
    <t>생산 #4-1 국내용 100단위 X22043</t>
    <phoneticPr fontId="6" type="noConversion"/>
  </si>
  <si>
    <t>생산 #4-3 국내용 100단위 X22048</t>
    <phoneticPr fontId="6" type="noConversion"/>
  </si>
  <si>
    <t>생산 #3-11 ROW 수출용 100단위(003B) X22035</t>
    <phoneticPr fontId="6" type="noConversion"/>
  </si>
  <si>
    <t>생산 #3-10  ROW 수출용 100단위(003B) X22034</t>
    <phoneticPr fontId="6" type="noConversion"/>
  </si>
  <si>
    <t>생산 # 4-7 태국 100U 6월 선적 3
X22060</t>
    <phoneticPr fontId="6" type="noConversion"/>
  </si>
  <si>
    <t>생산 # 4-9 태국 200U 6월 선적 3
X22062</t>
    <phoneticPr fontId="6" type="noConversion"/>
  </si>
  <si>
    <t>포장 # 국내 100U X22044</t>
    <phoneticPr fontId="6" type="noConversion"/>
  </si>
  <si>
    <t>이물검사C #4-3 / 종료</t>
    <phoneticPr fontId="6" type="noConversion"/>
  </si>
  <si>
    <t>이물검사C #4-4</t>
    <phoneticPr fontId="6" type="noConversion"/>
  </si>
  <si>
    <t>이물검사C #4-5</t>
    <phoneticPr fontId="6" type="noConversion"/>
  </si>
  <si>
    <t>이물검사C #4-6</t>
    <phoneticPr fontId="6" type="noConversion"/>
  </si>
  <si>
    <t>이물검사C #4-6 / 종료</t>
    <phoneticPr fontId="6" type="noConversion"/>
  </si>
  <si>
    <t>포장# 4-1 태국 100U 6월 선적1 
X22045</t>
    <phoneticPr fontId="6" type="noConversion"/>
  </si>
  <si>
    <t>포장 # 4-2 태국 100U 6월 선적2
X22046</t>
    <phoneticPr fontId="6" type="noConversion"/>
  </si>
  <si>
    <t>생산 # 4-4 태국 200U 6월 선적2
X22054</t>
    <phoneticPr fontId="6" type="noConversion"/>
  </si>
  <si>
    <t>생산 # 4-9 태국 200U 6월 선적 3
X22062</t>
    <phoneticPr fontId="6" type="noConversion"/>
  </si>
  <si>
    <t>생산 #4-4 국내용 100단위 X22049</t>
    <phoneticPr fontId="6" type="noConversion"/>
  </si>
  <si>
    <t>생산 #4-5 미국용 100단위 X22050</t>
    <phoneticPr fontId="6" type="noConversion"/>
  </si>
  <si>
    <t>생산 #4-6 국내용 100단위 X22051</t>
    <phoneticPr fontId="6" type="noConversion"/>
  </si>
  <si>
    <t>포장 #국내용 100단위 X22051</t>
    <phoneticPr fontId="6" type="noConversion"/>
  </si>
  <si>
    <t>생산 #4-9 국내용 100단위 X22057</t>
    <phoneticPr fontId="6" type="noConversion"/>
  </si>
  <si>
    <t>포장 # 국내 200U X22039,X22040 ,X22041</t>
    <phoneticPr fontId="6" type="noConversion"/>
  </si>
  <si>
    <t>생산 # 4-10 국내 200U X22063</t>
    <phoneticPr fontId="6" type="noConversion"/>
  </si>
  <si>
    <t>생산 # 4-11 국내 200U X22064</t>
    <phoneticPr fontId="6" type="noConversion"/>
  </si>
  <si>
    <t>생산 # 4-12 국내 200U X22065</t>
    <phoneticPr fontId="6" type="noConversion"/>
  </si>
  <si>
    <t>포장 # 브라질 100U X22034</t>
    <phoneticPr fontId="6" type="noConversion"/>
  </si>
  <si>
    <t>포장 # 브라질 100U X21120H</t>
    <phoneticPr fontId="6" type="noConversion"/>
  </si>
  <si>
    <t>포장 # 브라질 100U X22035A</t>
    <phoneticPr fontId="6" type="noConversion"/>
  </si>
  <si>
    <t>포장 # 4-4 국내용 100단위 X22048</t>
    <phoneticPr fontId="6" type="noConversion"/>
  </si>
  <si>
    <t>포장 #4-3 국내용 100단위 X22049</t>
    <phoneticPr fontId="6" type="noConversion"/>
  </si>
  <si>
    <t>생산 # 5-1 국내 200U X22069</t>
    <phoneticPr fontId="6" type="noConversion"/>
  </si>
  <si>
    <t>생산 # 5-2 태국 200U 7월 선적1 X22070</t>
    <phoneticPr fontId="6" type="noConversion"/>
  </si>
  <si>
    <t>생산 #5-3 미국용 100단위 X22072</t>
    <phoneticPr fontId="6" type="noConversion"/>
  </si>
  <si>
    <t>이물검사C # X22052</t>
    <phoneticPr fontId="6" type="noConversion"/>
  </si>
  <si>
    <t>이물검사C # X22052</t>
    <phoneticPr fontId="6" type="noConversion"/>
  </si>
  <si>
    <t>생산 #4-11 ROW용 100단위 X22059</t>
    <phoneticPr fontId="6" type="noConversion"/>
  </si>
  <si>
    <t>이물검사C # X22059</t>
    <phoneticPr fontId="6" type="noConversion"/>
  </si>
  <si>
    <t>포장 # 국내 200U X22055, X22056</t>
    <phoneticPr fontId="6" type="noConversion"/>
  </si>
  <si>
    <t>이물검사C # X22066</t>
    <phoneticPr fontId="6" type="noConversion"/>
  </si>
  <si>
    <t>이물검사C # X22066</t>
    <phoneticPr fontId="6" type="noConversion"/>
  </si>
  <si>
    <t>생산 #5-1 국내용 100단위 X22067</t>
    <phoneticPr fontId="6" type="noConversion"/>
  </si>
  <si>
    <t>이물검사C # X22067</t>
    <phoneticPr fontId="6" type="noConversion"/>
  </si>
  <si>
    <t>이물검사C # X22067</t>
    <phoneticPr fontId="6" type="noConversion"/>
  </si>
  <si>
    <t>이물검사C # X22068</t>
    <phoneticPr fontId="6" type="noConversion"/>
  </si>
  <si>
    <t>이물검사C # X22068</t>
    <phoneticPr fontId="6" type="noConversion"/>
  </si>
  <si>
    <t>이물검사C # X22071</t>
    <phoneticPr fontId="6" type="noConversion"/>
  </si>
  <si>
    <t>이물검사C # X22071</t>
    <phoneticPr fontId="6" type="noConversion"/>
  </si>
  <si>
    <t>포장 # 미국용 100단위 X22050</t>
    <phoneticPr fontId="6" type="noConversion"/>
  </si>
  <si>
    <t>이물검사C # X22072</t>
    <phoneticPr fontId="6" type="noConversion"/>
  </si>
  <si>
    <t xml:space="preserve">이물검사C # 5-4 </t>
    <phoneticPr fontId="6" type="noConversion"/>
  </si>
  <si>
    <t>이물검사C # 5-5</t>
    <phoneticPr fontId="6" type="noConversion"/>
  </si>
  <si>
    <t>이물검사C # 5-6</t>
    <phoneticPr fontId="6" type="noConversion"/>
  </si>
  <si>
    <t>이물검사C # 5-6</t>
    <phoneticPr fontId="6" type="noConversion"/>
  </si>
  <si>
    <t>이물검사C # 5-7</t>
    <phoneticPr fontId="6" type="noConversion"/>
  </si>
  <si>
    <t>이물검사C # 5-8</t>
    <phoneticPr fontId="6" type="noConversion"/>
  </si>
  <si>
    <t>이물검사C # 5-9</t>
    <phoneticPr fontId="6" type="noConversion"/>
  </si>
  <si>
    <t>이물검사C # 5-10</t>
    <phoneticPr fontId="6" type="noConversion"/>
  </si>
  <si>
    <t>이물검사C # 5-11</t>
    <phoneticPr fontId="6" type="noConversion"/>
  </si>
  <si>
    <t>이물검사C # 5-11</t>
    <phoneticPr fontId="6" type="noConversion"/>
  </si>
  <si>
    <t>이물검사C # 5-12</t>
    <phoneticPr fontId="6" type="noConversion"/>
  </si>
  <si>
    <t>이물검사C #6-1</t>
    <phoneticPr fontId="6" type="noConversion"/>
  </si>
  <si>
    <t>이물검사C #6-5</t>
    <phoneticPr fontId="6" type="noConversion"/>
  </si>
  <si>
    <t>이물검사C #6-6</t>
    <phoneticPr fontId="6" type="noConversion"/>
  </si>
  <si>
    <t>이물검사C #6-7</t>
    <phoneticPr fontId="6" type="noConversion"/>
  </si>
  <si>
    <t>이물검사C # X22057</t>
    <phoneticPr fontId="6" type="noConversion"/>
  </si>
  <si>
    <t>이물검사C # X22058</t>
    <phoneticPr fontId="6" type="noConversion"/>
  </si>
  <si>
    <t>이물검사C # X22053</t>
    <phoneticPr fontId="6" type="noConversion"/>
  </si>
  <si>
    <t>이물검사C # X22051</t>
    <phoneticPr fontId="6" type="noConversion"/>
  </si>
  <si>
    <t>생산 #4-13 국내용 100단위 X22066</t>
    <phoneticPr fontId="6" type="noConversion"/>
  </si>
  <si>
    <t>포장 #  #5-1 국내용 100단위 X22067</t>
    <phoneticPr fontId="6" type="noConversion"/>
  </si>
  <si>
    <t>포장 # 5-3 미국용 100단위 X22072</t>
    <phoneticPr fontId="6" type="noConversion"/>
  </si>
  <si>
    <t>이물검사C #8-3 / 종료</t>
    <phoneticPr fontId="6" type="noConversion"/>
  </si>
  <si>
    <t>이물검사C #8-4</t>
    <phoneticPr fontId="6" type="noConversion"/>
  </si>
  <si>
    <t>이물검사C #8-4 / 종료</t>
    <phoneticPr fontId="6" type="noConversion"/>
  </si>
  <si>
    <t>이물검사C #8-7</t>
    <phoneticPr fontId="6" type="noConversion"/>
  </si>
  <si>
    <t>생산 #8-1 국내용 100단위</t>
    <phoneticPr fontId="6" type="noConversion"/>
  </si>
  <si>
    <t>생산 #5-4 국내용 100단위 X22071</t>
    <phoneticPr fontId="6" type="noConversion"/>
  </si>
  <si>
    <t>생산 #4-12 유럽용 50단위 X22068</t>
    <phoneticPr fontId="6" type="noConversion"/>
  </si>
  <si>
    <t>생산 #5-2 유럽용 50단위 X22073</t>
    <phoneticPr fontId="6" type="noConversion"/>
  </si>
  <si>
    <t>생산 # 5-3 태국 100U 7월 선적1 
X22074</t>
    <phoneticPr fontId="6" type="noConversion"/>
  </si>
  <si>
    <t>생산 #5-5 국내용 100단위 X22077</t>
    <phoneticPr fontId="6" type="noConversion"/>
  </si>
  <si>
    <t>생산 #5-6 국내용 100단위 X22078</t>
    <phoneticPr fontId="6" type="noConversion"/>
  </si>
  <si>
    <t>생산 #5-7 국내용 100단위 X22079</t>
    <phoneticPr fontId="6" type="noConversion"/>
  </si>
  <si>
    <t>생산 #5-8 국내용 100단위 X22080</t>
    <phoneticPr fontId="6" type="noConversion"/>
  </si>
  <si>
    <t>생산 # 5-7 국내 200U X22083</t>
    <phoneticPr fontId="6" type="noConversion"/>
  </si>
  <si>
    <t>이물검사C #8-8</t>
    <phoneticPr fontId="6" type="noConversion"/>
  </si>
  <si>
    <t>이물검사C #9-10</t>
    <phoneticPr fontId="6" type="noConversion"/>
  </si>
  <si>
    <t>이물검사C #10-2</t>
    <phoneticPr fontId="6" type="noConversion"/>
  </si>
  <si>
    <t>이물검사C #10-6</t>
    <phoneticPr fontId="6" type="noConversion"/>
  </si>
  <si>
    <t>이물검사C #10-8</t>
    <phoneticPr fontId="6" type="noConversion"/>
  </si>
  <si>
    <t>이물검사C #11-3</t>
    <phoneticPr fontId="6" type="noConversion"/>
  </si>
  <si>
    <t>생산 #5-11 미국용 100단위 X22086</t>
    <phoneticPr fontId="6" type="noConversion"/>
  </si>
  <si>
    <t>생산 # 5-9 국내 200U X22088</t>
    <phoneticPr fontId="6" type="noConversion"/>
  </si>
  <si>
    <t>생산 # 5-10 국내 200U X22089</t>
    <phoneticPr fontId="6" type="noConversion"/>
  </si>
  <si>
    <t>생산 # 5-11 국내 200U X22090</t>
    <phoneticPr fontId="6" type="noConversion"/>
  </si>
  <si>
    <t>생산 # 4-8 태국 100U 6월 선적 4
X22061</t>
    <phoneticPr fontId="6" type="noConversion"/>
  </si>
  <si>
    <t>생산 # 4-8 태국 100U 6월 선적 4
X22061</t>
    <phoneticPr fontId="6" type="noConversion"/>
  </si>
  <si>
    <t>생산 # 대만 100U X21064H, X22019C</t>
    <phoneticPr fontId="6" type="noConversion"/>
  </si>
  <si>
    <t>생산 #4-10 국내용 100단위 X22058</t>
    <phoneticPr fontId="6" type="noConversion"/>
  </si>
  <si>
    <t>포장 #4-10 국내용 100단위 X22058</t>
    <phoneticPr fontId="6" type="noConversion"/>
  </si>
  <si>
    <t>영국 해체 작업 X22024A</t>
    <phoneticPr fontId="6" type="noConversion"/>
  </si>
  <si>
    <t>생산 #6-1 국내용 100단위 X22091</t>
    <phoneticPr fontId="6" type="noConversion"/>
  </si>
  <si>
    <t>생산 # 6-1 태국 100U 8월 선적1
X22095</t>
    <phoneticPr fontId="6" type="noConversion"/>
  </si>
  <si>
    <t>생산 # 6-2 태국 100U 8월 선적2
X22096</t>
    <phoneticPr fontId="6" type="noConversion"/>
  </si>
  <si>
    <t>생산 #5-9 ROW용 100단위 X22081(생산 중 일탈)</t>
    <phoneticPr fontId="6" type="noConversion"/>
  </si>
  <si>
    <t>포장 # 4-3 태국 200U 6월 선적1
X22047</t>
    <phoneticPr fontId="6" type="noConversion"/>
  </si>
  <si>
    <t>포장 # 5-2 태국 200U 7월 선적1 X22070</t>
    <phoneticPr fontId="6" type="noConversion"/>
  </si>
  <si>
    <t>포장# 4-7 국내용 100단위 
X22052</t>
    <phoneticPr fontId="6" type="noConversion"/>
  </si>
  <si>
    <t>포장 # 4-10 국내용 100단위 
X22057</t>
    <phoneticPr fontId="6" type="noConversion"/>
  </si>
  <si>
    <t>포장 #4-8 미국용 100단위 X22053</t>
  </si>
  <si>
    <t>포장 #국내용 200단위 X22063, X22064, X22065, X22069</t>
    <phoneticPr fontId="6" type="noConversion"/>
  </si>
  <si>
    <t>생산 # 6-3 태국 200U 8월 선적2
X22098</t>
    <phoneticPr fontId="6" type="noConversion"/>
  </si>
  <si>
    <t>생산 # 6-4 태국 100U 8월 선적3
X22099</t>
    <phoneticPr fontId="6" type="noConversion"/>
  </si>
  <si>
    <t>생산 # 6-5 태국 100U 8월 선적4
X22100</t>
    <phoneticPr fontId="6" type="noConversion"/>
  </si>
  <si>
    <t>생산 # 4-3 태국 200U 6월 선적1
X22054</t>
    <phoneticPr fontId="6" type="noConversion"/>
  </si>
  <si>
    <t>생산 # 5-5 테극 200U 7얼 선적 2
X22076</t>
    <phoneticPr fontId="6" type="noConversion"/>
  </si>
  <si>
    <t>포장 # 5-5 테극 200U 7얼 선적 2
X22076</t>
    <phoneticPr fontId="6" type="noConversion"/>
  </si>
  <si>
    <t>생산 # 5-4  태국 100U 7월 선적2
X22075</t>
    <phoneticPr fontId="6" type="noConversion"/>
  </si>
  <si>
    <t>생산 # 6-7 베트남 100U X22105</t>
    <phoneticPr fontId="6" type="noConversion"/>
  </si>
  <si>
    <t>생산 #6-6 미국용 100단위 X22102</t>
    <phoneticPr fontId="6" type="noConversion"/>
  </si>
  <si>
    <t>생산 #6-5 국내용 100단위 X22103</t>
    <phoneticPr fontId="6" type="noConversion"/>
  </si>
  <si>
    <t>생산 # 유럽용 50단위 X22024A, X22024C, X22073A</t>
    <phoneticPr fontId="6" type="noConversion"/>
  </si>
  <si>
    <t>포장 유럽용 50단위 X22073C</t>
    <phoneticPr fontId="6" type="noConversion"/>
  </si>
  <si>
    <t>포장 #4-13 국내용 100단위 X22066A, 약 24,000바이알</t>
    <phoneticPr fontId="6" type="noConversion"/>
  </si>
  <si>
    <t>생산 #5-11 캐나다용 100단위 X22086</t>
    <phoneticPr fontId="6" type="noConversion"/>
  </si>
  <si>
    <t>포장 # 5-4 국내용 100단위 X22071</t>
    <phoneticPr fontId="6" type="noConversion"/>
  </si>
  <si>
    <t>생산 # 5-8 국내 200U X22084</t>
    <phoneticPr fontId="6" type="noConversion"/>
  </si>
  <si>
    <t>생산 # 5-7 국내 200U X22083, X22084, X22088</t>
    <phoneticPr fontId="6" type="noConversion"/>
  </si>
  <si>
    <t>생산 # 5-9 국내 200U X22089, X22090, X22104</t>
    <phoneticPr fontId="6" type="noConversion"/>
  </si>
  <si>
    <t>생산 #5-10 미국용 100단위 X22085</t>
    <phoneticPr fontId="6" type="noConversion"/>
  </si>
  <si>
    <t>포장 #5-10 미국용 100단위 X22085</t>
    <phoneticPr fontId="6" type="noConversion"/>
  </si>
  <si>
    <t>생산 #5-12 브라질 100단위 X22087</t>
    <phoneticPr fontId="6" type="noConversion"/>
  </si>
  <si>
    <t>생산 #6-2 국내용 100단위 X22092</t>
    <phoneticPr fontId="6" type="noConversion"/>
  </si>
  <si>
    <t>생산 #6-3 미국용 100단위 X22093</t>
    <phoneticPr fontId="6" type="noConversion"/>
  </si>
  <si>
    <t>생산 #6-4 ROW 100단위 X22097</t>
    <phoneticPr fontId="6" type="noConversion"/>
  </si>
  <si>
    <t>포장 # #6-6 미국용 100단위 X22102</t>
    <phoneticPr fontId="6" type="noConversion"/>
  </si>
  <si>
    <t>생산 #6-7 국내용 100단위 X22106</t>
    <phoneticPr fontId="6" type="noConversion"/>
  </si>
  <si>
    <t>포장 #6-7 국내용 100단위 X22106</t>
    <phoneticPr fontId="6" type="noConversion"/>
  </si>
  <si>
    <t>생산 # 5-6 테극 100U 7얼 선적 3
X22082</t>
    <phoneticPr fontId="6" type="noConversion"/>
  </si>
  <si>
    <t>생산 # 5-12 테극 200U 8월 선적 1
X22094</t>
    <phoneticPr fontId="6" type="noConversion"/>
  </si>
  <si>
    <t>메디아필 1차</t>
    <phoneticPr fontId="6" type="noConversion"/>
  </si>
  <si>
    <t>생산 # 6-6 국내 200U X22104</t>
    <phoneticPr fontId="6" type="noConversion"/>
  </si>
  <si>
    <t>포장 # 5-12 테극 200U 8월 선적 1
X22094</t>
    <phoneticPr fontId="6" type="noConversion"/>
  </si>
  <si>
    <t>포장 # 6-1 태국 100U 8월 선적1
X22095</t>
    <phoneticPr fontId="6" type="noConversion"/>
  </si>
  <si>
    <t>포장 # 6-2 태국 100U 8월 선적2
X22096</t>
    <phoneticPr fontId="6" type="noConversion"/>
  </si>
  <si>
    <t>포장 # 6-3 태국 200U 8월 선적2
X22098</t>
    <phoneticPr fontId="6" type="noConversion"/>
  </si>
  <si>
    <t>포장 # 6-4 태국 100U 8월 선적3
X22099</t>
    <phoneticPr fontId="6" type="noConversion"/>
  </si>
  <si>
    <t>포장 # 6-5 태국 100U 8월 선적4
X22100</t>
    <phoneticPr fontId="6" type="noConversion"/>
  </si>
  <si>
    <t>포장 # 6-7 베트남 100U X22105</t>
    <phoneticPr fontId="6" type="noConversion"/>
  </si>
  <si>
    <t>포장 #5-8 국내용 100단위 X22080</t>
  </si>
  <si>
    <t>포장 #  #5-1 국내용 100단위 X22067A</t>
    <phoneticPr fontId="6" type="noConversion"/>
  </si>
  <si>
    <t>포장 #  #5-1 국내용 100단위 X22067C</t>
    <phoneticPr fontId="6" type="noConversion"/>
  </si>
  <si>
    <t>포장 #터키 100단위 X22066C, 
수량: 10,503바이알</t>
    <phoneticPr fontId="6" type="noConversion"/>
  </si>
  <si>
    <t>포장 # 5-12 브라질용 100단위 X22087C, 수량: 약 18,000</t>
    <phoneticPr fontId="6" type="noConversion"/>
  </si>
  <si>
    <t>생산 #4-11 브라질 100단위 X22087A, x22035C, 수량: 약 16,136, / 2,442</t>
    <phoneticPr fontId="6" type="noConversion"/>
  </si>
  <si>
    <t>생산 #4-11 브라질 100단위 X22059</t>
    <phoneticPr fontId="6" type="noConversion"/>
  </si>
  <si>
    <t>생산 #5-11 캐나다용 100단위 X22086</t>
    <phoneticPr fontId="6" type="noConversion"/>
  </si>
  <si>
    <t>포장 # 5-5 국내용 100단위 
X22077</t>
    <phoneticPr fontId="6" type="noConversion"/>
  </si>
  <si>
    <t>포장 #칠레 X22019E 2,400 바이알</t>
    <phoneticPr fontId="6" type="noConversion"/>
  </si>
  <si>
    <t>포장 #6-4 브라질 100단위 X22097</t>
    <phoneticPr fontId="6" type="noConversion"/>
  </si>
  <si>
    <t>포장 # 5-6 국내용 100단위 X22078C</t>
    <phoneticPr fontId="6" type="noConversion"/>
  </si>
  <si>
    <t>포장  #6-5 국내용 100단위 X22103</t>
    <phoneticPr fontId="6" type="noConversion"/>
  </si>
  <si>
    <t>#6-3 미국용 100단위 X22093</t>
  </si>
  <si>
    <t>생산 # 7-2 태국 100U_9월 선적2
X22108</t>
    <phoneticPr fontId="6" type="noConversion"/>
  </si>
  <si>
    <t>생산 # 7-3 태국 200U_9월 선적1
X22109</t>
    <phoneticPr fontId="6" type="noConversion"/>
  </si>
  <si>
    <t>생산 #8-1 국내용 100단위 X22110</t>
    <phoneticPr fontId="6" type="noConversion"/>
  </si>
  <si>
    <t>생산 #8-2 미국용 100단위 X22111</t>
    <phoneticPr fontId="6" type="noConversion"/>
  </si>
  <si>
    <t>생산 # 8-1 태국 200U_9월 선적2
X22113</t>
    <phoneticPr fontId="6" type="noConversion"/>
  </si>
  <si>
    <t>생산 # 8-2 필리핀 100U X22114</t>
    <phoneticPr fontId="6" type="noConversion"/>
  </si>
  <si>
    <t>포장 #6-1 국내용 100단위 X22091</t>
    <phoneticPr fontId="6" type="noConversion"/>
  </si>
  <si>
    <t>포장 # 5-7 국내용 100단위 X22079</t>
    <phoneticPr fontId="6" type="noConversion"/>
  </si>
  <si>
    <t>포장 #6-2 국내용 100단위 X22092</t>
    <phoneticPr fontId="6" type="noConversion"/>
  </si>
  <si>
    <t>생산 # 8-3 국내 200U X22115</t>
    <phoneticPr fontId="6" type="noConversion"/>
  </si>
  <si>
    <t>생산 #8-4 캐나다용 100단위_11월 선적 X22116</t>
    <phoneticPr fontId="6" type="noConversion"/>
  </si>
  <si>
    <t>생산 # 8-6 국내 200U X22121</t>
    <phoneticPr fontId="6" type="noConversion"/>
  </si>
  <si>
    <t>생산 #8-5 국내용 100단위 X22117</t>
    <phoneticPr fontId="6" type="noConversion"/>
  </si>
  <si>
    <t>#터키 100단위 X22078A(20,500EA)</t>
    <phoneticPr fontId="6" type="noConversion"/>
  </si>
  <si>
    <t>생산 # 8-8 태국 200U_10월 선적2
X22126</t>
    <phoneticPr fontId="6" type="noConversion"/>
  </si>
  <si>
    <t>생산 # 8-9 국내 200U X22127</t>
    <phoneticPr fontId="6" type="noConversion"/>
  </si>
  <si>
    <t>생산 # 8-10 국내 200U X22128</t>
    <phoneticPr fontId="6" type="noConversion"/>
  </si>
  <si>
    <t>포장 #8-5 국내용 100단위 X22117A</t>
    <phoneticPr fontId="6" type="noConversion"/>
  </si>
  <si>
    <t>포장  #8-4 캐나다용 100단위_11월 선적 X22116</t>
    <phoneticPr fontId="6" type="noConversion"/>
  </si>
  <si>
    <t>생산 #8-6 국내용 100단위 X22118</t>
    <phoneticPr fontId="6" type="noConversion"/>
  </si>
  <si>
    <t>생산 #8-7 국내용 100단위 X22122</t>
    <phoneticPr fontId="6" type="noConversion"/>
  </si>
  <si>
    <t>포장 #8-7 국내용 100단위 X22122</t>
    <phoneticPr fontId="6" type="noConversion"/>
  </si>
  <si>
    <t>포장 #8-6 국내용 100단위 X22118</t>
    <phoneticPr fontId="6" type="noConversion"/>
  </si>
  <si>
    <t>생산 #8-8 국내용 100단위 X22123</t>
    <phoneticPr fontId="6" type="noConversion"/>
  </si>
  <si>
    <t>생산 #8-9 국내용 100단위 X22124</t>
    <phoneticPr fontId="6" type="noConversion"/>
  </si>
  <si>
    <t>포장 #8-9 국내용 100단위 X22124</t>
    <phoneticPr fontId="6" type="noConversion"/>
  </si>
  <si>
    <t>생산 #8-10 국내용 100단위 X22129</t>
    <phoneticPr fontId="6" type="noConversion"/>
  </si>
  <si>
    <t>포장  #8-10 국내용 100단위 X22129</t>
    <phoneticPr fontId="6" type="noConversion"/>
  </si>
  <si>
    <t>포장 #8-1 국내용 100단위 X22110A</t>
    <phoneticPr fontId="6" type="noConversion"/>
  </si>
  <si>
    <t>생산 # 9-1 태국 100U_11월 선적1 X22132</t>
    <phoneticPr fontId="6" type="noConversion"/>
  </si>
  <si>
    <t>생산 # 8-11 국내 200U X22130</t>
    <phoneticPr fontId="6" type="noConversion"/>
  </si>
  <si>
    <t>생산 # 8-12 국내 200U X22131</t>
    <phoneticPr fontId="6" type="noConversion"/>
  </si>
  <si>
    <t>생산 #8-3 ROW 100단위 X22112</t>
    <phoneticPr fontId="6" type="noConversion"/>
  </si>
  <si>
    <t>포장 #9-1 국내용 100단위 X22133</t>
    <phoneticPr fontId="6" type="noConversion"/>
  </si>
  <si>
    <t>포장 #8-3 브라질 100단위 X22112</t>
    <phoneticPr fontId="6" type="noConversion"/>
  </si>
  <si>
    <t>포장 # 8-11 국내 200U X22130, X22131</t>
    <phoneticPr fontId="6" type="noConversion"/>
  </si>
  <si>
    <t>생산 # 국내 200U X22128, 페루 X22117C</t>
    <phoneticPr fontId="6" type="noConversion"/>
  </si>
  <si>
    <t>생산 # 7-1 태국 100U_9월 선적1
X22107</t>
    <phoneticPr fontId="6" type="noConversion"/>
  </si>
  <si>
    <t>포장 # 7-1 태국 100U_9월 선적1
X22107</t>
    <phoneticPr fontId="6" type="noConversion"/>
  </si>
  <si>
    <t>포장 # 7-2 태국 100U_9월 선적2
X22108</t>
    <phoneticPr fontId="6" type="noConversion"/>
  </si>
  <si>
    <t>생산 # 8-4 태국 100U_10월 선적1 
X22119</t>
    <phoneticPr fontId="6" type="noConversion"/>
  </si>
  <si>
    <t>생산 # 8-5 태국 100U_10월 선적2
X22120</t>
    <phoneticPr fontId="6" type="noConversion"/>
  </si>
  <si>
    <t>포장 #8-1 국내용 100단위 X22110C, 국내 200U X22115</t>
    <phoneticPr fontId="6" type="noConversion"/>
  </si>
  <si>
    <t>생산 # 국내 200U X22121, X22127</t>
    <phoneticPr fontId="6" type="noConversion"/>
  </si>
  <si>
    <t>생산 #9-2 미국용 100단위 X22134</t>
    <phoneticPr fontId="6" type="noConversion"/>
  </si>
  <si>
    <t>생산 # 9-2 태국 100U_11월 선적2
X22136</t>
    <phoneticPr fontId="6" type="noConversion"/>
  </si>
  <si>
    <t>생산 # 9-3 태국 200U_11월 선적1 X22137</t>
    <phoneticPr fontId="6" type="noConversion"/>
  </si>
  <si>
    <t>포장  #국내용 50단위 X21135</t>
    <phoneticPr fontId="6" type="noConversion"/>
  </si>
  <si>
    <t>생산 # 9-4 국내 200U X22140</t>
    <phoneticPr fontId="6" type="noConversion"/>
  </si>
  <si>
    <t>생산 # 9-5 국내 200U X22141</t>
    <phoneticPr fontId="6" type="noConversion"/>
  </si>
  <si>
    <t>생산 #9-4 미국용 100단위 X22135</t>
    <phoneticPr fontId="6" type="noConversion"/>
  </si>
  <si>
    <t>생산 #9-5 국내 100단위 X22139</t>
    <phoneticPr fontId="6" type="noConversion"/>
  </si>
  <si>
    <t>이물검사C # X22124 / 완료</t>
    <phoneticPr fontId="6" type="noConversion"/>
  </si>
  <si>
    <t>이물검사C # X22129</t>
    <phoneticPr fontId="6" type="noConversion"/>
  </si>
  <si>
    <t>이물검사C # X22129 / 종료</t>
    <phoneticPr fontId="6" type="noConversion"/>
  </si>
  <si>
    <t>이물검사C # X22133</t>
    <phoneticPr fontId="6" type="noConversion"/>
  </si>
  <si>
    <t>이물검사C # X22133 / 종료</t>
    <phoneticPr fontId="6" type="noConversion"/>
  </si>
  <si>
    <t>이물검사C # X22134</t>
    <phoneticPr fontId="6" type="noConversion"/>
  </si>
  <si>
    <t>이물검사C # X22134 / 종료</t>
    <phoneticPr fontId="6" type="noConversion"/>
  </si>
  <si>
    <t>이물검사C #9-6</t>
    <phoneticPr fontId="6" type="noConversion"/>
  </si>
  <si>
    <t>이물검사C #9-7</t>
    <phoneticPr fontId="6" type="noConversion"/>
  </si>
  <si>
    <t>이물검사C #9-8</t>
    <phoneticPr fontId="6" type="noConversion"/>
  </si>
  <si>
    <t>이물검사C #9-9</t>
    <phoneticPr fontId="6" type="noConversion"/>
  </si>
  <si>
    <t>이물검사C #10-1</t>
    <phoneticPr fontId="6" type="noConversion"/>
  </si>
  <si>
    <t>이물검사C #10-9</t>
    <phoneticPr fontId="6" type="noConversion"/>
  </si>
  <si>
    <t>이물검사C #10-11</t>
    <phoneticPr fontId="6" type="noConversion"/>
  </si>
  <si>
    <t>이물검사C #11-1</t>
    <phoneticPr fontId="6" type="noConversion"/>
  </si>
  <si>
    <t>생산 #9-3 국내 100단위 X22138</t>
    <phoneticPr fontId="6" type="noConversion"/>
  </si>
  <si>
    <t>생산 #9-1 국내 100단위 X22133</t>
    <phoneticPr fontId="6" type="noConversion"/>
  </si>
  <si>
    <t>생산 # 8-7 태국 200U_10월 선적1
X22125</t>
    <phoneticPr fontId="6" type="noConversion"/>
  </si>
  <si>
    <t>생산 # 8-4 태국 100U_10월 선적1 
X22119</t>
    <phoneticPr fontId="6" type="noConversion"/>
  </si>
  <si>
    <t>포장 # 8-7 태국 200U_10월 선적1
X22125</t>
    <phoneticPr fontId="6" type="noConversion"/>
  </si>
  <si>
    <t>생산 # 8-5 태국 100U_10월 선적2
X22120</t>
    <phoneticPr fontId="6" type="noConversion"/>
  </si>
  <si>
    <t>이물검사C # X22139</t>
    <phoneticPr fontId="6" type="noConversion"/>
  </si>
  <si>
    <t>이물검사C # X22139</t>
    <phoneticPr fontId="6" type="noConversion"/>
  </si>
  <si>
    <t>이물검사C # X22139 / 종료</t>
    <phoneticPr fontId="6" type="noConversion"/>
  </si>
  <si>
    <t>이물검사C #X22135</t>
    <phoneticPr fontId="6" type="noConversion"/>
  </si>
  <si>
    <t>이물검사C #X22135</t>
    <phoneticPr fontId="6" type="noConversion"/>
  </si>
  <si>
    <t>이물검사C # X22135</t>
    <phoneticPr fontId="6" type="noConversion"/>
  </si>
  <si>
    <t>이물검사C #9-7</t>
    <phoneticPr fontId="6" type="noConversion"/>
  </si>
  <si>
    <t>이물검사C #9-7</t>
    <phoneticPr fontId="6" type="noConversion"/>
  </si>
  <si>
    <t>이물검사C #9-8</t>
    <phoneticPr fontId="6" type="noConversion"/>
  </si>
  <si>
    <t>이물검사C #9-9</t>
    <phoneticPr fontId="6" type="noConversion"/>
  </si>
  <si>
    <t>이물검사C #9-9</t>
    <phoneticPr fontId="6" type="noConversion"/>
  </si>
  <si>
    <t>이물검사C #9-10</t>
    <phoneticPr fontId="6" type="noConversion"/>
  </si>
  <si>
    <t>이물검사C #9-11</t>
    <phoneticPr fontId="6" type="noConversion"/>
  </si>
  <si>
    <t>이물검사C #10-11</t>
    <phoneticPr fontId="6" type="noConversion"/>
  </si>
  <si>
    <t>이물검사C #10-12</t>
    <phoneticPr fontId="6" type="noConversion"/>
  </si>
  <si>
    <t>이물검사C #10-12</t>
    <phoneticPr fontId="6" type="noConversion"/>
  </si>
  <si>
    <t>이물검사C #10-12</t>
    <phoneticPr fontId="6" type="noConversion"/>
  </si>
  <si>
    <t>이물검사C # 버퍼</t>
    <phoneticPr fontId="6" type="noConversion"/>
  </si>
  <si>
    <t>포장 #9-5 국내 100단위 X22139</t>
    <phoneticPr fontId="6" type="noConversion"/>
  </si>
  <si>
    <t>포장  #8-8 브라질용 100단위 X22123</t>
    <phoneticPr fontId="6" type="noConversion"/>
  </si>
  <si>
    <t>생산 #9-6 국내용 100단위 X22142</t>
    <phoneticPr fontId="6" type="noConversion"/>
  </si>
  <si>
    <t>생산 #9-7 국내용 100단위 X22143</t>
    <phoneticPr fontId="6" type="noConversion"/>
  </si>
  <si>
    <t>생산 #9-8 국내용 100단위 X22144</t>
    <phoneticPr fontId="6" type="noConversion"/>
  </si>
  <si>
    <t>생산 # 9-6 태국 100U 11월 선적3
 X22145</t>
    <phoneticPr fontId="6" type="noConversion"/>
  </si>
  <si>
    <t>생산 # 9-7 태국 200U 11월 선적2
X22146</t>
    <phoneticPr fontId="6" type="noConversion"/>
  </si>
  <si>
    <t>생산 # 9-8 국내 200U X22147</t>
    <phoneticPr fontId="6" type="noConversion"/>
  </si>
  <si>
    <t>생산 #9-9 국내용 100단위 X22148</t>
    <phoneticPr fontId="6" type="noConversion"/>
  </si>
  <si>
    <t>생산 #9-10 국내용 100단위 X22149</t>
    <phoneticPr fontId="6" type="noConversion"/>
  </si>
  <si>
    <t>생산 # 9-9  국내 200U X22151</t>
    <phoneticPr fontId="6" type="noConversion"/>
  </si>
  <si>
    <t>생산 # 9-11  베트남 100U 12월 선적 2
X22153</t>
    <phoneticPr fontId="6" type="noConversion"/>
  </si>
  <si>
    <t>생산 # 9-10  베트남 100U 12월 선적 1 
X22152</t>
    <phoneticPr fontId="6" type="noConversion"/>
  </si>
  <si>
    <t>포장 # 국내 200U X22140, X22141</t>
    <phoneticPr fontId="6" type="noConversion"/>
  </si>
  <si>
    <t>포장 #9-2 미국용 100단위 X22134</t>
    <phoneticPr fontId="6" type="noConversion"/>
  </si>
  <si>
    <t>포장 #9-6 국내용 100단위 X22142</t>
    <phoneticPr fontId="6" type="noConversion"/>
  </si>
  <si>
    <t>포장#9-7 국내용 100단위 X22143</t>
    <phoneticPr fontId="6" type="noConversion"/>
  </si>
  <si>
    <t>포장 #9-8 국내용 100단위 X22144</t>
    <phoneticPr fontId="6" type="noConversion"/>
  </si>
  <si>
    <t>포장#9-8 국내용 100단위 X22144</t>
    <phoneticPr fontId="6" type="noConversion"/>
  </si>
  <si>
    <t>포장 #9-10 국내용 100단위 X22149</t>
    <phoneticPr fontId="6" type="noConversion"/>
  </si>
  <si>
    <t>포장 # 대만 X22139C(9,600바이알).
파나마 X22019F(2,400바이알)</t>
    <phoneticPr fontId="6" type="noConversion"/>
  </si>
  <si>
    <t>포장 #8-2 미국용 100단위 X22111A</t>
    <phoneticPr fontId="6" type="noConversion"/>
  </si>
  <si>
    <t>포장 # 국내 200U X22147, 국내 100U X22111C(6,846VIAL)</t>
    <phoneticPr fontId="6" type="noConversion"/>
  </si>
  <si>
    <t>포장 # 국내 200U X22151, 인도 X22139E</t>
    <phoneticPr fontId="6" type="noConversion"/>
  </si>
  <si>
    <t>생산 # 10-1 베트남 100U 12월 선적 3
X22156</t>
    <phoneticPr fontId="6" type="noConversion"/>
  </si>
  <si>
    <t>생산 # 10-2 태국 100U 12월 선적건1
X22157</t>
    <phoneticPr fontId="6" type="noConversion"/>
  </si>
  <si>
    <t>생산 # 10-3 태국 200U 12월 선적건1
X22158</t>
    <phoneticPr fontId="6" type="noConversion"/>
  </si>
  <si>
    <t>생산 #10-3 ROW 100단위(터키, 8300169)  X22155</t>
    <phoneticPr fontId="6" type="noConversion"/>
  </si>
  <si>
    <t>생산 # 12-8 액상제형 임상</t>
    <phoneticPr fontId="6" type="noConversion"/>
  </si>
  <si>
    <t>생산 #10-4 국내용 100단위X22159</t>
    <phoneticPr fontId="6" type="noConversion"/>
  </si>
  <si>
    <t>포장 # 9-1 태국 100U_11월 선적1 X22132</t>
    <phoneticPr fontId="6" type="noConversion"/>
  </si>
  <si>
    <t>포장#9-6 태국 100U 11월 선적3  X22145</t>
    <phoneticPr fontId="6" type="noConversion"/>
  </si>
  <si>
    <t>포장#9-7 태국 200U 11월 선적2
X22146</t>
    <phoneticPr fontId="6" type="noConversion"/>
  </si>
  <si>
    <t>포장 # 9-3 태국 200U_11월 선적1 X22137</t>
    <phoneticPr fontId="6" type="noConversion"/>
  </si>
  <si>
    <t>포장 # 9-2 태국 100U_11월 선적2
X22136</t>
    <phoneticPr fontId="6" type="noConversion"/>
  </si>
  <si>
    <t>포장# 8-8 태국 200U_10월 선적2
X22126</t>
    <phoneticPr fontId="6" type="noConversion"/>
  </si>
  <si>
    <t>생산 #10-5 유럽용 50단위 X22163</t>
    <phoneticPr fontId="6" type="noConversion"/>
  </si>
  <si>
    <t>생산 #10-6 유럽용 50단위 X22164</t>
    <phoneticPr fontId="6" type="noConversion"/>
  </si>
  <si>
    <t>생산 # 10-5 국내 200U X22161</t>
    <phoneticPr fontId="6" type="noConversion"/>
  </si>
  <si>
    <t>생산 # 10-6 국내 200U X22162</t>
    <phoneticPr fontId="6" type="noConversion"/>
  </si>
  <si>
    <t>생산 # 10-4 베트남 100U 12월 선적4
X22160</t>
    <phoneticPr fontId="6" type="noConversion"/>
  </si>
  <si>
    <t>생산 # 10-9 국내 200U X22168</t>
    <phoneticPr fontId="6" type="noConversion"/>
  </si>
  <si>
    <t>포장 # 10-5 국내 200U X22161
10-6 국내 200U X22162</t>
    <phoneticPr fontId="6" type="noConversion"/>
  </si>
  <si>
    <t>생산 # 10-7 국내 200U X22166</t>
    <phoneticPr fontId="6" type="noConversion"/>
  </si>
  <si>
    <t>생산 # 10-8 국내 200U X22167</t>
    <phoneticPr fontId="6" type="noConversion"/>
  </si>
  <si>
    <t>포장 # 10-7 국내 200U X22166
10-8 국내 200U X22167</t>
    <phoneticPr fontId="6" type="noConversion"/>
  </si>
  <si>
    <t>포장 # 10-3 태국 200U 12월 선적건1
X22158</t>
    <phoneticPr fontId="6" type="noConversion"/>
  </si>
  <si>
    <t>포장 # 10-1 베트남 100U 12월 선적 3
X22156</t>
    <phoneticPr fontId="6" type="noConversion"/>
  </si>
  <si>
    <t>포장 # 9-11  베트남 100U 12월 선적 2
X22153</t>
    <phoneticPr fontId="6" type="noConversion"/>
  </si>
  <si>
    <t>포장 #10-6 유럽용 50단위 X22164</t>
    <phoneticPr fontId="6" type="noConversion"/>
  </si>
  <si>
    <t>포장  #10-3 터키용 100단위 X22155</t>
    <phoneticPr fontId="6" type="noConversion"/>
  </si>
  <si>
    <t>이물검사C #10-8 / 종료</t>
    <phoneticPr fontId="6" type="noConversion"/>
  </si>
  <si>
    <t>생산 #10-7 미국100단위 
X22165</t>
    <phoneticPr fontId="6" type="noConversion"/>
  </si>
  <si>
    <t>생산 #10-7 미국100단위 X22176</t>
    <phoneticPr fontId="6" type="noConversion"/>
  </si>
  <si>
    <t>생산 #10-11 국내용 100단위 X22172</t>
    <phoneticPr fontId="6" type="noConversion"/>
  </si>
  <si>
    <t>생산 #10-10 국내용 100단위 X22171</t>
    <phoneticPr fontId="6" type="noConversion"/>
  </si>
  <si>
    <t>생산 #10-9 브라질용 100단위 X22170</t>
    <phoneticPr fontId="6" type="noConversion"/>
  </si>
  <si>
    <t>생산 #10-8 브라질용 100단위 X22169</t>
    <phoneticPr fontId="6" type="noConversion"/>
  </si>
  <si>
    <t>포장 #10-8 브라질용 100단위 X22169</t>
    <phoneticPr fontId="6" type="noConversion"/>
  </si>
  <si>
    <t>생산 # 10-10 국내 200U X22173</t>
    <phoneticPr fontId="6" type="noConversion"/>
  </si>
  <si>
    <t>포장 #10-9 국내 200U X22168, X22173</t>
    <phoneticPr fontId="6" type="noConversion"/>
  </si>
  <si>
    <t>생산 #10-1 국내용 100단위 X22154</t>
    <phoneticPr fontId="6" type="noConversion"/>
  </si>
  <si>
    <t>생산 #10-2 국내용 100단위 X22150</t>
    <phoneticPr fontId="6" type="noConversion"/>
  </si>
  <si>
    <t>포장 #10-2 국내용 100단위 X22150</t>
    <phoneticPr fontId="6" type="noConversion"/>
  </si>
  <si>
    <t>포장 #10-7 미국용 100단위 
X22176</t>
    <phoneticPr fontId="6" type="noConversion"/>
  </si>
  <si>
    <t>포장 # 10-2 태국 100U 12월 선적건1
X22157</t>
    <phoneticPr fontId="6" type="noConversion"/>
  </si>
  <si>
    <t>포장 #10-5 유럽용 50단위 X22163</t>
    <phoneticPr fontId="6" type="noConversion"/>
  </si>
  <si>
    <t>포장  #10-1 국내용 100단위 X22154</t>
    <phoneticPr fontId="6" type="noConversion"/>
  </si>
  <si>
    <t>포장  #10-1 국내용 100단위 X22154</t>
    <phoneticPr fontId="6" type="noConversion"/>
  </si>
  <si>
    <t>생산 #11-1 국내용 100단위 X22181</t>
    <phoneticPr fontId="6" type="noConversion"/>
  </si>
  <si>
    <t>생산 # 11-1 태국 100U 1월 선적건 1
X22177</t>
    <phoneticPr fontId="6" type="noConversion"/>
  </si>
  <si>
    <t>생산 # 11-2 태국 200U 1월 선적건 1
X22178</t>
    <phoneticPr fontId="6" type="noConversion"/>
  </si>
  <si>
    <t>생산 # 11-3 국내 200U X22179</t>
    <phoneticPr fontId="6" type="noConversion"/>
  </si>
  <si>
    <t>생산 #10-12 미국용 100단위
X22180</t>
    <phoneticPr fontId="6" type="noConversion"/>
  </si>
  <si>
    <t>생산 # 11-4 태국 100U 1월 선적건 2
X22186</t>
    <phoneticPr fontId="6" type="noConversion"/>
  </si>
  <si>
    <t>생산 # 11-5 태국 200U 1월 선적건 2
X22187</t>
    <phoneticPr fontId="6" type="noConversion"/>
  </si>
  <si>
    <t>생산 # 11-6 국내 200U
X22188</t>
    <phoneticPr fontId="6" type="noConversion"/>
  </si>
  <si>
    <t>생산 #12-11 듀얼브랜드 건조공정 확보</t>
    <phoneticPr fontId="6" type="noConversion"/>
  </si>
  <si>
    <t>생산 # 9-10  베트남 100U 12월 선적 1 
X22152</t>
    <phoneticPr fontId="6" type="noConversion"/>
  </si>
  <si>
    <t>포장 # 11-4 태국 100U 1월 선적건 2
X22186</t>
    <phoneticPr fontId="6" type="noConversion"/>
  </si>
  <si>
    <t>포장 # 11-5 태국 200U 1월 선적건 2
X22187</t>
    <phoneticPr fontId="6" type="noConversion"/>
  </si>
  <si>
    <t>포장 # 11-1 태국 100U 1월 선적건 1
X22177</t>
    <phoneticPr fontId="6" type="noConversion"/>
  </si>
  <si>
    <t>포장 # 11-2 태국 200U 1월 선적건 1
X22178</t>
    <phoneticPr fontId="6" type="noConversion"/>
  </si>
  <si>
    <t>생산 # 10-11 아랍 100U_12월 선적1
X22174</t>
    <phoneticPr fontId="6" type="noConversion"/>
  </si>
  <si>
    <t>포장 # 10-11 아랍 100U_12월 선적1
X22174</t>
    <phoneticPr fontId="6" type="noConversion"/>
  </si>
  <si>
    <t>생산 # 10-12 아랍 100U_12월 선적2
X22175</t>
    <phoneticPr fontId="6" type="noConversion"/>
  </si>
  <si>
    <t>포장 # 10-12 아랍 100U_12월 선적2
X22175</t>
    <phoneticPr fontId="6" type="noConversion"/>
  </si>
  <si>
    <t>포장  #10-10 국내용 100단위 X22171(PR71412 진행사항 확인필요)</t>
    <phoneticPr fontId="6" type="noConversion"/>
  </si>
  <si>
    <t>생산 #11-6 유럽용 50단위 X22189</t>
    <phoneticPr fontId="6" type="noConversion"/>
  </si>
  <si>
    <t>생산 #11-7 유럽용 50단위 X22190</t>
    <phoneticPr fontId="6" type="noConversion"/>
  </si>
  <si>
    <t>생산 #11-8 유럽용 50단위 X22191</t>
    <phoneticPr fontId="6" type="noConversion"/>
  </si>
  <si>
    <t>생산 # 11-9  태국 100U 1월 선적건 4 
X22194</t>
    <phoneticPr fontId="6" type="noConversion"/>
  </si>
  <si>
    <t>생산 # 11-8 태국 200U 1월 선적건 3
X22193</t>
    <phoneticPr fontId="6" type="noConversion"/>
  </si>
  <si>
    <t>생산 # 11-10 국내 200U X22195</t>
    <phoneticPr fontId="6" type="noConversion"/>
  </si>
  <si>
    <t>포장 # 10-4 베트남 100U 12월 선적건4 X22160</t>
    <phoneticPr fontId="6" type="noConversion"/>
  </si>
  <si>
    <t>포장 #칠레 100U X22139F(2,400)
11-3 국내 200U X22179</t>
    <phoneticPr fontId="6" type="noConversion"/>
  </si>
  <si>
    <t>생산 # 11-11 국내 200U X22196</t>
    <phoneticPr fontId="6" type="noConversion"/>
  </si>
  <si>
    <t>생산 # 11-12 국내 200U X22197</t>
    <phoneticPr fontId="6" type="noConversion"/>
  </si>
  <si>
    <t>포장# 국내 200U X22196,  X22197</t>
    <phoneticPr fontId="6" type="noConversion"/>
  </si>
  <si>
    <t>생산 #11-5 브라질 100단위 X22185</t>
    <phoneticPr fontId="6" type="noConversion"/>
  </si>
  <si>
    <t>생산 #10-12 미국용 100단위 X22180</t>
    <phoneticPr fontId="6" type="noConversion"/>
  </si>
  <si>
    <t>포장 #11-1 국내용 100단위 X22181</t>
    <phoneticPr fontId="6" type="noConversion"/>
  </si>
  <si>
    <t>생산 #11-2 국내용 100단위 X22182</t>
    <phoneticPr fontId="6" type="noConversion"/>
  </si>
  <si>
    <t>생산 #11-4 국내용 100단위 X22184</t>
    <phoneticPr fontId="6" type="noConversion"/>
  </si>
  <si>
    <t>생산 #11-9 미국용 100단위 X22198</t>
    <phoneticPr fontId="6" type="noConversion"/>
  </si>
  <si>
    <t>포장#10-4 국내용100단위 X22159</t>
    <phoneticPr fontId="6" type="noConversion"/>
  </si>
  <si>
    <t>포장 #국내 200U X22188,
X22195</t>
    <phoneticPr fontId="6" type="noConversion"/>
  </si>
  <si>
    <t>포장 # 미국용 100단위 X22176</t>
    <phoneticPr fontId="6" type="noConversion"/>
  </si>
  <si>
    <t>포장 # 브라질 100단위 X22170</t>
    <phoneticPr fontId="6" type="noConversion"/>
  </si>
  <si>
    <t>생산 #11-10 국내용 100단위</t>
    <phoneticPr fontId="6" type="noConversion"/>
  </si>
  <si>
    <t>생산 # 11-14 태국 100U 2월 선적 2 
X22201</t>
    <phoneticPr fontId="6" type="noConversion"/>
  </si>
  <si>
    <t>생산 #12-1 미국용 100단위 X22206</t>
    <phoneticPr fontId="6" type="noConversion"/>
  </si>
  <si>
    <t>생산 # 12-2 태국 200U 2월 선적1
X22207</t>
    <phoneticPr fontId="6" type="noConversion"/>
  </si>
  <si>
    <t>생산 # 12-3 태국 200U 2월 선적 2
X22208</t>
    <phoneticPr fontId="6" type="noConversion"/>
  </si>
  <si>
    <t>생산 # 12-4 태국 100U 3월 선적1 X22212</t>
    <phoneticPr fontId="6" type="noConversion"/>
  </si>
  <si>
    <t>생산 #12-12 연구-듀얼브랜드 자재 이원화 FULL TEST 생산</t>
    <phoneticPr fontId="6" type="noConversion"/>
  </si>
  <si>
    <t>생산 # 12-5  태국 100U 3월 선적2
X22217</t>
    <phoneticPr fontId="6" type="noConversion"/>
  </si>
  <si>
    <t>생산 # 12-7 태국 200U 3월 선적 1
X22218</t>
    <phoneticPr fontId="6" type="noConversion"/>
  </si>
  <si>
    <t>생산 # 12-10 태국 200U 3월 선적2
X22219</t>
    <phoneticPr fontId="6" type="noConversion"/>
  </si>
  <si>
    <t>생산 #12-13  연구-듀얼브랜드 자재 이원화 FULL TEST 생산(R2값 변경)</t>
    <phoneticPr fontId="6" type="noConversion"/>
  </si>
  <si>
    <t>생산 #11-3 미국용 100단위 X22183</t>
    <phoneticPr fontId="6" type="noConversion"/>
  </si>
  <si>
    <t>포장 #11-3 미국용 100단위 X22183</t>
    <phoneticPr fontId="6" type="noConversion"/>
  </si>
  <si>
    <t>포장  #11-4 국내용 100단위 X22184</t>
    <phoneticPr fontId="6" type="noConversion"/>
  </si>
  <si>
    <t>생산 #11-11 국내용 50단위 X22203</t>
    <phoneticPr fontId="6" type="noConversion"/>
  </si>
  <si>
    <t>생산 #11-12 미국용 100단위 X22204</t>
    <phoneticPr fontId="6" type="noConversion"/>
  </si>
  <si>
    <t>포장 #12-1 미국용 100단위 X22206</t>
    <phoneticPr fontId="6" type="noConversion"/>
  </si>
  <si>
    <t>생산 #12-4 중국용 100단위 X22213</t>
    <phoneticPr fontId="6" type="noConversion"/>
  </si>
  <si>
    <t>생산 #12-5 미국용 100단위 X22214</t>
    <phoneticPr fontId="6" type="noConversion"/>
  </si>
  <si>
    <t>포장 #12-6 국내용 100단위 X22205</t>
    <phoneticPr fontId="6" type="noConversion"/>
  </si>
  <si>
    <t>생산 # 12-1 국내 200U X22202</t>
    <phoneticPr fontId="6" type="noConversion"/>
  </si>
  <si>
    <t>포장 #12-3 미국용 100단위 X22211, 5월 선적 건</t>
    <phoneticPr fontId="6" type="noConversion"/>
  </si>
  <si>
    <t>생산 # 11-13 태국 100U 2월 선적1
X22200</t>
    <phoneticPr fontId="6" type="noConversion"/>
  </si>
  <si>
    <t>포장# 11-13 태국 100U 2월 선적1
X22200</t>
    <phoneticPr fontId="6" type="noConversion"/>
  </si>
  <si>
    <t>포장 # 11-14 태국 100U 2월 선적 2 
X22201</t>
    <phoneticPr fontId="6" type="noConversion"/>
  </si>
  <si>
    <t>포장# 임상(가려움증) X22203C</t>
    <phoneticPr fontId="6" type="noConversion"/>
  </si>
  <si>
    <t>포장 # 12-2 태국 200U 2월 선적1
X22207</t>
    <phoneticPr fontId="6" type="noConversion"/>
  </si>
  <si>
    <t>포장 # 12-3 태국 200U 2월 선적 2
X22208</t>
    <phoneticPr fontId="6" type="noConversion"/>
  </si>
  <si>
    <t>포장 # 12-4 태국 100U 3월 선적1 X22212</t>
    <phoneticPr fontId="6" type="noConversion"/>
  </si>
  <si>
    <t>포장 # 12-5  태국 100U 3월 선적2
X22217</t>
    <phoneticPr fontId="6" type="noConversion"/>
  </si>
  <si>
    <t>포장 # 12-7 태국 200U 3월 선적 1
X22218</t>
    <phoneticPr fontId="6" type="noConversion"/>
  </si>
  <si>
    <t>포장 # 12-10 태국 200U 3월 선적2
X22219</t>
    <phoneticPr fontId="6" type="noConversion"/>
  </si>
  <si>
    <t>포장 #10-11 국내용 100단위 X22172A</t>
    <phoneticPr fontId="6" type="noConversion"/>
  </si>
  <si>
    <t>포장  #11-5 브라질 100단위 X22185</t>
    <phoneticPr fontId="6" type="noConversion"/>
  </si>
  <si>
    <t>생산 #12-7 국내용 100단위 X22215</t>
    <phoneticPr fontId="6" type="noConversion"/>
  </si>
  <si>
    <t>포장# 200U PV Z22001C, Z22002C, Z22003C, 국내 200U X22202</t>
    <phoneticPr fontId="6" type="noConversion"/>
  </si>
  <si>
    <t>생산 # 12-11 태국 200U 3월 선적3
X22223</t>
    <phoneticPr fontId="6" type="noConversion"/>
  </si>
  <si>
    <t>생산 # 12-12 태국 200U 3월 선적4
X22224</t>
    <phoneticPr fontId="6" type="noConversion"/>
  </si>
  <si>
    <t>생산 # 12-13  태국 200U 3월 선적5
X22225</t>
    <phoneticPr fontId="6" type="noConversion"/>
  </si>
  <si>
    <t>생산 #12-9 미국용 100단위 X22226</t>
    <phoneticPr fontId="6" type="noConversion"/>
  </si>
  <si>
    <t>생산 # 11-7 태국 100U 1월 선적건 3 
X22192</t>
    <phoneticPr fontId="6" type="noConversion"/>
  </si>
  <si>
    <t>포장 # 11-7 태국 100U 1월 선적건 3 X22192</t>
    <phoneticPr fontId="6" type="noConversion"/>
  </si>
  <si>
    <t>포장 #11-7 영국 50단위 X22189</t>
    <phoneticPr fontId="6" type="noConversion"/>
  </si>
  <si>
    <t>포장 #11-6 DE/AT 50단위 
X22190A, 약 17,877EA</t>
    <phoneticPr fontId="6" type="noConversion"/>
  </si>
  <si>
    <t>이물검사C # 국내용 50단위 X22203</t>
    <phoneticPr fontId="6" type="noConversion"/>
  </si>
  <si>
    <t>이물검사C # ROW 100단위 X22199</t>
    <phoneticPr fontId="6" type="noConversion"/>
  </si>
  <si>
    <t>이물검사C # 미국용 100단위 X22204</t>
    <phoneticPr fontId="6" type="noConversion"/>
  </si>
  <si>
    <t>이물검사C # 미국용 100단위 X22204</t>
    <phoneticPr fontId="6" type="noConversion"/>
  </si>
  <si>
    <t>이물검사C #미국용 100단위 X22206</t>
    <phoneticPr fontId="6" type="noConversion"/>
  </si>
  <si>
    <t>생산 #12-2 캐나다용 100단위 X22210, 3월 선적 건</t>
    <phoneticPr fontId="6" type="noConversion"/>
  </si>
  <si>
    <t>이물검사C #캐나다용 100단위 X22210</t>
    <phoneticPr fontId="6" type="noConversion"/>
  </si>
  <si>
    <t>생산 #12-3 미국용 100단위 X22211, 5월 선적 건</t>
    <phoneticPr fontId="6" type="noConversion"/>
  </si>
  <si>
    <t>이물검사C #미국용 100단위 X22211</t>
    <phoneticPr fontId="6" type="noConversion"/>
  </si>
  <si>
    <t>포장  #10-12 미국용 100단위 X22180</t>
    <phoneticPr fontId="6" type="noConversion"/>
  </si>
  <si>
    <t>생산 #12-6 국내용 100단위 X22205</t>
    <phoneticPr fontId="6" type="noConversion"/>
  </si>
  <si>
    <t>이물검사C #국내용 100단위 X22205</t>
    <phoneticPr fontId="6" type="noConversion"/>
  </si>
  <si>
    <t>이물검사C #국내용 100단위 X22215</t>
    <phoneticPr fontId="6" type="noConversion"/>
  </si>
  <si>
    <t>생산 #12-8 미국용 100단위 X22220</t>
    <phoneticPr fontId="6" type="noConversion"/>
  </si>
  <si>
    <t>이물검사C #미국용 100단위 X22220</t>
    <phoneticPr fontId="6" type="noConversion"/>
  </si>
  <si>
    <t>이물검사C #미국용 100단위 X22220</t>
    <phoneticPr fontId="6" type="noConversion"/>
  </si>
  <si>
    <t>이물검사C #미국용 100단위 X22226</t>
    <phoneticPr fontId="6" type="noConversion"/>
  </si>
  <si>
    <t>이물검사C #미국용 100단위 X22226</t>
    <phoneticPr fontId="6" type="noConversion"/>
  </si>
  <si>
    <t>이물검사C #국내용 100단위 X22216</t>
    <phoneticPr fontId="6" type="noConversion"/>
  </si>
  <si>
    <t>이물검사C #국내용 100단위 X22216</t>
    <phoneticPr fontId="6" type="noConversion"/>
  </si>
  <si>
    <t>이물검사C #버퍼</t>
    <phoneticPr fontId="6" type="noConversion"/>
  </si>
  <si>
    <t>이물검사C #버퍼</t>
    <phoneticPr fontId="6" type="noConversion"/>
  </si>
  <si>
    <t>이물검사C #1-1</t>
    <phoneticPr fontId="6" type="noConversion"/>
  </si>
  <si>
    <t>이물검사C #1-2 ROW용(튀르키예) 100단위</t>
    <phoneticPr fontId="6" type="noConversion"/>
  </si>
  <si>
    <t>비고</t>
    <phoneticPr fontId="6" type="noConversion"/>
  </si>
  <si>
    <t>A동 / C동</t>
    <phoneticPr fontId="6" type="noConversion"/>
  </si>
  <si>
    <t>이물검사</t>
    <phoneticPr fontId="6" type="noConversion"/>
  </si>
  <si>
    <t>이물검사C #4-2</t>
    <phoneticPr fontId="6" type="noConversion"/>
  </si>
  <si>
    <t xml:space="preserve">포장 자재 입고 일정에 따라 포장 일자 변경 될 수 있습니다. </t>
    <phoneticPr fontId="6" type="noConversion"/>
  </si>
  <si>
    <t>A동</t>
    <phoneticPr fontId="6" type="noConversion"/>
  </si>
  <si>
    <t>반제품</t>
    <phoneticPr fontId="6" type="noConversion"/>
  </si>
  <si>
    <t>원액</t>
    <phoneticPr fontId="6" type="noConversion"/>
  </si>
  <si>
    <t>이물검사C #5-2</t>
    <phoneticPr fontId="6" type="noConversion"/>
  </si>
  <si>
    <t>이물검사C #5-3</t>
    <phoneticPr fontId="6" type="noConversion"/>
  </si>
  <si>
    <t>A동 / C동</t>
    <phoneticPr fontId="6" type="noConversion"/>
  </si>
  <si>
    <t>비고</t>
    <phoneticPr fontId="6" type="noConversion"/>
  </si>
  <si>
    <t>이물검사</t>
    <phoneticPr fontId="6" type="noConversion"/>
  </si>
  <si>
    <t>포장</t>
    <phoneticPr fontId="6" type="noConversion"/>
  </si>
  <si>
    <t>C동</t>
    <phoneticPr fontId="6" type="noConversion"/>
  </si>
  <si>
    <t>비고</t>
    <phoneticPr fontId="6" type="noConversion"/>
  </si>
  <si>
    <t>원액</t>
    <phoneticPr fontId="6" type="noConversion"/>
  </si>
  <si>
    <t>제헌절</t>
    <phoneticPr fontId="6" type="noConversion"/>
  </si>
  <si>
    <t>휴가</t>
    <phoneticPr fontId="6" type="noConversion"/>
  </si>
  <si>
    <t>휴가</t>
    <phoneticPr fontId="6" type="noConversion"/>
  </si>
  <si>
    <t xml:space="preserve">포장 자재 입고 일정에 따라 포장 일자 변경 될 수 있습니다. </t>
    <phoneticPr fontId="6" type="noConversion"/>
  </si>
  <si>
    <t>휴가</t>
    <phoneticPr fontId="6" type="noConversion"/>
  </si>
  <si>
    <t>C동</t>
    <phoneticPr fontId="6" type="noConversion"/>
  </si>
  <si>
    <t>광복절</t>
    <phoneticPr fontId="6" type="noConversion"/>
  </si>
  <si>
    <t>반제품</t>
    <phoneticPr fontId="6" type="noConversion"/>
  </si>
  <si>
    <t>추석</t>
    <phoneticPr fontId="6" type="noConversion"/>
  </si>
  <si>
    <t>개천절</t>
    <phoneticPr fontId="6" type="noConversion"/>
  </si>
  <si>
    <t xml:space="preserve"> </t>
    <phoneticPr fontId="6" type="noConversion"/>
  </si>
  <si>
    <t>비고</t>
    <phoneticPr fontId="6" type="noConversion"/>
  </si>
  <si>
    <t>한글날</t>
    <phoneticPr fontId="6" type="noConversion"/>
  </si>
  <si>
    <t>반제품</t>
    <phoneticPr fontId="6" type="noConversion"/>
  </si>
  <si>
    <t>원액</t>
    <phoneticPr fontId="6" type="noConversion"/>
  </si>
  <si>
    <t>이물검사</t>
    <phoneticPr fontId="6" type="noConversion"/>
  </si>
  <si>
    <t>C동</t>
    <phoneticPr fontId="6" type="noConversion"/>
  </si>
  <si>
    <t>A동 / C동</t>
    <phoneticPr fontId="6" type="noConversion"/>
  </si>
  <si>
    <t>포장</t>
    <phoneticPr fontId="6" type="noConversion"/>
  </si>
  <si>
    <t>비고</t>
    <phoneticPr fontId="6" type="noConversion"/>
  </si>
  <si>
    <t>A동</t>
    <phoneticPr fontId="6" type="noConversion"/>
  </si>
  <si>
    <t>성탄절</t>
    <phoneticPr fontId="6" type="noConversion"/>
  </si>
  <si>
    <t xml:space="preserve">포장 자재 입고 일정에 따라 포장 일자 변경 될 수 있습니다. </t>
    <phoneticPr fontId="6" type="noConversion"/>
  </si>
  <si>
    <t>삼일절</t>
    <phoneticPr fontId="6" type="noConversion"/>
  </si>
  <si>
    <t xml:space="preserve"> </t>
    <phoneticPr fontId="6" type="noConversion"/>
  </si>
  <si>
    <t>국회의원 선거</t>
    <phoneticPr fontId="6" type="noConversion"/>
  </si>
  <si>
    <t>원액</t>
    <phoneticPr fontId="6" type="noConversion"/>
  </si>
  <si>
    <t>C동</t>
    <phoneticPr fontId="6" type="noConversion"/>
  </si>
  <si>
    <t>A동 / C동</t>
    <phoneticPr fontId="6" type="noConversion"/>
  </si>
  <si>
    <t>어린이날</t>
    <phoneticPr fontId="6" type="noConversion"/>
  </si>
  <si>
    <t>대체공휴일</t>
    <phoneticPr fontId="6" type="noConversion"/>
  </si>
  <si>
    <t>A동</t>
    <phoneticPr fontId="6" type="noConversion"/>
  </si>
  <si>
    <t>이물검사</t>
    <phoneticPr fontId="6" type="noConversion"/>
  </si>
  <si>
    <t>포장 #12-8 미국용 100단위 X22220</t>
    <phoneticPr fontId="6" type="noConversion"/>
  </si>
  <si>
    <t>포장 #12-9 미국용 100단위 X22226</t>
    <phoneticPr fontId="6" type="noConversion"/>
  </si>
  <si>
    <t>생산 #12-10 국내용 100단위 X22216</t>
    <phoneticPr fontId="6" type="noConversion"/>
  </si>
  <si>
    <t>포장 #12-10 국내용 100단위 X22216</t>
    <phoneticPr fontId="6" type="noConversion"/>
  </si>
  <si>
    <t>포장  #11-9 미국용 100단위 X22198</t>
  </si>
  <si>
    <t>포장 # 11-8 태국 200U 1월 선적건 3
X22193</t>
    <phoneticPr fontId="6" type="noConversion"/>
  </si>
  <si>
    <t>생산 #1-1 국내용 100단위 X22227</t>
    <phoneticPr fontId="6" type="noConversion"/>
  </si>
  <si>
    <t>생산 #1-2 ROW용(튀르키예) 100단위 X22228</t>
    <phoneticPr fontId="6" type="noConversion"/>
  </si>
  <si>
    <t>생산 # 12-6 태국 100U 3월 선적 3
X22221</t>
    <phoneticPr fontId="6" type="noConversion"/>
  </si>
  <si>
    <t>생산 # 12-9  태국 100U 3월 선적4
X22222</t>
    <phoneticPr fontId="6" type="noConversion"/>
  </si>
  <si>
    <t>생산 # 12-9  태국 100U 3월 선적4
X22222</t>
    <phoneticPr fontId="6" type="noConversion"/>
  </si>
  <si>
    <t>생산 #11-13 ROW(브라질) 100단위 X22199</t>
    <phoneticPr fontId="6" type="noConversion"/>
  </si>
  <si>
    <t>포장 #11-13 ROW(브라질) 100단위 X22199</t>
    <phoneticPr fontId="6" type="noConversion"/>
  </si>
  <si>
    <t>포장 #11-11 국내용 50단위 X22203A</t>
    <phoneticPr fontId="6" type="noConversion"/>
  </si>
  <si>
    <t>포장  #1-3 브라질용 100단위 X22229</t>
    <phoneticPr fontId="6" type="noConversion"/>
  </si>
  <si>
    <t>생산 #1-5  브라질용 100단위 X23002</t>
    <phoneticPr fontId="6" type="noConversion"/>
  </si>
  <si>
    <t>포장 #11-12 미국용 100단위 X22204</t>
    <phoneticPr fontId="6" type="noConversion"/>
  </si>
  <si>
    <t>생산 #1-4 미국용 100단위 X23001</t>
    <phoneticPr fontId="6" type="noConversion"/>
  </si>
  <si>
    <t>포장 #칠레 X22172C 
우크라이나 X22172F</t>
    <phoneticPr fontId="6" type="noConversion"/>
  </si>
  <si>
    <t>포장# 임상(다리만성통증) X22172E,
액상제형 포장</t>
    <phoneticPr fontId="6" type="noConversion"/>
  </si>
  <si>
    <t>생산 #1-9 터키용 100단위 X23006</t>
    <phoneticPr fontId="6" type="noConversion"/>
  </si>
  <si>
    <t>포장 #12-7 국내용 100단위 X22215</t>
  </si>
  <si>
    <t>포장 # 12-11 태국 200U 3월 선적3
X22223</t>
    <phoneticPr fontId="6" type="noConversion"/>
  </si>
  <si>
    <t>포장 # 12-12 태국 200U 3월 선적4
X22224</t>
    <phoneticPr fontId="6" type="noConversion"/>
  </si>
  <si>
    <t>포장 # 12-13  태국 200U 3월 선적5
X22225</t>
    <phoneticPr fontId="6" type="noConversion"/>
  </si>
  <si>
    <t>포장  #1-1 국내용 100단위 X22227</t>
    <phoneticPr fontId="6" type="noConversion"/>
  </si>
  <si>
    <t>포장 #12-2 캐나다용 100단위 X22210, 3월 선적 건</t>
  </si>
  <si>
    <t>포장 # 국내용 100단위 X21061, 표준품 → 커머셜 용도 변경(23,500VI)</t>
    <phoneticPr fontId="6" type="noConversion"/>
  </si>
  <si>
    <t>생산 # 12-6 태국 100U 3월 선적 3
X22221</t>
    <phoneticPr fontId="6" type="noConversion"/>
  </si>
  <si>
    <t xml:space="preserve"> Pre MF</t>
    <phoneticPr fontId="6" type="noConversion"/>
  </si>
  <si>
    <t>포장 #12-4 국내용 100단위 
X22213(중국 반제품)</t>
    <phoneticPr fontId="6" type="noConversion"/>
  </si>
  <si>
    <t>포장  #1-2 ROW용(튀르키예) 100단위 X22228</t>
    <phoneticPr fontId="6" type="noConversion"/>
  </si>
  <si>
    <t>포장 #이온 샘플 100단위 
X23004A, 수량 약 5,000</t>
    <phoneticPr fontId="6" type="noConversion"/>
  </si>
  <si>
    <t>포장  #1-9 터키용 100단위 X23006</t>
    <phoneticPr fontId="6" type="noConversion"/>
  </si>
  <si>
    <t xml:space="preserve"> Post MF</t>
    <phoneticPr fontId="6" type="noConversion"/>
  </si>
  <si>
    <t>생산 #1-8 미국용 100단위 X23005</t>
    <phoneticPr fontId="6" type="noConversion"/>
  </si>
  <si>
    <t>듀얼 브랜드 자재 적합성 TEST 및 DOE 8회 수행</t>
    <phoneticPr fontId="6" type="noConversion"/>
  </si>
  <si>
    <t xml:space="preserve"> MF - 동건기1</t>
    <phoneticPr fontId="6" type="noConversion"/>
  </si>
  <si>
    <t xml:space="preserve"> MF - 동건기2</t>
    <phoneticPr fontId="6" type="noConversion"/>
  </si>
  <si>
    <t>포장 #11-8 유럽용 50단위 X22191</t>
  </si>
  <si>
    <t>포장 #1-12 국내용 200단위
X23009</t>
  </si>
  <si>
    <t>생산 #1-6 브라질용 100단위 X23003</t>
    <phoneticPr fontId="6" type="noConversion"/>
  </si>
  <si>
    <t>생산 #1-10 ROW용 100단위 X23007</t>
    <phoneticPr fontId="6" type="noConversion"/>
  </si>
  <si>
    <t>이물검사C # 국내 100U X22227</t>
    <phoneticPr fontId="6" type="noConversion"/>
  </si>
  <si>
    <t>이물검사C # 브라질 100U X23002</t>
    <phoneticPr fontId="6" type="noConversion"/>
  </si>
  <si>
    <t>이물검사C #ROW X23004</t>
    <phoneticPr fontId="6" type="noConversion"/>
  </si>
  <si>
    <t>이물검사C #브라질용 100단위 X23003</t>
    <phoneticPr fontId="6" type="noConversion"/>
  </si>
  <si>
    <t>이물검사C #미국용 100단위 X23001</t>
    <phoneticPr fontId="6" type="noConversion"/>
  </si>
  <si>
    <t>이물검사C #미국용 100단위 X23001</t>
    <phoneticPr fontId="6" type="noConversion"/>
  </si>
  <si>
    <t>이물검사C #미국용 100단위 X23001</t>
    <phoneticPr fontId="6" type="noConversion"/>
  </si>
  <si>
    <t>이물검사C #1-8 미국용 100단위 X23005</t>
    <phoneticPr fontId="6" type="noConversion"/>
  </si>
  <si>
    <t>이물검사C #1-8 미국용 100단위 X23005</t>
    <phoneticPr fontId="6" type="noConversion"/>
  </si>
  <si>
    <t>이물검사C #1-9 터키용 100단위 X23006</t>
    <phoneticPr fontId="6" type="noConversion"/>
  </si>
  <si>
    <t>이물검사C #1-9 터키용 100단위 X23006</t>
    <phoneticPr fontId="6" type="noConversion"/>
  </si>
  <si>
    <t>이물검사C #1-10 ROW용 100단위 X23007</t>
    <phoneticPr fontId="6" type="noConversion"/>
  </si>
  <si>
    <t>이물검사C #1-10 ROW용 100단위 X23007</t>
    <phoneticPr fontId="6" type="noConversion"/>
  </si>
  <si>
    <t>생산 #1-11 미국 100단위 X23008</t>
    <phoneticPr fontId="6" type="noConversion"/>
  </si>
  <si>
    <t>이물검사C #1-11 미국 100단위 X23008</t>
    <phoneticPr fontId="6" type="noConversion"/>
  </si>
  <si>
    <t>이물검사C #1-11 미국 100단위 X23008</t>
    <phoneticPr fontId="6" type="noConversion"/>
  </si>
  <si>
    <t>이물검사C #1-11 미국 100단위 X23008</t>
    <phoneticPr fontId="6" type="noConversion"/>
  </si>
  <si>
    <t>1-12 국내용 200단위 X23009</t>
    <phoneticPr fontId="6" type="noConversion"/>
  </si>
  <si>
    <t>국내 자재 이원화 DOE 7, 8회</t>
    <phoneticPr fontId="6" type="noConversion"/>
  </si>
  <si>
    <t>국내 자재 이원화 DOE 5,6회</t>
    <phoneticPr fontId="6" type="noConversion"/>
  </si>
  <si>
    <t>이물검사C #5-9</t>
    <phoneticPr fontId="6" type="noConversion"/>
  </si>
  <si>
    <t>이물검사C #7-1</t>
    <phoneticPr fontId="6" type="noConversion"/>
  </si>
  <si>
    <t>이물검사C #7-3</t>
    <phoneticPr fontId="6" type="noConversion"/>
  </si>
  <si>
    <t>생산 #1-7 ROW 100단위 X23004</t>
    <phoneticPr fontId="6" type="noConversion"/>
  </si>
  <si>
    <t>포장 #1-5 브라질용 100단위 X23002(4월 선적 건)</t>
    <phoneticPr fontId="6" type="noConversion"/>
  </si>
  <si>
    <t>포장#1-6 브라질용 100단위 X23003
(5월 선적 건)</t>
    <phoneticPr fontId="6" type="noConversion"/>
  </si>
  <si>
    <t>듀얼 브랜드 DOE 2회 수행</t>
    <phoneticPr fontId="6" type="noConversion"/>
  </si>
  <si>
    <t>생산 # 2-1 태국 200U 4월 선적1 X23010</t>
    <phoneticPr fontId="6" type="noConversion"/>
  </si>
  <si>
    <t>생산 # 2-2 태국 200U 4월 선적2 X23011</t>
    <phoneticPr fontId="6" type="noConversion"/>
  </si>
  <si>
    <t>생산 # 2-3 태국 200U 4월 선적 3 X23012</t>
    <phoneticPr fontId="6" type="noConversion"/>
  </si>
  <si>
    <t>생산 # 2-2 태국 200U 4월 선적2 X23011</t>
    <phoneticPr fontId="6" type="noConversion"/>
  </si>
  <si>
    <t>생산 # 2-4 국내 200U X23013</t>
    <phoneticPr fontId="6" type="noConversion"/>
  </si>
  <si>
    <t>생산 # 3-1 국내 200U X23015</t>
    <phoneticPr fontId="6" type="noConversion"/>
  </si>
  <si>
    <t>포장 #1-4 미국용 100단위 X23001</t>
  </si>
  <si>
    <t>생산 # 2-5 국내 200U X23014</t>
    <phoneticPr fontId="6" type="noConversion"/>
  </si>
  <si>
    <t>생산 # 국내 200U X23013, X23014</t>
    <phoneticPr fontId="6" type="noConversion"/>
  </si>
  <si>
    <t>생산 # 3-2 국내 200U X23016</t>
    <phoneticPr fontId="6" type="noConversion"/>
  </si>
  <si>
    <t>포장 # 인도네시아 100단위 X23004C
수량: 500EA</t>
    <phoneticPr fontId="6" type="noConversion"/>
  </si>
  <si>
    <t>생산 #1-3 브라질용 100단위 X22229</t>
    <phoneticPr fontId="6" type="noConversion"/>
  </si>
  <si>
    <t>생산 # 3-3 태국 100U 4월 선적 1 
X23017</t>
    <phoneticPr fontId="6" type="noConversion"/>
  </si>
  <si>
    <t>생산 # 3-4 태국 100U 4월 선적 2
X23018</t>
    <phoneticPr fontId="6" type="noConversion"/>
  </si>
  <si>
    <t>생산 # 3-3 태국 100U 4월 선적 1
X23017</t>
    <phoneticPr fontId="6" type="noConversion"/>
  </si>
  <si>
    <t>생산 # 3-4 태국 100U 4월 선적 2
X23018</t>
    <phoneticPr fontId="6" type="noConversion"/>
  </si>
  <si>
    <t>생산 # 3-5 태국 100U 4월 선적 3
X23019</t>
    <phoneticPr fontId="6" type="noConversion"/>
  </si>
  <si>
    <t>생산 # 3-6 태국 200U 5월 선적 1
X23020</t>
    <phoneticPr fontId="6" type="noConversion"/>
  </si>
  <si>
    <t>포장 3-6 태국 200U 5월 선적 1
X23020</t>
    <phoneticPr fontId="6" type="noConversion"/>
  </si>
  <si>
    <t>생산 # 3-7 태국 200U 5월 선적 2
X23021</t>
    <phoneticPr fontId="6" type="noConversion"/>
  </si>
  <si>
    <t>포장 # 3-7 태국 200U 5월 선적 2
X23021</t>
    <phoneticPr fontId="6" type="noConversion"/>
  </si>
  <si>
    <t>국내용 200단위 Z22001E(PV)</t>
    <phoneticPr fontId="6" type="noConversion"/>
  </si>
  <si>
    <t>국내용 200단위 Z22002E(PV)</t>
    <phoneticPr fontId="6" type="noConversion"/>
  </si>
  <si>
    <t>국내용 200단위 Z22003E(PV)</t>
    <phoneticPr fontId="6" type="noConversion"/>
  </si>
  <si>
    <t>건열멸균기 PQ - A동</t>
    <phoneticPr fontId="6" type="noConversion"/>
  </si>
  <si>
    <t>포장 #1-8 미국용 100단위 X23005</t>
    <phoneticPr fontId="6" type="noConversion"/>
  </si>
  <si>
    <t>생산 # 국내 200U X23015, X23016</t>
    <phoneticPr fontId="6" type="noConversion"/>
  </si>
  <si>
    <t>생산 # 3-9 태국 200U 5월 선적 3
X23022</t>
    <phoneticPr fontId="6" type="noConversion"/>
  </si>
  <si>
    <t>C동 200U 허가 변경 신청</t>
    <phoneticPr fontId="6" type="noConversion"/>
  </si>
  <si>
    <t>3-12 듀얼 브랜드시생산 (IND제출용)</t>
    <phoneticPr fontId="6" type="noConversion"/>
  </si>
  <si>
    <t>생산 # 3-11 태국200U 6월 선적2
X23025</t>
    <phoneticPr fontId="6" type="noConversion"/>
  </si>
  <si>
    <t>볼리비아 100U X22019H 2,400VI</t>
    <phoneticPr fontId="6" type="noConversion"/>
  </si>
  <si>
    <t>포장 # 3-10 태국 200U 6월 선적 1
X23024</t>
    <phoneticPr fontId="6" type="noConversion"/>
  </si>
  <si>
    <t>포장 대기 반제품 배치</t>
    <phoneticPr fontId="6" type="noConversion"/>
  </si>
  <si>
    <t>ROW</t>
    <phoneticPr fontId="6" type="noConversion"/>
  </si>
  <si>
    <t>ROW 100단위 X23004</t>
    <phoneticPr fontId="6" type="noConversion"/>
  </si>
  <si>
    <t>유럽</t>
    <phoneticPr fontId="6" type="noConversion"/>
  </si>
  <si>
    <t>국내 200U</t>
    <phoneticPr fontId="6" type="noConversion"/>
  </si>
  <si>
    <t>200U 국내 허가변경 승인 예정일</t>
    <phoneticPr fontId="6" type="noConversion"/>
  </si>
  <si>
    <t>비고</t>
    <phoneticPr fontId="6" type="noConversion"/>
  </si>
  <si>
    <t>국내 200U C동 허가 변경 후 포장</t>
    <phoneticPr fontId="6" type="noConversion"/>
  </si>
  <si>
    <t>유럽 PO 수령 후 포장</t>
    <phoneticPr fontId="6" type="noConversion"/>
  </si>
  <si>
    <t>ROW 수출 PO에 따라 서브포장 진행</t>
    <phoneticPr fontId="6" type="noConversion"/>
  </si>
  <si>
    <t>ROW 100단위 X23007</t>
    <phoneticPr fontId="6" type="noConversion"/>
  </si>
  <si>
    <t>포장 #1-11 미국 100단위 X23008 
- 봉함라벨 부착기 서브모터 수리로 4/3까지 진행 예정</t>
    <phoneticPr fontId="6" type="noConversion"/>
  </si>
  <si>
    <t>생산 # 4-4 태국 200U 7월 선적 2
X23028</t>
    <phoneticPr fontId="6" type="noConversion"/>
  </si>
  <si>
    <t>생산 #4-1 국내용 100단위 X23029</t>
    <phoneticPr fontId="6" type="noConversion"/>
  </si>
  <si>
    <t>23년 4월 생산 이슈사항</t>
    <phoneticPr fontId="6" type="noConversion"/>
  </si>
  <si>
    <t>2023-04-03 국내 100U 생산 FAIL로 1배치 로스 발생</t>
    <phoneticPr fontId="6" type="noConversion"/>
  </si>
  <si>
    <t>설비 고장 수리로 2023-04-05 생산 미착수</t>
    <phoneticPr fontId="6" type="noConversion"/>
  </si>
  <si>
    <t>대책</t>
    <phoneticPr fontId="6" type="noConversion"/>
  </si>
  <si>
    <t>2023-05 4주차 추가 1배치 생산(석가탄신일)</t>
    <phoneticPr fontId="6" type="noConversion"/>
  </si>
  <si>
    <t>2023-05 1주차 추가 1배치 생산(근로자의 날)</t>
    <phoneticPr fontId="6" type="noConversion"/>
  </si>
  <si>
    <t>중국 허가 승인 후 생산할 예정으로 생산계획 변경</t>
    <phoneticPr fontId="6" type="noConversion"/>
  </si>
  <si>
    <t>뒤에 튀르키예 100U 당겨서 생산</t>
    <phoneticPr fontId="6" type="noConversion"/>
  </si>
  <si>
    <t>생산 # 생산설비 수리로 생산 미착수</t>
    <phoneticPr fontId="6" type="noConversion"/>
  </si>
  <si>
    <t>포장 #이탈리아 X22190C 12,000VI</t>
    <phoneticPr fontId="6" type="noConversion"/>
  </si>
  <si>
    <t>포장 #국내 200U(1차 PV) Z22001E</t>
    <phoneticPr fontId="6" type="noConversion"/>
  </si>
  <si>
    <t>포장 #국내 200U(2차 PV) Z22002E</t>
    <phoneticPr fontId="6" type="noConversion"/>
  </si>
  <si>
    <t>이물검사C #4-2</t>
    <phoneticPr fontId="6" type="noConversion"/>
  </si>
  <si>
    <t>이물검사C #4-3</t>
    <phoneticPr fontId="6" type="noConversion"/>
  </si>
  <si>
    <t>이물검사C #4-3</t>
    <phoneticPr fontId="6" type="noConversion"/>
  </si>
  <si>
    <t>이물검사C #4-4</t>
    <phoneticPr fontId="6" type="noConversion"/>
  </si>
  <si>
    <t>이물검사C #4-4</t>
    <phoneticPr fontId="6" type="noConversion"/>
  </si>
  <si>
    <t>이물검사C #4-5</t>
    <phoneticPr fontId="6" type="noConversion"/>
  </si>
  <si>
    <t>이물검사C #4-6</t>
    <phoneticPr fontId="6" type="noConversion"/>
  </si>
  <si>
    <t>이물검사C #4-7</t>
    <phoneticPr fontId="6" type="noConversion"/>
  </si>
  <si>
    <t>이물검사C #4-8</t>
    <phoneticPr fontId="6" type="noConversion"/>
  </si>
  <si>
    <t>이물검사C #4-9</t>
    <phoneticPr fontId="6" type="noConversion"/>
  </si>
  <si>
    <t>이물검사C #4-10</t>
    <phoneticPr fontId="6" type="noConversion"/>
  </si>
  <si>
    <t>이물검사C #4-11</t>
    <phoneticPr fontId="6" type="noConversion"/>
  </si>
  <si>
    <t>이물검사C #5-1</t>
    <phoneticPr fontId="6" type="noConversion"/>
  </si>
  <si>
    <t>이물검사C #5-4</t>
    <phoneticPr fontId="6" type="noConversion"/>
  </si>
  <si>
    <t>이물검사C #5-5</t>
    <phoneticPr fontId="6" type="noConversion"/>
  </si>
  <si>
    <t>이물검사C #5-5</t>
    <phoneticPr fontId="6" type="noConversion"/>
  </si>
  <si>
    <t>이물검사C #5-6</t>
    <phoneticPr fontId="6" type="noConversion"/>
  </si>
  <si>
    <t>이물검사C #5-7</t>
    <phoneticPr fontId="6" type="noConversion"/>
  </si>
  <si>
    <t>이물검사C #5-8</t>
    <phoneticPr fontId="6" type="noConversion"/>
  </si>
  <si>
    <t>이물검사C #5-10</t>
    <phoneticPr fontId="6" type="noConversion"/>
  </si>
  <si>
    <t>이물검사C #5-11</t>
    <phoneticPr fontId="6" type="noConversion"/>
  </si>
  <si>
    <t>이물검사C #5-12</t>
    <phoneticPr fontId="6" type="noConversion"/>
  </si>
  <si>
    <t>이물검사C #5-13</t>
    <phoneticPr fontId="6" type="noConversion"/>
  </si>
  <si>
    <t>이물검사C #6-1</t>
    <phoneticPr fontId="6" type="noConversion"/>
  </si>
  <si>
    <t>이물검사C #6-2</t>
    <phoneticPr fontId="6" type="noConversion"/>
  </si>
  <si>
    <t>이물검사C #6-3</t>
    <phoneticPr fontId="6" type="noConversion"/>
  </si>
  <si>
    <t>이물검사C #6-4</t>
    <phoneticPr fontId="6" type="noConversion"/>
  </si>
  <si>
    <t>이물검사C #6-5</t>
    <phoneticPr fontId="6" type="noConversion"/>
  </si>
  <si>
    <t>이물검사C #6-8</t>
    <phoneticPr fontId="6" type="noConversion"/>
  </si>
  <si>
    <t>이물검사C #6-9</t>
    <phoneticPr fontId="6" type="noConversion"/>
  </si>
  <si>
    <t>이물검사C #6-10</t>
    <phoneticPr fontId="6" type="noConversion"/>
  </si>
  <si>
    <t>이물검사C #6-11</t>
    <phoneticPr fontId="6" type="noConversion"/>
  </si>
  <si>
    <t>이물검사C #6-12</t>
    <phoneticPr fontId="6" type="noConversion"/>
  </si>
  <si>
    <t>이물검사C #7-2</t>
    <phoneticPr fontId="6" type="noConversion"/>
  </si>
  <si>
    <t>생산 #4-2 국내용 100단위 X23030</t>
    <phoneticPr fontId="6" type="noConversion"/>
  </si>
  <si>
    <t>포장 #4-2 국내용 100단위 X23030</t>
    <phoneticPr fontId="6" type="noConversion"/>
  </si>
  <si>
    <t>생산 #4-3 국내용 100단위 X23031</t>
    <phoneticPr fontId="6" type="noConversion"/>
  </si>
  <si>
    <t>포장 #4-3 국내용 100단위 X23031</t>
    <phoneticPr fontId="6" type="noConversion"/>
  </si>
  <si>
    <t>생산 #4-4 ROW 100단위 X23032</t>
    <phoneticPr fontId="6" type="noConversion"/>
  </si>
  <si>
    <t>생산 #4-5 브라질용 100단위 X23033</t>
    <phoneticPr fontId="6" type="noConversion"/>
  </si>
  <si>
    <t>포장 #4-5 브라질용 100단위 X23033</t>
    <phoneticPr fontId="6" type="noConversion"/>
  </si>
  <si>
    <t>징검다리 휴무</t>
    <phoneticPr fontId="6" type="noConversion"/>
  </si>
  <si>
    <t>징검다리 휴무</t>
    <phoneticPr fontId="6" type="noConversion"/>
  </si>
  <si>
    <t>징검다리 휴무</t>
    <phoneticPr fontId="6" type="noConversion"/>
  </si>
  <si>
    <t>생산 #4-6 브라질용 100단위 X23034</t>
    <phoneticPr fontId="6" type="noConversion"/>
  </si>
  <si>
    <t>5-1 듀얼 브랜드시생산 (IND제출용-추가)</t>
    <phoneticPr fontId="6" type="noConversion"/>
  </si>
  <si>
    <t>생산 # 4-5 태국 200U 7월 선적 3 X22035</t>
    <phoneticPr fontId="6" type="noConversion"/>
  </si>
  <si>
    <t>생산 #4-7 국내용 100단위 X23036</t>
    <phoneticPr fontId="6" type="noConversion"/>
  </si>
  <si>
    <t>생산 #4-9 국내용 100단위 X23037</t>
    <phoneticPr fontId="6" type="noConversion"/>
  </si>
  <si>
    <t>포장 # 3-9 태국 200U 5월 선적 3 X23022</t>
    <phoneticPr fontId="6" type="noConversion"/>
  </si>
  <si>
    <t>생산 # 3-9 필리핀 100U 5월 선적
X23023</t>
    <phoneticPr fontId="6" type="noConversion"/>
  </si>
  <si>
    <t>포장 # 3-8 필리핀 100U 5월 선적 X23023</t>
    <phoneticPr fontId="6" type="noConversion"/>
  </si>
  <si>
    <t>생산 # 3-10 태국 200U 6월 선적 1
X23024</t>
    <phoneticPr fontId="6" type="noConversion"/>
  </si>
  <si>
    <t>생산 # 4-2 태국 200U 6월 선적 3
X23026</t>
    <phoneticPr fontId="6" type="noConversion"/>
  </si>
  <si>
    <t># 4-2 태국 200U 6월 선적 3
X23026</t>
    <phoneticPr fontId="6" type="noConversion"/>
  </si>
  <si>
    <t>생산 # 4-3 태국 200U 7월 선적 1
X23027</t>
    <phoneticPr fontId="6" type="noConversion"/>
  </si>
  <si>
    <t>페루 6월 선적(2,200VI) X23004F</t>
    <phoneticPr fontId="6" type="noConversion"/>
  </si>
  <si>
    <t>칠레 7월 선적(4,800VI) X23004H</t>
    <phoneticPr fontId="6" type="noConversion"/>
  </si>
  <si>
    <t>생산 #4-10 국내용 100단위 X23039</t>
    <phoneticPr fontId="6" type="noConversion"/>
  </si>
  <si>
    <t>생산 #4-11 국내용 100단위 X23040</t>
    <phoneticPr fontId="6" type="noConversion"/>
  </si>
  <si>
    <t>인도 100U X23004E 2,500VI</t>
    <phoneticPr fontId="6" type="noConversion"/>
  </si>
  <si>
    <t>부유입자 측정 설비인 PMS PC 고장으로 생산 불가능</t>
    <phoneticPr fontId="6" type="noConversion"/>
  </si>
  <si>
    <t>생산 # 3-5 태국 100U 4월 선적 3
X23019 - 역가 부적합으로 포장 X</t>
    <phoneticPr fontId="6" type="noConversion"/>
  </si>
  <si>
    <t>생산 #5-4 브라질 100단위 X23044</t>
    <phoneticPr fontId="6" type="noConversion"/>
  </si>
  <si>
    <t>생산 #5-5 국내용 100단위 X23045</t>
    <phoneticPr fontId="6" type="noConversion"/>
  </si>
  <si>
    <t>생산 # 5-2 태국 200U 8월 선적 1
X23046</t>
    <phoneticPr fontId="6" type="noConversion"/>
  </si>
  <si>
    <t>포장 #4-9 국내용 100단위 X23037</t>
    <phoneticPr fontId="6" type="noConversion"/>
  </si>
  <si>
    <t>포장 #4-10 국내용 100단위 X23039</t>
    <phoneticPr fontId="6" type="noConversion"/>
  </si>
  <si>
    <t>포장  #4-11 국내용 100단위 X23040</t>
    <phoneticPr fontId="6" type="noConversion"/>
  </si>
  <si>
    <t>생산 # 5-3 태국 200U 8월 선적 2
X23047</t>
    <phoneticPr fontId="6" type="noConversion"/>
  </si>
  <si>
    <t>생산 #5-6 국내용 100단위 X23049</t>
    <phoneticPr fontId="6" type="noConversion"/>
  </si>
  <si>
    <t>생산 #5-7 국내용 100단위 X23050</t>
    <phoneticPr fontId="6" type="noConversion"/>
  </si>
  <si>
    <t>생산 # 5-4 태국 200U 8월 선적 3
X23048</t>
    <phoneticPr fontId="6" type="noConversion"/>
  </si>
  <si>
    <t>생산 # 듀얼브랜드 IND 연구용 생산</t>
    <phoneticPr fontId="6" type="noConversion"/>
  </si>
  <si>
    <t>포장 태국 100U X23004K(9,600VI)</t>
    <phoneticPr fontId="6" type="noConversion"/>
  </si>
  <si>
    <t>생산 #4-8 캐나다용 100단위 X23038</t>
    <phoneticPr fontId="6" type="noConversion"/>
  </si>
  <si>
    <t>포장 #4-8 캐나다용 100단위 X23038</t>
    <phoneticPr fontId="6" type="noConversion"/>
  </si>
  <si>
    <t>미국</t>
    <phoneticPr fontId="6" type="noConversion"/>
  </si>
  <si>
    <t>5월 생산-판매 회의 시 해당 배치 수량에서 호주 물량 사용 여부 결정 후 포장하는 것으로 협의(사업센터, 6월말까지 수령 예정)</t>
    <phoneticPr fontId="6" type="noConversion"/>
  </si>
  <si>
    <t>#5-3 미국용 100단위 X23043</t>
    <phoneticPr fontId="6" type="noConversion"/>
  </si>
  <si>
    <t>ROW</t>
    <phoneticPr fontId="6" type="noConversion"/>
  </si>
  <si>
    <t>PO 수령 후 포장 오더 발행 필요</t>
    <phoneticPr fontId="6" type="noConversion"/>
  </si>
  <si>
    <t>#4-4 ROW 100단위 X23032</t>
    <phoneticPr fontId="6" type="noConversion"/>
  </si>
  <si>
    <t>포장 #4-6 브라질용 100단위 X23034A</t>
    <phoneticPr fontId="6" type="noConversion"/>
  </si>
  <si>
    <t>생산 #5-1 국내용 100단위 X23041</t>
    <phoneticPr fontId="6" type="noConversion"/>
  </si>
  <si>
    <t>포장 #5-1 국내용 100단위 X23041</t>
    <phoneticPr fontId="6" type="noConversion"/>
  </si>
  <si>
    <t>생산 #5-2 국내용 200단위 X23042</t>
    <phoneticPr fontId="6" type="noConversion"/>
  </si>
  <si>
    <t>생산 #5-3 미국용 100단위 X23043</t>
    <phoneticPr fontId="6" type="noConversion"/>
  </si>
  <si>
    <t>포장 #5-5 국내용 100단위 X23045</t>
    <phoneticPr fontId="6" type="noConversion"/>
  </si>
  <si>
    <t>포장 #5-4 브라질 100단위 X23044</t>
    <phoneticPr fontId="6" type="noConversion"/>
  </si>
  <si>
    <t>포장 #5-7 국내용 100단위 X23050</t>
    <phoneticPr fontId="6" type="noConversion"/>
  </si>
  <si>
    <t>생산 #5-8 국내용 100단위 X23051</t>
    <phoneticPr fontId="6" type="noConversion"/>
  </si>
  <si>
    <t>생산 #5-9 국내용 200단위 X23052</t>
    <phoneticPr fontId="6" type="noConversion"/>
  </si>
  <si>
    <t>생산 #5-11 국내용 200단위 X23054</t>
    <phoneticPr fontId="6" type="noConversion"/>
  </si>
  <si>
    <t>포장 ##1-12 국내용 200단위
X23009</t>
    <phoneticPr fontId="6" type="noConversion"/>
  </si>
  <si>
    <t>포장 #1-12 국내 200U(3차 PV) Z22003E</t>
    <phoneticPr fontId="6" type="noConversion"/>
  </si>
  <si>
    <t>포장 #국내용 200단위
X23009</t>
    <phoneticPr fontId="6" type="noConversion"/>
  </si>
  <si>
    <t>생산 # 4-5 태국 200U 7월 선적 3 X23035</t>
    <phoneticPr fontId="6" type="noConversion"/>
  </si>
  <si>
    <t>태국 X23004M 10,581VI, 
우크라이나 X23007E 2,403VI</t>
    <phoneticPr fontId="6" type="noConversion"/>
  </si>
  <si>
    <t>생산 #5-13 국내용 100단위 X23056</t>
    <phoneticPr fontId="6" type="noConversion"/>
  </si>
  <si>
    <t>생산 #5-10 ROW 수출제품 X23053</t>
    <phoneticPr fontId="6" type="noConversion"/>
  </si>
  <si>
    <t>생산 #7-9 액상제형 시생산#1</t>
    <phoneticPr fontId="6" type="noConversion"/>
  </si>
  <si>
    <t>생산 #7-10 액상제형 시생산#2</t>
    <phoneticPr fontId="6" type="noConversion"/>
  </si>
  <si>
    <t>듀얼브랜드 DoE # 1, 2회</t>
    <phoneticPr fontId="6" type="noConversion"/>
  </si>
  <si>
    <t>자재이원화 DoE # 3, 4회</t>
    <phoneticPr fontId="6" type="noConversion"/>
  </si>
  <si>
    <t>이물검사C #5-4 / 완료</t>
    <phoneticPr fontId="6" type="noConversion"/>
  </si>
  <si>
    <t>생산 #5-12 국내용 100단위 X23055</t>
    <phoneticPr fontId="6" type="noConversion"/>
  </si>
  <si>
    <t>생산 #6-1 미국용 100단위 X23059</t>
    <phoneticPr fontId="6" type="noConversion"/>
  </si>
  <si>
    <t>생산 # 6-1 태국 200U 9월 선적 2
X23058</t>
    <phoneticPr fontId="6" type="noConversion"/>
  </si>
  <si>
    <t>생산 # 5-5 태국 200U 9월 선적 1
X23057</t>
    <phoneticPr fontId="6" type="noConversion"/>
  </si>
  <si>
    <t>생산 # 6-2 태국 200U 9월 선적 3
X23061</t>
    <phoneticPr fontId="6" type="noConversion"/>
  </si>
  <si>
    <t>생산 #6-2 브라질 100단위 X23060</t>
    <phoneticPr fontId="6" type="noConversion"/>
  </si>
  <si>
    <t>생산 #6-3 브라질 100단위 X23062</t>
    <phoneticPr fontId="6" type="noConversion"/>
  </si>
  <si>
    <t>생산 #6-9 자재이원화 DoE</t>
    <phoneticPr fontId="6" type="noConversion"/>
  </si>
  <si>
    <t>포장 # 임상 X23045C, X23045E</t>
    <phoneticPr fontId="6" type="noConversion"/>
  </si>
  <si>
    <t>생산 #6-4 미국용 100단위 X23063</t>
    <phoneticPr fontId="6" type="noConversion"/>
  </si>
  <si>
    <t>생산 #6-3 태국 200U 10월 선적 1
X23064</t>
    <phoneticPr fontId="6" type="noConversion"/>
  </si>
  <si>
    <t>포장 #4-6 브라질용 100단위 X23034A</t>
    <phoneticPr fontId="6" type="noConversion"/>
  </si>
  <si>
    <t>포장 #4-6 브라질용 100단위 X23034C</t>
    <phoneticPr fontId="6" type="noConversion"/>
  </si>
  <si>
    <t>포장 #4-6 브라질용 100단위 X23034C</t>
    <phoneticPr fontId="6" type="noConversion"/>
  </si>
  <si>
    <t>포장 #5-4 브라질 100단위 X23044</t>
    <phoneticPr fontId="6" type="noConversion"/>
  </si>
  <si>
    <t>생산 #6-5 ROW 수출제품 X23065</t>
    <phoneticPr fontId="6" type="noConversion"/>
  </si>
  <si>
    <t>생산 #6-4 태국 200U 10월 선적 2
X23066</t>
    <phoneticPr fontId="6" type="noConversion"/>
  </si>
  <si>
    <t>생산 #6-5 태국 200U 10월 선적 3
X23067</t>
    <phoneticPr fontId="6" type="noConversion"/>
  </si>
  <si>
    <t>포장 #5-2 국내용 200단위 X23042</t>
    <phoneticPr fontId="6" type="noConversion"/>
  </si>
  <si>
    <t>포장 #5-9 국내용 200단위 X23052</t>
    <phoneticPr fontId="6" type="noConversion"/>
  </si>
  <si>
    <t>대만 X23007C</t>
    <phoneticPr fontId="6" type="noConversion"/>
  </si>
  <si>
    <t>생산 #6-6 국내용 200단위 X23068</t>
    <phoneticPr fontId="6" type="noConversion"/>
  </si>
  <si>
    <t>생산 #6-7 국내용 200단위 X23072</t>
    <phoneticPr fontId="6" type="noConversion"/>
  </si>
  <si>
    <t>생산 #6-8 국내용 200단위 X23073</t>
    <phoneticPr fontId="6" type="noConversion"/>
  </si>
  <si>
    <t>생산 #6-12 캐나다용 100단위 X23074</t>
    <phoneticPr fontId="6" type="noConversion"/>
  </si>
  <si>
    <t>생산 #6-6 태국 200U 11월 선적 1
X23069</t>
    <phoneticPr fontId="6" type="noConversion"/>
  </si>
  <si>
    <t>생산 #6-7 태국 200U 11월 선적 2
X23070</t>
    <phoneticPr fontId="6" type="noConversion"/>
  </si>
  <si>
    <t>생산 #6-10 국내 100단위 X23077</t>
    <phoneticPr fontId="6" type="noConversion"/>
  </si>
  <si>
    <t>생산 #6-11 국내용 100단위 X23078</t>
    <phoneticPr fontId="6" type="noConversion"/>
  </si>
  <si>
    <t>생산 #7-10  150U R&amp;D 생산</t>
    <phoneticPr fontId="6" type="noConversion"/>
  </si>
  <si>
    <t>생산 # 5-2 태국 200U 8월 선적 1
X23046</t>
    <phoneticPr fontId="6" type="noConversion"/>
  </si>
  <si>
    <t>생산 # 5-3 태국 200U 8월 선적 2
X23047</t>
    <phoneticPr fontId="6" type="noConversion"/>
  </si>
  <si>
    <t>포장 #5-11 국내용 200단위 X23054</t>
    <phoneticPr fontId="6" type="noConversion"/>
  </si>
  <si>
    <t>포장 #5-13 국내용 100단위 X23056</t>
    <phoneticPr fontId="6" type="noConversion"/>
  </si>
  <si>
    <t>포장 #5-12 국내용 100단위 X23055</t>
    <phoneticPr fontId="6" type="noConversion"/>
  </si>
  <si>
    <t>포장 #6-7 국내용 200단위 X23072</t>
    <phoneticPr fontId="6" type="noConversion"/>
  </si>
  <si>
    <t>포장 #6-6 국내용 200단위 X23068</t>
    <phoneticPr fontId="6" type="noConversion"/>
  </si>
  <si>
    <t>포장 # 태국 X23032C 11,106VI</t>
    <phoneticPr fontId="6" type="noConversion"/>
  </si>
  <si>
    <t>생산 #1-12 국내용 200단위 X23009</t>
    <phoneticPr fontId="6" type="noConversion"/>
  </si>
  <si>
    <t>포장 #5-6 국내용 100단위 X23049, 국내 200U Z22003F</t>
    <phoneticPr fontId="6" type="noConversion"/>
  </si>
  <si>
    <t>포장 # 싱가폴 X23056C</t>
    <phoneticPr fontId="6" type="noConversion"/>
  </si>
  <si>
    <t>국가</t>
    <phoneticPr fontId="6" type="noConversion"/>
  </si>
  <si>
    <t>브라질</t>
    <phoneticPr fontId="6" type="noConversion"/>
  </si>
  <si>
    <t>shipping validation 생산설비 TEST</t>
    <phoneticPr fontId="6" type="noConversion"/>
  </si>
  <si>
    <t>포장 #5-8 국내용 100단위 X23051</t>
    <phoneticPr fontId="6" type="noConversion"/>
  </si>
  <si>
    <t>포장 # 태국 X23007A</t>
    <phoneticPr fontId="6" type="noConversion"/>
  </si>
  <si>
    <t>생산 #7-1 국내용 100단위 X23083</t>
    <phoneticPr fontId="6" type="noConversion"/>
  </si>
  <si>
    <t>생산 #7-2 미국용 100단위 X23084</t>
    <phoneticPr fontId="6" type="noConversion"/>
  </si>
  <si>
    <t>생산 #7-3 국내용 200단위 X23085</t>
    <phoneticPr fontId="6" type="noConversion"/>
  </si>
  <si>
    <t>하반기로 변경</t>
    <phoneticPr fontId="6" type="noConversion"/>
  </si>
  <si>
    <t>PO 수령 피룡</t>
    <phoneticPr fontId="6" type="noConversion"/>
  </si>
  <si>
    <t>개발</t>
    <phoneticPr fontId="6" type="noConversion"/>
  </si>
  <si>
    <t>* 생산 및 포장 필요 제품</t>
    <phoneticPr fontId="6" type="noConversion"/>
  </si>
  <si>
    <t>생산 #7-6 국내용 200단위 X23091</t>
    <phoneticPr fontId="6" type="noConversion"/>
  </si>
  <si>
    <t>생산 #7-4 미국용 100단위 X23088</t>
    <phoneticPr fontId="6" type="noConversion"/>
  </si>
  <si>
    <t>생산 #7-5 국내용 100단위 X23089</t>
    <phoneticPr fontId="6" type="noConversion"/>
  </si>
  <si>
    <t>포장 #6-9 캐나다용 100단위 X23074</t>
    <phoneticPr fontId="6" type="noConversion"/>
  </si>
  <si>
    <t>생산 #6-8 태국 200U 12월 선적 1
X23071</t>
    <phoneticPr fontId="6" type="noConversion"/>
  </si>
  <si>
    <t>생산 #6-9 태국 200U 12월 선적 2
X23075</t>
    <phoneticPr fontId="6" type="noConversion"/>
  </si>
  <si>
    <t>생산 #6-10 태국 200U '24년 1월 선적 1
X23076</t>
    <phoneticPr fontId="6" type="noConversion"/>
  </si>
  <si>
    <t>생산 #6-11 태국 200U X23079
'24년 1월 선적 2</t>
    <phoneticPr fontId="6" type="noConversion"/>
  </si>
  <si>
    <t>생산 #7-1 태국 200U X23080 
'24년 1월 선적 3</t>
    <phoneticPr fontId="6" type="noConversion"/>
  </si>
  <si>
    <t>생산 #7-2 태국 200U X23081
'24년 2월 선적 1</t>
    <phoneticPr fontId="6" type="noConversion"/>
  </si>
  <si>
    <t>생산 #7-3 태국 200U X23082
'24년 2월 선적 2</t>
    <phoneticPr fontId="6" type="noConversion"/>
  </si>
  <si>
    <t>생산 #7-5 태국 200U X23086
'24년 2월 선적 3</t>
    <phoneticPr fontId="6" type="noConversion"/>
  </si>
  <si>
    <t>생산 #7-6 태국 200U X23087
'24년 3월 선적 1</t>
    <phoneticPr fontId="6" type="noConversion"/>
  </si>
  <si>
    <t>생산 #7-7 태국 200U X23092
'24년 3월 선적 2</t>
    <phoneticPr fontId="6" type="noConversion"/>
  </si>
  <si>
    <t>생산 #7-8 태국 200U X23093 
'24년 3월 선적 3</t>
    <phoneticPr fontId="6" type="noConversion"/>
  </si>
  <si>
    <t>생산 #7-11 태국 200U X23094 
'24년 3월 선적 3</t>
    <phoneticPr fontId="6" type="noConversion"/>
  </si>
  <si>
    <t>생산 #7-13 베트남 100U 
'24년 1Q 선적</t>
    <phoneticPr fontId="6" type="noConversion"/>
  </si>
  <si>
    <t># 자재이원화 DOE 2회 수행</t>
    <phoneticPr fontId="6" type="noConversion"/>
  </si>
  <si>
    <t>생산 #7-7 국내용 100단위(표준품) X23095</t>
    <phoneticPr fontId="6" type="noConversion"/>
  </si>
  <si>
    <t>포장 #4-4 우크라이나 X23032A 2,400VI</t>
    <phoneticPr fontId="6" type="noConversion"/>
  </si>
  <si>
    <t>생산 #7-8 국내 100단위 X23096</t>
    <phoneticPr fontId="6" type="noConversion"/>
  </si>
  <si>
    <t>생산 #7-9 국내 100단위 X23097</t>
    <phoneticPr fontId="6" type="noConversion"/>
  </si>
  <si>
    <t>생산 #7-11 튀르키예 100단위 X23090</t>
    <phoneticPr fontId="6" type="noConversion"/>
  </si>
  <si>
    <t>생산 #7-12 국내 150U X23098</t>
    <phoneticPr fontId="6" type="noConversion"/>
  </si>
  <si>
    <t>생산 #7-7 국내용 100단위(표준품) X23095</t>
    <phoneticPr fontId="6" type="noConversion"/>
  </si>
  <si>
    <t>PO 수령 필요</t>
    <phoneticPr fontId="6" type="noConversion"/>
  </si>
  <si>
    <t>10월 선적 물량</t>
    <phoneticPr fontId="6" type="noConversion"/>
  </si>
  <si>
    <t>11월 선적 물량</t>
    <phoneticPr fontId="6" type="noConversion"/>
  </si>
  <si>
    <t>1월 선적 물량</t>
    <phoneticPr fontId="6" type="noConversion"/>
  </si>
  <si>
    <t>서브배치로 포장 중</t>
    <phoneticPr fontId="6" type="noConversion"/>
  </si>
  <si>
    <t>표준품 10,000VI 외 커머셜 포장</t>
    <phoneticPr fontId="6" type="noConversion"/>
  </si>
  <si>
    <t>국내</t>
    <phoneticPr fontId="6" type="noConversion"/>
  </si>
  <si>
    <t>브라질</t>
    <phoneticPr fontId="6" type="noConversion"/>
  </si>
  <si>
    <t>브라질</t>
    <phoneticPr fontId="6" type="noConversion"/>
  </si>
  <si>
    <t>미국</t>
    <phoneticPr fontId="6" type="noConversion"/>
  </si>
  <si>
    <t>ROW</t>
    <phoneticPr fontId="6" type="noConversion"/>
  </si>
  <si>
    <t>ROW</t>
    <phoneticPr fontId="6" type="noConversion"/>
  </si>
  <si>
    <t>튀르키예</t>
    <phoneticPr fontId="6" type="noConversion"/>
  </si>
  <si>
    <t>생산 #6-10 국내용 100단위 X23077</t>
    <phoneticPr fontId="6" type="noConversion"/>
  </si>
  <si>
    <t>용해시험 중</t>
    <phoneticPr fontId="6" type="noConversion"/>
  </si>
  <si>
    <t>생산 #7-1 국내용 100단위 X23083</t>
    <phoneticPr fontId="6" type="noConversion"/>
  </si>
  <si>
    <t>포장 #7-1 국내용 100단위 X23083</t>
    <phoneticPr fontId="6" type="noConversion"/>
  </si>
  <si>
    <t>이물검사 완료</t>
    <phoneticPr fontId="6" type="noConversion"/>
  </si>
  <si>
    <t>용해시험 중</t>
    <phoneticPr fontId="6" type="noConversion"/>
  </si>
  <si>
    <t>생산 #6-11 국내용 100단위 X23078</t>
    <phoneticPr fontId="6" type="noConversion"/>
  </si>
  <si>
    <t>포장 #6-11 국내용 100단위 X23078</t>
    <phoneticPr fontId="6" type="noConversion"/>
  </si>
  <si>
    <t>포장 #7-5 국내용 100단위 X23089</t>
    <phoneticPr fontId="6" type="noConversion"/>
  </si>
  <si>
    <t>포장 #6-8 국내용 200단위 X23073</t>
    <phoneticPr fontId="6" type="noConversion"/>
  </si>
  <si>
    <t>생산 #7-3 국내용 200단위 X23085</t>
    <phoneticPr fontId="6" type="noConversion"/>
  </si>
  <si>
    <t>포장 #7-3 국내용 200단위 X23085</t>
    <phoneticPr fontId="6" type="noConversion"/>
  </si>
  <si>
    <t>생산 #7-6 국내용 200단위 X23091</t>
    <phoneticPr fontId="6" type="noConversion"/>
  </si>
  <si>
    <t>포장 #7-6 국내용 200단위 X23091</t>
    <phoneticPr fontId="6" type="noConversion"/>
  </si>
  <si>
    <t>포장 #4-6 브라질용 100단위 X23034C</t>
    <phoneticPr fontId="6" type="noConversion"/>
  </si>
  <si>
    <t>포장 #5-4 브라질 100단위 X23044</t>
    <phoneticPr fontId="6" type="noConversion"/>
  </si>
  <si>
    <t>포장 #6-10 국내용 100단위 X23077</t>
    <phoneticPr fontId="6" type="noConversion"/>
  </si>
  <si>
    <t>포장 #5-3 미국용 100단위 X23043</t>
    <phoneticPr fontId="6" type="noConversion"/>
  </si>
  <si>
    <r>
      <t xml:space="preserve">12월 선적 물량, </t>
    </r>
    <r>
      <rPr>
        <b/>
        <sz val="11"/>
        <color rgb="FFFF0000"/>
        <rFont val="나눔고딕"/>
        <family val="3"/>
        <charset val="129"/>
      </rPr>
      <t>일부수량 격리로 이물검사 대기</t>
    </r>
    <phoneticPr fontId="6" type="noConversion"/>
  </si>
  <si>
    <t>일부수량 격리로 이물검사 대기</t>
    <phoneticPr fontId="6" type="noConversion"/>
  </si>
  <si>
    <r>
      <t xml:space="preserve">2월 선적 물량, </t>
    </r>
    <r>
      <rPr>
        <b/>
        <sz val="11"/>
        <color rgb="FFFF0000"/>
        <rFont val="나눔고딕"/>
        <family val="3"/>
        <charset val="129"/>
      </rPr>
      <t>일부수량 격리로 이물검사 대기</t>
    </r>
    <phoneticPr fontId="6" type="noConversion"/>
  </si>
  <si>
    <t>대만</t>
    <phoneticPr fontId="6" type="noConversion"/>
  </si>
  <si>
    <t>10월 선적 물량</t>
    <phoneticPr fontId="6" type="noConversion"/>
  </si>
  <si>
    <t>#4-4 ROW 100단위 X23032</t>
    <phoneticPr fontId="6" type="noConversion"/>
  </si>
  <si>
    <t>#4-4 ROW 100단위 대만 X23032F</t>
    <phoneticPr fontId="6" type="noConversion"/>
  </si>
  <si>
    <t>인도</t>
    <phoneticPr fontId="6" type="noConversion"/>
  </si>
  <si>
    <t>9월 선적 물량</t>
    <phoneticPr fontId="6" type="noConversion"/>
  </si>
  <si>
    <t>#4-4 ROW 100단위 대만 X23032F</t>
    <phoneticPr fontId="6" type="noConversion"/>
  </si>
  <si>
    <t>생산 #6-5 태국 200U 10월 선적 3
X23067</t>
    <phoneticPr fontId="6" type="noConversion"/>
  </si>
  <si>
    <t>생산 #6-8 태국 200U 12월 선적 1
X23071</t>
    <phoneticPr fontId="6" type="noConversion"/>
  </si>
  <si>
    <t>생산 #6-9 태국 200U 12월 선적 2
X23075</t>
    <phoneticPr fontId="6" type="noConversion"/>
  </si>
  <si>
    <t>생산 #7-4 듀얼브랜드  X23099
임상 1상 생산</t>
    <phoneticPr fontId="6" type="noConversion"/>
  </si>
  <si>
    <t>생산 #6-10 태국 200U X23076
'24년 1월 선적 1</t>
    <phoneticPr fontId="6" type="noConversion"/>
  </si>
  <si>
    <t>AEON</t>
    <phoneticPr fontId="6" type="noConversion"/>
  </si>
  <si>
    <t>생산 #6-3 브라질 100단위 X23062C</t>
    <phoneticPr fontId="6" type="noConversion"/>
  </si>
  <si>
    <t>PO 수령 완료</t>
    <phoneticPr fontId="6" type="noConversion"/>
  </si>
  <si>
    <t>생산 #6-3 AEON 100단위 X23062A</t>
    <phoneticPr fontId="6" type="noConversion"/>
  </si>
  <si>
    <t>9월 선적 물량</t>
    <phoneticPr fontId="6" type="noConversion"/>
  </si>
  <si>
    <t>생산 볼리비아 100단위 X22019K</t>
    <phoneticPr fontId="6" type="noConversion"/>
  </si>
  <si>
    <t>포장 #6-3 AEON 100단위 X23062A, 3,000VI 선적 필요</t>
    <phoneticPr fontId="6" type="noConversion"/>
  </si>
  <si>
    <t>볼리비아 100단위 X22019K, 2,400VI 선적 필요</t>
    <phoneticPr fontId="6" type="noConversion"/>
  </si>
  <si>
    <t>생산 #7-7 국내용 100단위(표준품) X23095</t>
    <phoneticPr fontId="6" type="noConversion"/>
  </si>
  <si>
    <t>포장 #7-7 국내용 100단위(표준품) X23095</t>
    <phoneticPr fontId="6" type="noConversion"/>
  </si>
  <si>
    <t>생산 #7-8 국내 100단위 X23096</t>
    <phoneticPr fontId="6" type="noConversion"/>
  </si>
  <si>
    <t>포장 #7-8 국내 100단위 X23096</t>
    <phoneticPr fontId="6" type="noConversion"/>
  </si>
  <si>
    <t>생산 #7-9 국내 100단위 X23097</t>
    <phoneticPr fontId="6" type="noConversion"/>
  </si>
  <si>
    <t>포장 #7-9 국내 100단위 X23097</t>
    <phoneticPr fontId="6" type="noConversion"/>
  </si>
  <si>
    <t>생산 #6-1 미국용 100단위 X23059</t>
    <phoneticPr fontId="6" type="noConversion"/>
  </si>
  <si>
    <t>포장 #6-1 미국용 100단위 X23059</t>
    <phoneticPr fontId="6" type="noConversion"/>
  </si>
  <si>
    <t>생산 #7-2 미국용 100단위 X23084</t>
    <phoneticPr fontId="6" type="noConversion"/>
  </si>
  <si>
    <t>#4-4 ROW 100단위 인도 X23032E</t>
    <phoneticPr fontId="6" type="noConversion"/>
  </si>
  <si>
    <t>포장 #6-2 브라질 100단위 X23060</t>
    <phoneticPr fontId="6" type="noConversion"/>
  </si>
  <si>
    <t>생산 #6-5 ROW 수출제품 X23065</t>
    <phoneticPr fontId="6" type="noConversion"/>
  </si>
  <si>
    <t>이물검사C #9-1</t>
    <phoneticPr fontId="6" type="noConversion"/>
  </si>
  <si>
    <t>이물검사C #9-3</t>
    <phoneticPr fontId="6" type="noConversion"/>
  </si>
  <si>
    <t>이물검사C #10-3</t>
    <phoneticPr fontId="6" type="noConversion"/>
  </si>
  <si>
    <t>이물검사C #10-5</t>
    <phoneticPr fontId="6" type="noConversion"/>
  </si>
  <si>
    <t>이물검사C #10-7</t>
    <phoneticPr fontId="6" type="noConversion"/>
  </si>
  <si>
    <t>이물검사C #11-9</t>
    <phoneticPr fontId="6" type="noConversion"/>
  </si>
  <si>
    <t>이물검사C #11-11</t>
    <phoneticPr fontId="6" type="noConversion"/>
  </si>
  <si>
    <t>이물검사C #11-14</t>
    <phoneticPr fontId="6" type="noConversion"/>
  </si>
  <si>
    <t>이물검사C #12-2</t>
    <phoneticPr fontId="6" type="noConversion"/>
  </si>
  <si>
    <t>이물검사C #12-4</t>
    <phoneticPr fontId="6" type="noConversion"/>
  </si>
  <si>
    <t>이물검사C #12-6</t>
    <phoneticPr fontId="6" type="noConversion"/>
  </si>
  <si>
    <t>이물검사C #12-8</t>
    <phoneticPr fontId="6" type="noConversion"/>
  </si>
  <si>
    <t>이물검사C #12-9</t>
    <phoneticPr fontId="6" type="noConversion"/>
  </si>
  <si>
    <t>이물검사C #9-1</t>
    <phoneticPr fontId="6" type="noConversion"/>
  </si>
  <si>
    <t>이물검사C #9-2</t>
    <phoneticPr fontId="6" type="noConversion"/>
  </si>
  <si>
    <t>이물검사C #9-2</t>
    <phoneticPr fontId="6" type="noConversion"/>
  </si>
  <si>
    <t>이물검사C #9-3</t>
    <phoneticPr fontId="6" type="noConversion"/>
  </si>
  <si>
    <t>이물검사C #9-3</t>
    <phoneticPr fontId="6" type="noConversion"/>
  </si>
  <si>
    <t>이물검사C #9-4</t>
    <phoneticPr fontId="6" type="noConversion"/>
  </si>
  <si>
    <t>이물검사C #9-4</t>
    <phoneticPr fontId="6" type="noConversion"/>
  </si>
  <si>
    <t>이물검사C #9-5</t>
    <phoneticPr fontId="6" type="noConversion"/>
  </si>
  <si>
    <t>이물검사C #9-5</t>
    <phoneticPr fontId="6" type="noConversion"/>
  </si>
  <si>
    <t>이물검사C #9-6</t>
    <phoneticPr fontId="6" type="noConversion"/>
  </si>
  <si>
    <t>이물검사C #10-1</t>
    <phoneticPr fontId="6" type="noConversion"/>
  </si>
  <si>
    <t>이물검사C #10-1</t>
    <phoneticPr fontId="6" type="noConversion"/>
  </si>
  <si>
    <t>이물검사C #10-2</t>
    <phoneticPr fontId="6" type="noConversion"/>
  </si>
  <si>
    <t>이물검사C #10-4</t>
    <phoneticPr fontId="6" type="noConversion"/>
  </si>
  <si>
    <t>이물검사C #10-4</t>
    <phoneticPr fontId="6" type="noConversion"/>
  </si>
  <si>
    <t>이물검사C #10-5</t>
    <phoneticPr fontId="6" type="noConversion"/>
  </si>
  <si>
    <t>이물검사C #10-6</t>
    <phoneticPr fontId="6" type="noConversion"/>
  </si>
  <si>
    <t>이물검사C #10-6</t>
    <phoneticPr fontId="6" type="noConversion"/>
  </si>
  <si>
    <t>이물검사C #10-13</t>
    <phoneticPr fontId="6" type="noConversion"/>
  </si>
  <si>
    <t>이물검사C #10-14</t>
    <phoneticPr fontId="6" type="noConversion"/>
  </si>
  <si>
    <t>이물검사C #11-4</t>
    <phoneticPr fontId="6" type="noConversion"/>
  </si>
  <si>
    <t>이물검사C #11-5</t>
    <phoneticPr fontId="6" type="noConversion"/>
  </si>
  <si>
    <t>이물검사C #11-5</t>
    <phoneticPr fontId="6" type="noConversion"/>
  </si>
  <si>
    <t>이물검사C #11-6</t>
    <phoneticPr fontId="6" type="noConversion"/>
  </si>
  <si>
    <t>이물검사C #11-7</t>
    <phoneticPr fontId="6" type="noConversion"/>
  </si>
  <si>
    <t>이물검사C #11-8</t>
    <phoneticPr fontId="6" type="noConversion"/>
  </si>
  <si>
    <t>이물검사C #11-8</t>
    <phoneticPr fontId="6" type="noConversion"/>
  </si>
  <si>
    <t>이물검사C #11-9</t>
    <phoneticPr fontId="6" type="noConversion"/>
  </si>
  <si>
    <t>이물검사C #11-10</t>
    <phoneticPr fontId="6" type="noConversion"/>
  </si>
  <si>
    <t>이물검사C #11-10</t>
    <phoneticPr fontId="6" type="noConversion"/>
  </si>
  <si>
    <t>이물검사C #11-13</t>
    <phoneticPr fontId="6" type="noConversion"/>
  </si>
  <si>
    <t>이물검사C #11-12</t>
    <phoneticPr fontId="6" type="noConversion"/>
  </si>
  <si>
    <t>이물검사C #11-15</t>
    <phoneticPr fontId="6" type="noConversion"/>
  </si>
  <si>
    <t>이물검사C #11-12</t>
    <phoneticPr fontId="6" type="noConversion"/>
  </si>
  <si>
    <t>이물검사C #11-13</t>
    <phoneticPr fontId="6" type="noConversion"/>
  </si>
  <si>
    <t>이물검사C #11-16</t>
    <phoneticPr fontId="6" type="noConversion"/>
  </si>
  <si>
    <t>이물검사C #11-17</t>
    <phoneticPr fontId="6" type="noConversion"/>
  </si>
  <si>
    <t>이물검사C #12-1</t>
    <phoneticPr fontId="6" type="noConversion"/>
  </si>
  <si>
    <t>이물검사C #12-2</t>
    <phoneticPr fontId="6" type="noConversion"/>
  </si>
  <si>
    <t>이물검사C #12-4</t>
    <phoneticPr fontId="6" type="noConversion"/>
  </si>
  <si>
    <t>이물검사C #12-3</t>
    <phoneticPr fontId="6" type="noConversion"/>
  </si>
  <si>
    <t>이물검사C #12-3</t>
    <phoneticPr fontId="6" type="noConversion"/>
  </si>
  <si>
    <t>이물검사C #12-5</t>
    <phoneticPr fontId="6" type="noConversion"/>
  </si>
  <si>
    <t>이물검사C #12-5</t>
    <phoneticPr fontId="6" type="noConversion"/>
  </si>
  <si>
    <t>이물검사C #12-6</t>
    <phoneticPr fontId="6" type="noConversion"/>
  </si>
  <si>
    <t>이물검사C #12-7</t>
    <phoneticPr fontId="6" type="noConversion"/>
  </si>
  <si>
    <t>이물검사C #12-7</t>
    <phoneticPr fontId="6" type="noConversion"/>
  </si>
  <si>
    <t>이물검사C #12-10</t>
    <phoneticPr fontId="6" type="noConversion"/>
  </si>
  <si>
    <t>이물검사C #12-10</t>
    <phoneticPr fontId="6" type="noConversion"/>
  </si>
  <si>
    <t>이물검사C #12-12</t>
    <phoneticPr fontId="6" type="noConversion"/>
  </si>
  <si>
    <t>이물검사C #12-13</t>
    <phoneticPr fontId="6" type="noConversion"/>
  </si>
  <si>
    <t>이물검사C #12-14</t>
    <phoneticPr fontId="6" type="noConversion"/>
  </si>
  <si>
    <t>이물검사C #12-11</t>
    <phoneticPr fontId="6" type="noConversion"/>
  </si>
  <si>
    <t>이물검사C #12-11</t>
    <phoneticPr fontId="6" type="noConversion"/>
  </si>
  <si>
    <t>이물검사C #12-12</t>
    <phoneticPr fontId="6" type="noConversion"/>
  </si>
  <si>
    <t>이물검사C #12-14</t>
    <phoneticPr fontId="6" type="noConversion"/>
  </si>
  <si>
    <t>이물검사C #12-15</t>
    <phoneticPr fontId="6" type="noConversion"/>
  </si>
  <si>
    <t>#4-4 ROW 100단위 인도 X23032E</t>
    <phoneticPr fontId="6" type="noConversion"/>
  </si>
  <si>
    <t xml:space="preserve"> ROW 100단위 인도 X23032E</t>
    <phoneticPr fontId="6" type="noConversion"/>
  </si>
  <si>
    <t>A동 MF</t>
    <phoneticPr fontId="6" type="noConversion"/>
  </si>
  <si>
    <t>ROW</t>
    <phoneticPr fontId="6" type="noConversion"/>
  </si>
  <si>
    <t>11월 선적 물량</t>
    <phoneticPr fontId="6" type="noConversion"/>
  </si>
  <si>
    <t>페루 100U X23032H</t>
    <phoneticPr fontId="6" type="noConversion"/>
  </si>
  <si>
    <t>대만 100U X23053A</t>
    <phoneticPr fontId="6" type="noConversion"/>
  </si>
  <si>
    <t>12월 선적물량</t>
    <phoneticPr fontId="6" type="noConversion"/>
  </si>
  <si>
    <t>대만 100U X23053A(12월 선적 물량)
9,600VI 선적 필요</t>
    <phoneticPr fontId="6" type="noConversion"/>
  </si>
  <si>
    <t>페루 100단위 X23032H(11월 선적)
2,200VI 선적 필요</t>
    <phoneticPr fontId="6" type="noConversion"/>
  </si>
  <si>
    <t>11~12월 선적 물량</t>
    <phoneticPr fontId="6" type="noConversion"/>
  </si>
  <si>
    <t>태국 100U X23032K</t>
    <phoneticPr fontId="6" type="noConversion"/>
  </si>
  <si>
    <t>태국 100U X23032K(11~12월 선적 물량)</t>
    <phoneticPr fontId="6" type="noConversion"/>
  </si>
  <si>
    <t>* 생산 및 포장 필요 제품(BOLD 계획 수립 완료)</t>
    <phoneticPr fontId="6" type="noConversion"/>
  </si>
  <si>
    <t>PO 수령 필요</t>
    <phoneticPr fontId="6" type="noConversion"/>
  </si>
  <si>
    <t>2월 선적 물량, 발주 필요</t>
    <phoneticPr fontId="6" type="noConversion"/>
  </si>
  <si>
    <r>
      <t xml:space="preserve">12월 선적 물량, </t>
    </r>
    <r>
      <rPr>
        <b/>
        <sz val="11"/>
        <color rgb="FFFF0000"/>
        <rFont val="나눔고딕"/>
        <family val="3"/>
        <charset val="129"/>
      </rPr>
      <t>발주</t>
    </r>
    <r>
      <rPr>
        <b/>
        <sz val="11"/>
        <color rgb="FFFF0000"/>
        <rFont val="나눔고딕"/>
        <family val="2"/>
        <charset val="129"/>
      </rPr>
      <t xml:space="preserve"> 필요</t>
    </r>
    <phoneticPr fontId="6" type="noConversion"/>
  </si>
  <si>
    <t>1월 선적 물량, 발주 필요</t>
    <phoneticPr fontId="6" type="noConversion"/>
  </si>
  <si>
    <t>생산 #9-1 국내 100단위 X23100</t>
    <phoneticPr fontId="6" type="noConversion"/>
  </si>
  <si>
    <t>생산 #9-2 미국용 100단위 X23102</t>
    <phoneticPr fontId="6" type="noConversion"/>
  </si>
  <si>
    <t>생산 #9-3 캐나다용 100단위(12월 선적 물량1) X23103</t>
    <phoneticPr fontId="6" type="noConversion"/>
  </si>
  <si>
    <t>생산 #9-4 150단위 시생산</t>
    <phoneticPr fontId="6" type="noConversion"/>
  </si>
  <si>
    <t>포장 #6-4 미국용 100단위 X23063(변경되면 안됨)</t>
    <phoneticPr fontId="6" type="noConversion"/>
  </si>
  <si>
    <t>생산 #9-5 국내용 100단위 X23101</t>
    <phoneticPr fontId="6" type="noConversion"/>
  </si>
  <si>
    <t>포장 #9-4 국내 100단위 X23100</t>
    <phoneticPr fontId="6" type="noConversion"/>
  </si>
  <si>
    <t>포장 #10-1 국내 100단위 X23101</t>
    <phoneticPr fontId="6" type="noConversion"/>
  </si>
  <si>
    <t>포장 #9-6 태국 100단위 X23053F 9020VI</t>
    <phoneticPr fontId="6" type="noConversion"/>
  </si>
  <si>
    <t>포장 #9-6 DE/AT 50U X22190E 3933VI</t>
    <phoneticPr fontId="6" type="noConversion"/>
  </si>
  <si>
    <t>포장#7-2 미국용 100단위 X23084</t>
    <phoneticPr fontId="6" type="noConversion"/>
  </si>
  <si>
    <t>포장 #7-4 미국용 100단위 X23088</t>
    <phoneticPr fontId="6" type="noConversion"/>
  </si>
  <si>
    <t>포장#9-3 캐나다용 100단위 X23103</t>
    <phoneticPr fontId="6" type="noConversion"/>
  </si>
  <si>
    <t>포장 #10-2 튀르키예 X23090</t>
    <phoneticPr fontId="6" type="noConversion"/>
  </si>
  <si>
    <t>#6-5 국내 100U X23065</t>
    <phoneticPr fontId="6" type="noConversion"/>
  </si>
  <si>
    <t>생산 #10-1 ROW 100단위 X23104</t>
    <phoneticPr fontId="6" type="noConversion"/>
  </si>
  <si>
    <t>생산 #10-2 미국용 100단위(3월 선적 물량1) X23105</t>
    <phoneticPr fontId="6" type="noConversion"/>
  </si>
  <si>
    <t>칠레 X23053C 4,800VI 
11월 선적</t>
    <phoneticPr fontId="6" type="noConversion"/>
  </si>
  <si>
    <t>생산 #10-3  미국용 100단위(3월 선적 물량2) X23106</t>
    <phoneticPr fontId="6" type="noConversion"/>
  </si>
  <si>
    <t>생산 #10-4 국내용 100단위 X23107</t>
    <phoneticPr fontId="6" type="noConversion"/>
  </si>
  <si>
    <t>생산 #10-5 국내용 100단위 X23108</t>
    <phoneticPr fontId="6" type="noConversion"/>
  </si>
  <si>
    <t>생산 #10-6 국내용 100단위 X23109</t>
    <phoneticPr fontId="6" type="noConversion"/>
  </si>
  <si>
    <t>생산 #10-7 국내용 100단위 X23110</t>
    <phoneticPr fontId="6" type="noConversion"/>
  </si>
  <si>
    <t>생산 #10-8 국내용 100단위 X23111</t>
    <phoneticPr fontId="6" type="noConversion"/>
  </si>
  <si>
    <t>포장 #9-5 이태리 50U X22191A 4,000VI 11월 선적</t>
    <phoneticPr fontId="6" type="noConversion"/>
  </si>
  <si>
    <t>포장 #9-5 이태리 50U X22191C 10,594VI 11월 선적</t>
    <phoneticPr fontId="6" type="noConversion"/>
  </si>
  <si>
    <t>포장 #9-6 DE/AT 50U X22191E 4,000VI</t>
    <phoneticPr fontId="6" type="noConversion"/>
  </si>
  <si>
    <t>생산 #10-9 국내용 100단위 X23112</t>
    <phoneticPr fontId="6" type="noConversion"/>
  </si>
  <si>
    <t>생산 #10-10 국내용 100단위 X23113</t>
    <phoneticPr fontId="6" type="noConversion"/>
  </si>
  <si>
    <t>생산 #10-11 국내용 200단위 X23114</t>
    <phoneticPr fontId="6" type="noConversion"/>
  </si>
  <si>
    <t>생산 #10-12 국내용 100단위 X23115</t>
    <phoneticPr fontId="6" type="noConversion"/>
  </si>
  <si>
    <t>포장 #10-4 국내 100단위 X23107</t>
    <phoneticPr fontId="6" type="noConversion"/>
  </si>
  <si>
    <t>포장 #10-5 국내 100단위 X23108</t>
    <phoneticPr fontId="6" type="noConversion"/>
  </si>
  <si>
    <t>포장 #10-6 국내 100단위 X23109</t>
    <phoneticPr fontId="6" type="noConversion"/>
  </si>
  <si>
    <t>포장 #10-7 국내 100단위 X23110</t>
    <phoneticPr fontId="6" type="noConversion"/>
  </si>
  <si>
    <t>포장 #10-9 국내 100단위 X23112</t>
    <phoneticPr fontId="6" type="noConversion"/>
  </si>
  <si>
    <t>포장 #10-10 국내 100단위 X23113</t>
    <phoneticPr fontId="6" type="noConversion"/>
  </si>
  <si>
    <t>포장 #10-12 국내 100단위 X23115</t>
    <phoneticPr fontId="6" type="noConversion"/>
  </si>
  <si>
    <t>포장 #10-11 국내 200단위 X23114</t>
    <phoneticPr fontId="6" type="noConversion"/>
  </si>
  <si>
    <t>생산 #10-13 국내용 200단위 X23116</t>
    <phoneticPr fontId="6" type="noConversion"/>
  </si>
  <si>
    <t>생산 #10-14 국내용 100단위 X23117</t>
    <phoneticPr fontId="6" type="noConversion"/>
  </si>
  <si>
    <t>생산 #11-1 국내용 100단위 X23118</t>
    <phoneticPr fontId="6" type="noConversion"/>
  </si>
  <si>
    <t>생산 #10-14 국내용 100단위 TBD</t>
    <phoneticPr fontId="6" type="noConversion"/>
  </si>
  <si>
    <t>생산 #9-2 미국 X23102</t>
    <phoneticPr fontId="6" type="noConversion"/>
  </si>
  <si>
    <t>생산 #10-2 미국 X23105</t>
    <phoneticPr fontId="6" type="noConversion"/>
  </si>
  <si>
    <t>생산 #10-3 미국 X23106</t>
    <phoneticPr fontId="6" type="noConversion"/>
  </si>
  <si>
    <t>생산 #6-3 브라질 X23062C</t>
    <phoneticPr fontId="6" type="noConversion"/>
  </si>
  <si>
    <t>포장 #10-13 국내 200단위 X23116</t>
    <phoneticPr fontId="6" type="noConversion"/>
  </si>
  <si>
    <t>생산 #11-6 국내용 100단위 X23123</t>
    <phoneticPr fontId="6" type="noConversion"/>
  </si>
  <si>
    <t>동결건조기 일탈로 인해 이물검사 완료 일정 변경(12월)</t>
    <phoneticPr fontId="6" type="noConversion"/>
  </si>
  <si>
    <t>포장 #11-2 국내 100단위 X23120</t>
    <phoneticPr fontId="6" type="noConversion"/>
  </si>
  <si>
    <t>포장 #10-8 국내 100단위 X23111</t>
  </si>
  <si>
    <t>사우디 IOQ</t>
    <phoneticPr fontId="6" type="noConversion"/>
  </si>
  <si>
    <t>포장 #7-7 태국 200U X23092
'24년 3월 선적 2</t>
    <phoneticPr fontId="6" type="noConversion"/>
  </si>
  <si>
    <t>포장 #7-8 태국 200U X23093 
'24년 3월 선적 3</t>
    <phoneticPr fontId="6" type="noConversion"/>
  </si>
  <si>
    <t>생산 #11-2 국내용 100단위 X23120</t>
    <phoneticPr fontId="6" type="noConversion"/>
  </si>
  <si>
    <t>생산 #11-3 국내용 100단위 X23121</t>
    <phoneticPr fontId="6" type="noConversion"/>
  </si>
  <si>
    <t>생산 #11-4 국내용 100단위 X23122</t>
    <phoneticPr fontId="6" type="noConversion"/>
  </si>
  <si>
    <t>생산 #11-7 미국용 100단위 X23119</t>
    <phoneticPr fontId="6" type="noConversion"/>
  </si>
  <si>
    <t>포장 #10-1 칠레 X23104A 
'24년 1월 선적 4,800VI</t>
    <phoneticPr fontId="6" type="noConversion"/>
  </si>
  <si>
    <t>포장 #5-10 태국 100U X23053K '24년 1월 선적 1,227VI</t>
    <phoneticPr fontId="6" type="noConversion"/>
  </si>
  <si>
    <t>포장 #5-10 태국 100U X23104C '24년 1~3월 선적 16,273VI</t>
    <phoneticPr fontId="6" type="noConversion"/>
  </si>
  <si>
    <t>포장 #10-10 DE/AT X22191F 12월 선적 15,000VI</t>
    <phoneticPr fontId="6" type="noConversion"/>
  </si>
  <si>
    <t>포장 #5-10 사우디 X23053E 7,200VI</t>
    <phoneticPr fontId="6" type="noConversion"/>
  </si>
  <si>
    <t>포장 #5-10 사우디 X23104E 2,800VI</t>
    <phoneticPr fontId="6" type="noConversion"/>
  </si>
  <si>
    <t>포장 #5-10 페루 X23053H
24년 4월 선적 2,200VI</t>
    <phoneticPr fontId="6" type="noConversion"/>
  </si>
  <si>
    <t>포장 #9-2 미국용 X23102</t>
    <phoneticPr fontId="6" type="noConversion"/>
  </si>
  <si>
    <t>생산 #11-8 ROW 100단위 X23125</t>
    <phoneticPr fontId="6" type="noConversion"/>
  </si>
  <si>
    <t>생산 착수 x</t>
    <phoneticPr fontId="6" type="noConversion"/>
  </si>
  <si>
    <t>포장 #11-1 국내 200단위 X23116</t>
    <phoneticPr fontId="6" type="noConversion"/>
  </si>
  <si>
    <t>생산 #11-10 국내용 200단위 X23126</t>
    <phoneticPr fontId="6" type="noConversion"/>
  </si>
  <si>
    <t>생산 #11-11 ROW 100단위 X23127</t>
    <phoneticPr fontId="6" type="noConversion"/>
  </si>
  <si>
    <t>생산 #11-12 국내용 100단위 X23128</t>
    <phoneticPr fontId="6" type="noConversion"/>
  </si>
  <si>
    <t>포장 #11-5 DS scale-up PV X23124A</t>
    <phoneticPr fontId="6" type="noConversion"/>
  </si>
  <si>
    <t>포장 #10-13 국내 100U X23118</t>
    <phoneticPr fontId="6" type="noConversion"/>
  </si>
  <si>
    <t>포장 #10-13 국내 100U X23120</t>
    <phoneticPr fontId="6" type="noConversion"/>
  </si>
  <si>
    <t>포장 #10-14 국내 100U X23122</t>
    <phoneticPr fontId="6" type="noConversion"/>
  </si>
  <si>
    <t>포장 #11-1 국내 100U X23123</t>
    <phoneticPr fontId="6" type="noConversion"/>
  </si>
  <si>
    <t>포장 #11-3 국내 200U X23126</t>
    <phoneticPr fontId="6" type="noConversion"/>
  </si>
  <si>
    <t>포장 #11-4 국내 100U X23128</t>
    <phoneticPr fontId="6" type="noConversion"/>
  </si>
  <si>
    <t>생산 #11-14 국내용 100단위(WEST 사용) X23129</t>
    <phoneticPr fontId="6" type="noConversion"/>
  </si>
  <si>
    <t>생산 #11-15 미국용 100단위 X23130</t>
    <phoneticPr fontId="6" type="noConversion"/>
  </si>
  <si>
    <t>생산 #11-16 국내용 100단위 X23131</t>
    <phoneticPr fontId="6" type="noConversion"/>
  </si>
  <si>
    <t>포장 #11-5 미국 100U X23105</t>
    <phoneticPr fontId="6" type="noConversion"/>
  </si>
  <si>
    <t>포장 #11-6 미국 100U X23106</t>
    <phoneticPr fontId="6" type="noConversion"/>
  </si>
  <si>
    <t>생산 #12-1 국내용 200단위 X23132</t>
    <phoneticPr fontId="6" type="noConversion"/>
  </si>
  <si>
    <t>포장 #10-13 국내 100U X23117</t>
  </si>
  <si>
    <t>생산 #11-5 DS scale-up X23124</t>
    <phoneticPr fontId="6" type="noConversion"/>
  </si>
  <si>
    <t>생산 #12-2 국내용 100단위 X23133</t>
    <phoneticPr fontId="6" type="noConversion"/>
  </si>
  <si>
    <t>생산 #12-3 국내용 100단위 X23134</t>
    <phoneticPr fontId="6" type="noConversion"/>
  </si>
  <si>
    <t>생산 #12-4 미국용 100단위 X23135</t>
    <phoneticPr fontId="6" type="noConversion"/>
  </si>
  <si>
    <t>생산 #12-5 미국용 100단위 X23136</t>
    <phoneticPr fontId="6" type="noConversion"/>
  </si>
  <si>
    <t>생산 #12-3 국내용 100단위</t>
    <phoneticPr fontId="6" type="noConversion"/>
  </si>
  <si>
    <t xml:space="preserve">  </t>
    <phoneticPr fontId="6" type="noConversion"/>
  </si>
  <si>
    <t>포장 #11-13 DS Scale-up 안정성포장</t>
    <phoneticPr fontId="6" type="noConversion"/>
  </si>
  <si>
    <t>포장 #11-9 국내 100단위 X23131</t>
    <phoneticPr fontId="6" type="noConversion"/>
  </si>
  <si>
    <t>포장 #11-10 국내 100단위 X23134</t>
    <phoneticPr fontId="6" type="noConversion"/>
  </si>
  <si>
    <t>포장 #11-11 국내 200단위 X23132</t>
    <phoneticPr fontId="6" type="noConversion"/>
  </si>
  <si>
    <t>포장 #11-12 국내 200단위 X23138</t>
    <phoneticPr fontId="6" type="noConversion"/>
  </si>
  <si>
    <t>생산 #12-10 유럽용 50단위 X23140</t>
    <phoneticPr fontId="6" type="noConversion"/>
  </si>
  <si>
    <t>생산 #12-11 유럽용 50단위 X23141</t>
    <phoneticPr fontId="6" type="noConversion"/>
  </si>
  <si>
    <t>생산 #12-7 국내용 200단위</t>
    <phoneticPr fontId="6" type="noConversion"/>
  </si>
  <si>
    <t>생산 #12-8 국내용 200단위</t>
    <phoneticPr fontId="6" type="noConversion"/>
  </si>
  <si>
    <t>생산 #12-12 국내용 200단위 X23138</t>
    <phoneticPr fontId="6" type="noConversion"/>
  </si>
  <si>
    <t>생산 #12-9 DS Scale-up PV Z23001</t>
    <phoneticPr fontId="6" type="noConversion"/>
  </si>
  <si>
    <t>생산 #12-13 DS Scale-up PV Z23002</t>
    <phoneticPr fontId="6" type="noConversion"/>
  </si>
  <si>
    <t>생산 #12-14 DS Scale-up PV Z23003</t>
    <phoneticPr fontId="6" type="noConversion"/>
  </si>
  <si>
    <t>포장 #11-14 튀르키예 X23127 2월 선적 건</t>
    <phoneticPr fontId="6" type="noConversion"/>
  </si>
  <si>
    <t xml:space="preserve">포장 #11-15 인도 X23104F 
2,500VI '24년 4월 선적 건 </t>
    <phoneticPr fontId="6" type="noConversion"/>
  </si>
  <si>
    <t>포장 #12-1 사우디 X23104H
7,758VI 2월 선적 건</t>
    <phoneticPr fontId="6" type="noConversion"/>
  </si>
  <si>
    <t>생산 #1-1 국내용 200단위 X23139</t>
    <phoneticPr fontId="6" type="noConversion"/>
  </si>
  <si>
    <t>생산 #1-2 국내용 100단위 X23142</t>
    <phoneticPr fontId="6" type="noConversion"/>
  </si>
  <si>
    <t>포장 #11-17 튀르키예 X23129 4월 선적 건</t>
    <phoneticPr fontId="6" type="noConversion"/>
  </si>
  <si>
    <t>포장 공정 레이아웃 변경 공사(포장 착수X)</t>
    <phoneticPr fontId="6" type="noConversion"/>
  </si>
  <si>
    <t>포장 #12-2 미국 X23119 4월 선적 건</t>
    <phoneticPr fontId="6" type="noConversion"/>
  </si>
  <si>
    <t>생산 #1-4 ROW 100단위 X23144</t>
    <phoneticPr fontId="6" type="noConversion"/>
  </si>
  <si>
    <t>생산 #1-5 미국용 100단위 X23145</t>
    <phoneticPr fontId="6" type="noConversion"/>
  </si>
  <si>
    <t>생산 #1-6 유럽 50단위 X23147</t>
    <phoneticPr fontId="6" type="noConversion"/>
  </si>
  <si>
    <t>포장 #12-3 브라질 X23062C 4월 선적 물량</t>
    <phoneticPr fontId="6" type="noConversion"/>
  </si>
  <si>
    <t>생산 #1-9 중국용 50U PV</t>
    <phoneticPr fontId="6" type="noConversion"/>
  </si>
  <si>
    <t>생산 # 2-12 국내 200U X22015</t>
    <phoneticPr fontId="6" type="noConversion"/>
  </si>
  <si>
    <t>생산 # 국내 임상 포장(잇몸 노출, 구강장치 병용), 외안각주름 보상약</t>
    <phoneticPr fontId="6" type="noConversion"/>
  </si>
  <si>
    <t>포장  #11-2 국내용 100단위 X22182</t>
    <phoneticPr fontId="6" type="noConversion"/>
  </si>
  <si>
    <t>포장 # 11-9  태국 100U 1월 선적건 4
X22194</t>
    <phoneticPr fontId="6" type="noConversion"/>
  </si>
  <si>
    <t>포장 #11-17 국내 200단위 X23139</t>
    <phoneticPr fontId="6" type="noConversion"/>
  </si>
  <si>
    <t>포장 #12-7 국내 100단위 X23142</t>
    <phoneticPr fontId="6" type="noConversion"/>
  </si>
  <si>
    <t>생산 #1-8 중국용 50U PV Z24001</t>
    <phoneticPr fontId="6" type="noConversion"/>
  </si>
  <si>
    <t>생산 #1-3 ROW 100단위 X23143</t>
    <phoneticPr fontId="6" type="noConversion"/>
  </si>
  <si>
    <t>생산 #1-7 ROW 100단위 X23146</t>
    <phoneticPr fontId="6" type="noConversion"/>
  </si>
  <si>
    <t>생산 #1-10 ROW 100단위 X24001</t>
    <phoneticPr fontId="6" type="noConversion"/>
  </si>
  <si>
    <t>생산 #1-11 ROW 100단위 X24002</t>
    <phoneticPr fontId="6" type="noConversion"/>
  </si>
  <si>
    <t>생산 #1-13 국내용 200단위 X24003</t>
    <phoneticPr fontId="6" type="noConversion"/>
  </si>
  <si>
    <t>생산 #1-10 중국용 50U PV</t>
    <phoneticPr fontId="6" type="noConversion"/>
  </si>
  <si>
    <t>포장 #11-16 칠레 X23125C 
7,200VI 4월 선적 건</t>
    <phoneticPr fontId="6" type="noConversion"/>
  </si>
  <si>
    <t>포장 #12-1 사우디 X23125A
22,242VI 2,4월 선적 건</t>
    <phoneticPr fontId="6" type="noConversion"/>
  </si>
  <si>
    <t>포장 #12-15 국내 200단위 X24003</t>
    <phoneticPr fontId="6" type="noConversion"/>
  </si>
  <si>
    <t>생산 #1-14 국내용 200단위 X24007</t>
    <phoneticPr fontId="6" type="noConversion"/>
  </si>
  <si>
    <t>생산 #1-15 미국용 100단위 X24004</t>
    <phoneticPr fontId="6" type="noConversion"/>
  </si>
  <si>
    <t>생산 #1-16 캐나다용 100단위 X24005</t>
    <phoneticPr fontId="6" type="noConversion"/>
  </si>
  <si>
    <t>생산 #2-1 ROW 100단위 X24006</t>
    <phoneticPr fontId="6" type="noConversion"/>
  </si>
  <si>
    <t>포장 #12-3 태국 X23125E (4,586VI)</t>
    <phoneticPr fontId="6" type="noConversion"/>
  </si>
  <si>
    <t>생산 #12-6 ROW 100단위 X23137</t>
    <phoneticPr fontId="6" type="noConversion"/>
  </si>
  <si>
    <t>포장 #12-15 미국 X23130 4월 선적 건</t>
    <phoneticPr fontId="6" type="noConversion"/>
  </si>
  <si>
    <t>포장 #12-15 브라질 X23137 5월 선적 건</t>
    <phoneticPr fontId="6" type="noConversion"/>
  </si>
  <si>
    <t>포장 대만 X23146C 9,600VI</t>
    <phoneticPr fontId="6" type="noConversion"/>
  </si>
  <si>
    <t>포장 태국 100단위 X23146A 1,314VI</t>
    <phoneticPr fontId="6" type="noConversion"/>
  </si>
  <si>
    <t>포장 #12-4 유럽 IT X23140A 6,000VI</t>
    <phoneticPr fontId="6" type="noConversion"/>
  </si>
  <si>
    <t>포장 #12-4 유럽 IT X23140C 24,000VI</t>
    <phoneticPr fontId="6" type="noConversion"/>
  </si>
  <si>
    <t>포장 #12-15 국내 200단위 X24007</t>
    <phoneticPr fontId="6" type="noConversion"/>
  </si>
  <si>
    <t>포장 #12-15 튀르키예 X24001 6월 선적 물량</t>
    <phoneticPr fontId="6" type="noConversion"/>
  </si>
  <si>
    <t>포장 #12-16 브라질 X23143 5~6월 선적 건</t>
    <phoneticPr fontId="6" type="noConversion"/>
  </si>
  <si>
    <t>중국용일련번호 시스템 IOQ(포장 착수 X)</t>
    <phoneticPr fontId="6" type="noConversion"/>
  </si>
  <si>
    <t xml:space="preserve">포장 #12-15 유럽 ES X23141 4,000VI </t>
    <phoneticPr fontId="6" type="noConversion"/>
  </si>
  <si>
    <t>셧다운</t>
    <phoneticPr fontId="6" type="noConversion"/>
  </si>
  <si>
    <t>포장실 에폭시 보수공사</t>
    <phoneticPr fontId="6" type="noConversion"/>
  </si>
  <si>
    <t>포장 #12-15 캐나다 X24005 5월 선적 건</t>
    <phoneticPr fontId="6" type="noConversion"/>
  </si>
  <si>
    <t>수출</t>
    <phoneticPr fontId="6" type="noConversion"/>
  </si>
  <si>
    <t>`</t>
    <phoneticPr fontId="6" type="noConversion"/>
  </si>
  <si>
    <t>포장 #12-15 미국 X23135 4월 선적 건</t>
    <phoneticPr fontId="6" type="noConversion"/>
  </si>
  <si>
    <t>포장 #12-15 미국 X23136 5월 선적 건</t>
    <phoneticPr fontId="6" type="noConversion"/>
  </si>
  <si>
    <t>포장 #12-15 미국용 X23145 5월 선적 물량</t>
    <phoneticPr fontId="6" type="noConversion"/>
  </si>
  <si>
    <t>포장 #12-15 미국용 X24004 6월 선적 물량</t>
    <phoneticPr fontId="6" type="noConversion"/>
  </si>
  <si>
    <t>생산 #3-2 미국 100단위 X24008
(6월선적물량)</t>
    <phoneticPr fontId="6" type="noConversion"/>
  </si>
  <si>
    <t>생산 #3-1 유럽 50단위 X24009</t>
    <phoneticPr fontId="6" type="noConversion"/>
  </si>
  <si>
    <t>생산 #3-3 미국 100단위 X24010
7월 선적 물량</t>
    <phoneticPr fontId="6" type="noConversion"/>
  </si>
  <si>
    <t>포장 #12-15 미국용 X24008 6월 선적 물량</t>
    <phoneticPr fontId="6" type="noConversion"/>
  </si>
  <si>
    <t>포장 #12-15 브라질 X23144 6월 선적 물량</t>
    <phoneticPr fontId="6" type="noConversion"/>
  </si>
  <si>
    <t>하계 휴가</t>
    <phoneticPr fontId="6" type="noConversion"/>
  </si>
  <si>
    <t>생산 #4-1 유럽 50단위 X24011</t>
    <phoneticPr fontId="6" type="noConversion"/>
  </si>
  <si>
    <t>생산 #4-2 국내 100단위 X24012</t>
    <phoneticPr fontId="6" type="noConversion"/>
  </si>
  <si>
    <t>생산 #4-3 국내 100단위 X24013</t>
    <phoneticPr fontId="6" type="noConversion"/>
  </si>
  <si>
    <t>생산 #4-4 국내 100단위 X24014</t>
    <phoneticPr fontId="6" type="noConversion"/>
  </si>
  <si>
    <t>포장 #4-1 국내 100U X24012</t>
    <phoneticPr fontId="6" type="noConversion"/>
  </si>
  <si>
    <t>포장 #4-2 국내 100U X24013</t>
    <phoneticPr fontId="6" type="noConversion"/>
  </si>
  <si>
    <t>포장 #4-3 국내 100U X24014</t>
    <phoneticPr fontId="6" type="noConversion"/>
  </si>
  <si>
    <t>생산 #4-5 국내 100단위 X24015</t>
    <phoneticPr fontId="6" type="noConversion"/>
  </si>
  <si>
    <t>바이알 라벨러 PC 교체 및 윈도우 업그레이드</t>
    <phoneticPr fontId="6" type="noConversion"/>
  </si>
  <si>
    <t>생산 #4-12 미국 100단위 X24016</t>
    <phoneticPr fontId="6" type="noConversion"/>
  </si>
  <si>
    <t>생산 #4-6 국내 100단위 X24017</t>
    <phoneticPr fontId="6" type="noConversion"/>
  </si>
  <si>
    <t>포장 # 국내 100U X24017</t>
    <phoneticPr fontId="6" type="noConversion"/>
  </si>
  <si>
    <t>포장 #12-15 태국100U X23146E 5월 선적 물량 9,600VI</t>
    <phoneticPr fontId="6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</si>
  <si>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6" type="noConversion"/>
  </si>
  <si>
    <t>포장 #12-15 필리핀 X23146F 2,500VI 5월 선적</t>
    <phoneticPr fontId="6" type="noConversion"/>
  </si>
  <si>
    <t>생산 #4-8 중국50U PV Z24002</t>
    <phoneticPr fontId="6" type="noConversion"/>
  </si>
  <si>
    <t>생산 #4-9  중국50U PV Z24003</t>
    <phoneticPr fontId="6" type="noConversion"/>
  </si>
  <si>
    <t>생산 #4-10  중국50U PV Z24004</t>
    <phoneticPr fontId="6" type="noConversion"/>
  </si>
  <si>
    <t>포장 #12-15 말레이시아 100U X23146H 2,500VI 6월 선적 물량</t>
    <phoneticPr fontId="6" type="noConversion"/>
  </si>
  <si>
    <t>포장 #4-13 영국 X24009C 19,000</t>
    <phoneticPr fontId="6" type="noConversion"/>
  </si>
  <si>
    <t>생산 #4-11 국내 100 단위 X24018</t>
    <phoneticPr fontId="6" type="noConversion"/>
  </si>
  <si>
    <t>생산 #4-13 미국 100단위 X24020</t>
    <phoneticPr fontId="6" type="noConversion"/>
  </si>
  <si>
    <t>생산 #4-14 미국 100단위 X24021</t>
    <phoneticPr fontId="6" type="noConversion"/>
  </si>
  <si>
    <t>생산 #4-15 태국 200단위 X24022</t>
    <phoneticPr fontId="6" type="noConversion"/>
  </si>
  <si>
    <t>포장 #11-15 파나마 X22019M 2,400VI
'24년 3월 선적 물량</t>
    <phoneticPr fontId="6" type="noConversion"/>
  </si>
  <si>
    <t>포장 # 태국 200U X24022</t>
    <phoneticPr fontId="6" type="noConversion"/>
  </si>
  <si>
    <t>full</t>
    <phoneticPr fontId="6" type="noConversion"/>
  </si>
  <si>
    <t>sub</t>
    <phoneticPr fontId="6" type="noConversion"/>
  </si>
  <si>
    <t>Total</t>
    <phoneticPr fontId="6" type="noConversion"/>
  </si>
  <si>
    <t>포장 #4-13 튀르키예 X24001 8~12월 분할선적 물량</t>
    <phoneticPr fontId="6" type="noConversion"/>
  </si>
  <si>
    <t>* 생산 및 포장 필요 제품</t>
    <phoneticPr fontId="6" type="noConversion"/>
  </si>
  <si>
    <t>포장 #4-5 국내 100U X24015</t>
    <phoneticPr fontId="6" type="noConversion"/>
  </si>
  <si>
    <t>＊월별 포장완료(예정) 수량</t>
    <phoneticPr fontId="6" type="noConversion"/>
  </si>
  <si>
    <t>포장 # 미국 100U X24010 7월 선적 물량(1)</t>
    <phoneticPr fontId="6" type="noConversion"/>
  </si>
  <si>
    <t>생산 #5-1 미국 100단위 X24023 9월 대응 물량(1)</t>
    <phoneticPr fontId="6" type="noConversion"/>
  </si>
  <si>
    <t>포장 # 브라질 100U X24019 7월 선적 물량</t>
    <phoneticPr fontId="6" type="noConversion"/>
  </si>
  <si>
    <t>포장 # 미국 100U X24023 생산 9월 선적 물량(1)</t>
    <phoneticPr fontId="6" type="noConversion"/>
  </si>
  <si>
    <t>포장 #5-2 ROW 100단위(브라질) X24024 8월 선적 물량</t>
    <phoneticPr fontId="6" type="noConversion"/>
  </si>
  <si>
    <t>포장 #5-6 국내 100단위(5월 생산)</t>
    <phoneticPr fontId="6" type="noConversion"/>
  </si>
  <si>
    <t>포장 #5-15 국내 100단위(5월 생산)</t>
    <phoneticPr fontId="6" type="noConversion"/>
  </si>
  <si>
    <t>포장 #4-14 미국 100U X24021 8월 선적 물량</t>
    <phoneticPr fontId="6" type="noConversion"/>
  </si>
  <si>
    <t>포장 #칠레 7,200vial 8월 선적 물량</t>
    <phoneticPr fontId="6" type="noConversion"/>
  </si>
  <si>
    <t>포장 # DE/AT 50U 싱글팩 7월 선적 물량 4,000vial</t>
    <phoneticPr fontId="6" type="noConversion"/>
  </si>
  <si>
    <t>PO완료</t>
    <phoneticPr fontId="6" type="noConversion"/>
  </si>
  <si>
    <t>150U PV 3배치 안정성 포장</t>
    <phoneticPr fontId="6" type="noConversion"/>
  </si>
  <si>
    <t>포장 #4-13 호주 100U X24016A 12,000vial 6월 선적 물량</t>
    <phoneticPr fontId="6" type="noConversion"/>
  </si>
  <si>
    <t>포장 #12-15 유럽50U 안정성 포장(3/25 생산 반제품, 포장재는 이태리 예정)</t>
    <phoneticPr fontId="6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</si>
  <si>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6" type="noConversion"/>
  </si>
  <si>
    <t>포장 # 태국100U 19,200 7, 8월 선적물량</t>
    <phoneticPr fontId="6" type="noConversion"/>
  </si>
  <si>
    <t>포장 # DE/AT 50U X24009E 싱글팩 7월 선적 물량 4,000vial</t>
    <phoneticPr fontId="6" type="noConversion"/>
  </si>
  <si>
    <t>포장 # 국내 50U Z24003(중국 50U 국내전환 포장)</t>
    <phoneticPr fontId="6" type="noConversion"/>
  </si>
  <si>
    <t>포장 # 국내 50U Z24002(중국 50U 국내전환 포장)</t>
    <phoneticPr fontId="6" type="noConversion"/>
  </si>
  <si>
    <t>포장 # 국내50U 포장 X23147(유럽 50U 국내전환 포장)</t>
    <phoneticPr fontId="6" type="noConversion"/>
  </si>
  <si>
    <t>포장 # 국내 50U Z24004A(안정성 포장) 1,620vial</t>
    <phoneticPr fontId="6" type="noConversion"/>
  </si>
  <si>
    <t>포장 # 국내 50U Z24004C</t>
    <phoneticPr fontId="6" type="noConversion"/>
  </si>
  <si>
    <t>O</t>
    <phoneticPr fontId="6" type="noConversion"/>
  </si>
  <si>
    <t>생산 #5-2 브라질 100단위 X24024 8월 대응 물량</t>
    <phoneticPr fontId="6" type="noConversion"/>
  </si>
  <si>
    <t>생산 #4-12  브라질 100단위 X24019 7월 대응 물량</t>
    <phoneticPr fontId="6" type="noConversion"/>
  </si>
  <si>
    <t>생산 #5-3 미국 100단위 X24025 9월 대응 물량(2)</t>
    <phoneticPr fontId="6" type="noConversion"/>
  </si>
  <si>
    <t>생산 #5-6 국내 100단위 X24028</t>
    <phoneticPr fontId="6" type="noConversion"/>
  </si>
  <si>
    <t>포장 #5-2 브라질 100U X24024 8월 선적 물량</t>
    <phoneticPr fontId="6" type="noConversion"/>
  </si>
  <si>
    <t>생산 #5-4 미국 100단위 X24026 10월 대응 물량(1)</t>
    <phoneticPr fontId="6" type="noConversion"/>
  </si>
  <si>
    <t>포장 #6-10 튀르키예 100단위 9월 대응 물량</t>
    <phoneticPr fontId="6" type="noConversion"/>
  </si>
  <si>
    <t>생산 #5-7 유럽 50단위 X24029</t>
    <phoneticPr fontId="6" type="noConversion"/>
  </si>
  <si>
    <t>생산 #5-8 ROW 100단위 X24030</t>
    <phoneticPr fontId="6" type="noConversion"/>
  </si>
  <si>
    <t>포장 #5-8 브라질100U 5/10일 생산  9월 선적 물량</t>
    <phoneticPr fontId="6" type="noConversion"/>
  </si>
  <si>
    <t>포장 #5-3 미국 100U X24025 생산 9월 선적 물량(2)</t>
    <phoneticPr fontId="6" type="noConversion"/>
  </si>
  <si>
    <t>포장 # 영국 X24009F, X24011C, 5/16일생산배치 8월 선적물량</t>
    <phoneticPr fontId="6" type="noConversion"/>
  </si>
  <si>
    <t>포장 # 6-6 국내 100U 6월 생산물량2</t>
    <phoneticPr fontId="6" type="noConversion"/>
  </si>
  <si>
    <t>포장 # 6-5 국내 200U 6월 생산물량1</t>
    <phoneticPr fontId="6" type="noConversion"/>
  </si>
  <si>
    <t>포장 # 6-8 국내 100U 6월 생산물량3</t>
    <phoneticPr fontId="6" type="noConversion"/>
  </si>
  <si>
    <t>포장 # 6-12 국내 100U 6월 생산물량4</t>
    <phoneticPr fontId="6" type="noConversion"/>
  </si>
  <si>
    <t>PO완료</t>
    <phoneticPr fontId="6" type="noConversion"/>
  </si>
  <si>
    <t>PO확인필요</t>
    <phoneticPr fontId="6" type="noConversion"/>
  </si>
  <si>
    <t>포장# 파나마 100U 2400vial X24030 7월 선적 물량</t>
    <phoneticPr fontId="6" type="noConversion"/>
  </si>
  <si>
    <t>`</t>
    <phoneticPr fontId="6" type="noConversion"/>
  </si>
  <si>
    <t>포장 #싱가포르 2,500vial 8월 선적 물량</t>
    <phoneticPr fontId="6" type="noConversion"/>
  </si>
  <si>
    <t>포장 # 유럽 50U 스페인 싱글팩 X24011F 3,000 8월 선적물량</t>
    <phoneticPr fontId="6" type="noConversion"/>
  </si>
  <si>
    <t>포장 # 유럽 50U 스페인 멀티팩 X24011H 12,000 8월 선적물량</t>
    <phoneticPr fontId="6" type="noConversion"/>
  </si>
  <si>
    <t>포장 # 유럽 50U 아일랜드 X24011E 3,000 8월 선적물량</t>
    <phoneticPr fontId="6" type="noConversion"/>
  </si>
  <si>
    <t>포장 # 유럽 50U 이태리 싱글팩 15,000 9월 선적물량</t>
    <phoneticPr fontId="6" type="noConversion"/>
  </si>
  <si>
    <t>포장 #인도 100단위 2500 9월 대응 물량</t>
    <phoneticPr fontId="6" type="noConversion"/>
  </si>
  <si>
    <t>포장 # 미국 100U X24016C 22,000vial 7월 선적 물량(3)</t>
    <phoneticPr fontId="6" type="noConversion"/>
  </si>
  <si>
    <t>포장#우크라이나 6월, 8월 물량 동일배치로 포장 필요(3,800 + 4600 = 8,400Vial)</t>
    <phoneticPr fontId="6" type="noConversion"/>
  </si>
  <si>
    <t>포장 #5-6 국내 100단위 X24028</t>
    <phoneticPr fontId="6" type="noConversion"/>
  </si>
  <si>
    <t>포장 #5-15 국내 100단위 X24034</t>
    <phoneticPr fontId="6" type="noConversion"/>
  </si>
  <si>
    <t>생산 #5-9 150U PV(1st) 예정 Z24005</t>
    <phoneticPr fontId="6" type="noConversion"/>
  </si>
  <si>
    <t>생산 #5-11 미국 100단위 10월 대응 물량(2) X24031</t>
    <phoneticPr fontId="6" type="noConversion"/>
  </si>
  <si>
    <t>생산 #5-12 150U PV(3rd) 예정 Z24007</t>
    <phoneticPr fontId="6" type="noConversion"/>
  </si>
  <si>
    <t>생산 #5-14 유럽 50단위 X24033</t>
    <phoneticPr fontId="6" type="noConversion"/>
  </si>
  <si>
    <t>생산 #6-1 유럽 50단위 X24035</t>
    <phoneticPr fontId="6" type="noConversion"/>
  </si>
  <si>
    <t>PO완료</t>
    <phoneticPr fontId="6" type="noConversion"/>
  </si>
  <si>
    <t>발주필요</t>
    <phoneticPr fontId="6" type="noConversion"/>
  </si>
  <si>
    <t>(긴급)발주필요</t>
    <phoneticPr fontId="6" type="noConversion"/>
  </si>
  <si>
    <t>포장 #4-13 호주 100U X24016A 12,000vial 6월 선적 물량</t>
    <phoneticPr fontId="6" type="noConversion"/>
  </si>
  <si>
    <t>생산 #6-6 국내 100단위 X24037</t>
    <phoneticPr fontId="6" type="noConversion"/>
  </si>
  <si>
    <t>생산 #5-13 미국 100단위 10월 대응 물량(3) X24038</t>
    <phoneticPr fontId="6" type="noConversion"/>
  </si>
  <si>
    <t>포장 #4-13 이태리 15,000 X23140E 3,832vial / X23141C 8,458vial / X24009A 3,527vial</t>
    <phoneticPr fontId="6" type="noConversion"/>
  </si>
  <si>
    <t xml:space="preserve">포장 #12-15 대만 100U X24006A 9,600VI 7월 선적 물량 </t>
    <phoneticPr fontId="6" type="noConversion"/>
  </si>
  <si>
    <t>포장 #12-15 태국100U 14,400VI
X23146K 8,124VI 
X24006C 6,276VI 6월 선적 물량</t>
    <phoneticPr fontId="6" type="noConversion"/>
  </si>
  <si>
    <t>미국</t>
    <phoneticPr fontId="6" type="noConversion"/>
  </si>
  <si>
    <t>ROW</t>
    <phoneticPr fontId="6" type="noConversion"/>
  </si>
  <si>
    <t>유럽50</t>
    <phoneticPr fontId="6" type="noConversion"/>
  </si>
  <si>
    <t>생산 # 미착수 PR-123513</t>
    <phoneticPr fontId="6" type="noConversion"/>
  </si>
  <si>
    <t>포장# 페루 100U 2,500 8월 선적 물량</t>
    <phoneticPr fontId="6" type="noConversion"/>
  </si>
  <si>
    <t>생산 #6-3 국내 100단위 X24034</t>
    <phoneticPr fontId="6" type="noConversion"/>
  </si>
  <si>
    <t>생산 #6-7 유럽 50단위 X24041</t>
    <phoneticPr fontId="6" type="noConversion"/>
  </si>
  <si>
    <t>생산 #6-8 국내 100단위  X24042</t>
    <phoneticPr fontId="6" type="noConversion"/>
  </si>
  <si>
    <t>포장 # 영국 X24009F 7,209VI, X24029A 23,144 8월 선적물량</t>
    <phoneticPr fontId="6" type="noConversion"/>
  </si>
  <si>
    <t>포장# 파나마 100U 2400vial X24030C 7월 선적 물량</t>
    <phoneticPr fontId="6" type="noConversion"/>
  </si>
  <si>
    <t>생산 #5-10 150U PV(2nd) 예정 Z24006</t>
    <phoneticPr fontId="6" type="noConversion"/>
  </si>
  <si>
    <t>포장 # 6-3 국내 100U X24037</t>
    <phoneticPr fontId="6" type="noConversion"/>
  </si>
  <si>
    <t>포장 # 6-6 국내 100U X24042</t>
    <phoneticPr fontId="6" type="noConversion"/>
  </si>
  <si>
    <t>포장 #4-11 국내 100U X24018(허가명령 변경 도안 반영)</t>
    <phoneticPr fontId="6" type="noConversion"/>
  </si>
  <si>
    <t>포장 #4-11 국내 100U X24018</t>
    <phoneticPr fontId="6" type="noConversion"/>
  </si>
  <si>
    <t>포장 #4-11 국내 100U X24018(외안각 명령 도안 반영)</t>
    <phoneticPr fontId="6" type="noConversion"/>
  </si>
  <si>
    <t>(외안각 명령 도안 반영)</t>
    <phoneticPr fontId="6" type="noConversion"/>
  </si>
  <si>
    <t>생산 #6-11 ROW 100단위  X24045</t>
    <phoneticPr fontId="6" type="noConversion"/>
  </si>
  <si>
    <t>생산 #6-12 국내 100단위 X24046</t>
    <phoneticPr fontId="6" type="noConversion"/>
  </si>
  <si>
    <t>포장 # 6-8 국내 100U X24046</t>
    <phoneticPr fontId="6" type="noConversion"/>
  </si>
  <si>
    <t>생산 #7-4  자재이원화 시생산</t>
    <phoneticPr fontId="6" type="noConversion"/>
  </si>
  <si>
    <t>포장 # 6-8 국내 100U X24046</t>
    <phoneticPr fontId="6" type="noConversion"/>
  </si>
  <si>
    <t>생산 #6-2 ROW 100단위(튀르키예) X24036 9월 대응</t>
    <phoneticPr fontId="6" type="noConversion"/>
  </si>
  <si>
    <t>포장 #5-8 브라질100U X24027 생산  9월 선적 물량</t>
    <phoneticPr fontId="6" type="noConversion"/>
  </si>
  <si>
    <t>생산 #6-4 미국 100단위 X24039 11월 대응물량(1)</t>
    <phoneticPr fontId="6" type="noConversion"/>
  </si>
  <si>
    <t>생산 #6-13 미국 100단위 X24047 11월 대응물량(2)</t>
    <phoneticPr fontId="6" type="noConversion"/>
  </si>
  <si>
    <t>생산 #7-2  미국 100단위 X24050 12월 대응물량(2)</t>
    <phoneticPr fontId="6" type="noConversion"/>
  </si>
  <si>
    <t>포장 # 미국 100U X24020 7월 선적 물량(2)</t>
    <phoneticPr fontId="6" type="noConversion"/>
  </si>
  <si>
    <t>생산 #6-9 캐나다 100단위 9월 대응 물량(1) X24043</t>
    <phoneticPr fontId="6" type="noConversion"/>
  </si>
  <si>
    <t xml:space="preserve">포장 # 유럽 50U DE/AT 멀티팩 X24011A 12,000 8월 선적 물량 </t>
    <phoneticPr fontId="6" type="noConversion"/>
  </si>
  <si>
    <t xml:space="preserve">포장# 미국100U X24039(11월 대응 물량)(1) </t>
    <phoneticPr fontId="6" type="noConversion"/>
  </si>
  <si>
    <t>포장 우크라이나 6월, 8월 물량 동일배치로 포장 필요(3,800 + 4600 = 8,400Vial)</t>
    <phoneticPr fontId="6" type="noConversion"/>
  </si>
  <si>
    <t>포장 # 칠레 7,200vial X24006F 9월 선적 물량</t>
    <phoneticPr fontId="6" type="noConversion"/>
  </si>
  <si>
    <t>포장 # 6-8 미국 X24025</t>
    <phoneticPr fontId="6" type="noConversion"/>
  </si>
  <si>
    <t>포장라인 이슈로 착수X</t>
    <phoneticPr fontId="6" type="noConversion"/>
  </si>
  <si>
    <t>생산 #7 듀얼브랜드 임상 3상 - 1</t>
    <phoneticPr fontId="6" type="noConversion"/>
  </si>
  <si>
    <t>생산 #7 듀얼브랜드 임상 3상 - 2</t>
    <phoneticPr fontId="6" type="noConversion"/>
  </si>
  <si>
    <t>포장 #인도 100단위 2,500 X24030K 9월 대응 물량</t>
    <phoneticPr fontId="6" type="noConversion"/>
  </si>
  <si>
    <t>생산 #7-1 미국 100단위 X24049 12월 대응물량(1)</t>
    <phoneticPr fontId="6" type="noConversion"/>
  </si>
  <si>
    <t>생산 #7-3 국내 100단위 X24051</t>
    <phoneticPr fontId="6" type="noConversion"/>
  </si>
  <si>
    <t>생산 #7-5 국내 100단위 X24052</t>
    <phoneticPr fontId="6" type="noConversion"/>
  </si>
  <si>
    <t>포장 # 영국 X24011C 3,647VI 8월 선적물량</t>
    <phoneticPr fontId="6" type="noConversion"/>
  </si>
  <si>
    <t>포장# 페루 100U X24030H 2,500 8월 선적 물량</t>
    <phoneticPr fontId="6" type="noConversion"/>
  </si>
  <si>
    <t>포장 # 유럽 50U 아일랜드 X24011E 3,000 7월 선적물량</t>
    <phoneticPr fontId="6" type="noConversion"/>
  </si>
  <si>
    <t>포장 # 유럽 50U 스페인 싱글팩 X24011F 3,000 7월 선적물량</t>
    <phoneticPr fontId="6" type="noConversion"/>
  </si>
  <si>
    <t>포장 # 7-3 국내100U X24051</t>
  </si>
  <si>
    <t>포장 # 7-3 국내100U X24051</t>
    <phoneticPr fontId="6" type="noConversion"/>
  </si>
  <si>
    <t>포장 # 7-5 국내100U X24052</t>
    <phoneticPr fontId="6" type="noConversion"/>
  </si>
  <si>
    <t>생산 #7-6 ROW 100단위 X24053</t>
    <phoneticPr fontId="6" type="noConversion"/>
  </si>
  <si>
    <t>생산 #7-7 국내 100단위 X24054</t>
    <phoneticPr fontId="6" type="noConversion"/>
  </si>
  <si>
    <t>생산 #7-9 캐나다 100단위 9월 대응 물량(2) X24056</t>
    <phoneticPr fontId="6" type="noConversion"/>
  </si>
  <si>
    <t>생산 #7-8 브라질 100단위  X24055 11월 대응물량</t>
    <phoneticPr fontId="6" type="noConversion"/>
  </si>
  <si>
    <t>포장 # 7-7 국내100U X24054(눈꺼풀떨림도안)</t>
    <phoneticPr fontId="6" type="noConversion"/>
  </si>
  <si>
    <t>포장 #5-15 국내 100단위 X24034</t>
    <phoneticPr fontId="6" type="noConversion"/>
  </si>
  <si>
    <t>포장 #싱가포르 2,500vial X24030E 8월 선적 물량</t>
    <phoneticPr fontId="6" type="noConversion"/>
  </si>
  <si>
    <t>포장 # 유럽 50U 이태리 싱글팩 15,000 서브배치 2
X24029C 10,589vial
X24033A 4,411vial
9월 선적물량</t>
    <phoneticPr fontId="6" type="noConversion"/>
  </si>
  <si>
    <t>포장 # 6-5 국내 200U X24040(설명서 도안 변경 건)</t>
    <phoneticPr fontId="6" type="noConversion"/>
  </si>
  <si>
    <t>포장 #캐나다 100U X24043 9월 대응 물량(1)</t>
    <phoneticPr fontId="6" type="noConversion"/>
  </si>
  <si>
    <t>포장# 브라질100U X24044 10월 대응 물량</t>
    <phoneticPr fontId="6" type="noConversion"/>
  </si>
  <si>
    <t>윈도우 업그레이드</t>
    <phoneticPr fontId="6" type="noConversion"/>
  </si>
  <si>
    <t xml:space="preserve">포장# 미국100U X24047(11월 대응 물량)(2) </t>
    <phoneticPr fontId="6" type="noConversion"/>
  </si>
  <si>
    <t>포장 # 7-5 국내100U X24052(외안각도안)</t>
    <phoneticPr fontId="6" type="noConversion"/>
  </si>
  <si>
    <t>대만 100U 9,600(12월 물량)</t>
    <phoneticPr fontId="6" type="noConversion"/>
  </si>
  <si>
    <t>페루 100U 2,500(12월 대응 물량)</t>
    <phoneticPr fontId="6" type="noConversion"/>
  </si>
  <si>
    <t>국내 100U (10월 생산분 2)</t>
    <phoneticPr fontId="6" type="noConversion"/>
  </si>
  <si>
    <t>국내 100U (10월 생산분 3)</t>
    <phoneticPr fontId="6" type="noConversion"/>
  </si>
  <si>
    <t xml:space="preserve"> </t>
    <phoneticPr fontId="6" type="noConversion"/>
  </si>
  <si>
    <t>생산 #7-10 국내 100단위 X24057</t>
    <phoneticPr fontId="6" type="noConversion"/>
  </si>
  <si>
    <t>도안 및 기타 라인 테스트</t>
    <phoneticPr fontId="6" type="noConversion"/>
  </si>
  <si>
    <t>포장 # 태국100U 10,672vial
X24006E 10,672vial 
7, 8월 선적물량</t>
    <phoneticPr fontId="6" type="noConversion"/>
  </si>
  <si>
    <t>생산 #7 듀얼브랜드 임상 3상 - 1</t>
    <phoneticPr fontId="6" type="noConversion"/>
  </si>
  <si>
    <t>징검다리 휴무</t>
    <phoneticPr fontId="6" type="noConversion"/>
  </si>
  <si>
    <t>생산 #7-13 태국 200단위 X24063</t>
    <phoneticPr fontId="6" type="noConversion"/>
  </si>
  <si>
    <t>생산 #7-15 미국 100단위 X24064</t>
    <phoneticPr fontId="6" type="noConversion"/>
  </si>
  <si>
    <t>PR-130342 태국 200U 생산공정 중단 건</t>
    <phoneticPr fontId="6" type="noConversion"/>
  </si>
  <si>
    <t>생산 #7-12 미국 100단위 X24059(PR-130240)</t>
    <phoneticPr fontId="6" type="noConversion"/>
  </si>
  <si>
    <t>포장# 아르헨티나100U X24045C 9월 대응물량 2,500</t>
    <phoneticPr fontId="6" type="noConversion"/>
  </si>
  <si>
    <t>포장# 태국200U X24063 9월 대응 물량</t>
    <phoneticPr fontId="6" type="noConversion"/>
  </si>
  <si>
    <t>생산 #7-11 유럽 50단위 X24058</t>
    <phoneticPr fontId="6" type="noConversion"/>
  </si>
  <si>
    <t>생산 #9-1 국내 100단위</t>
    <phoneticPr fontId="6" type="noConversion"/>
  </si>
  <si>
    <t>포장# 유럽 50U 이태리 X24035A 15,000(12월 대응물량)</t>
    <phoneticPr fontId="6" type="noConversion"/>
  </si>
  <si>
    <t>포장# 유럽 50U 스페인 멀티팩 X24035C 12,000(12월 대응물량)</t>
    <phoneticPr fontId="6" type="noConversion"/>
  </si>
  <si>
    <t>PO완료</t>
    <phoneticPr fontId="6" type="noConversion"/>
  </si>
  <si>
    <t>포장# 브라질100U X24055 11월 대응 물량 32,000</t>
    <phoneticPr fontId="6" type="noConversion"/>
  </si>
  <si>
    <r>
      <t>생산 #6-10 ROW 100단위(브라질)  X24044 -10월대응</t>
    </r>
    <r>
      <rPr>
        <sz val="12"/>
        <color rgb="FF000000"/>
        <rFont val="맑은 고딕"/>
        <family val="3"/>
        <charset val="129"/>
      </rPr>
      <t>(설명서 도안 변경)</t>
    </r>
    <phoneticPr fontId="6" type="noConversion"/>
  </si>
  <si>
    <t>생산 #5-5 브라질 100단위 X24027
9월 대응 물량</t>
    <phoneticPr fontId="6" type="noConversion"/>
  </si>
  <si>
    <t>포장 # 미국 100U X24026 9월 선적 물량(3) (에볼루스 로고 변경 반영)</t>
    <phoneticPr fontId="6" type="noConversion"/>
  </si>
  <si>
    <t>포장# 미국100U X24031 (10월 대응 물량)(1) (에볼루스 로고 변경 반영)</t>
    <phoneticPr fontId="6" type="noConversion"/>
  </si>
  <si>
    <t>포장# 태국100U X24030M 6,017
9월 대응 물량</t>
    <phoneticPr fontId="6" type="noConversion"/>
  </si>
  <si>
    <t>포장# 대만100U X24045F 10월 대응 물량 9,600</t>
    <phoneticPr fontId="6" type="noConversion"/>
  </si>
  <si>
    <t>포장#베트남100U 10월 대응물량 6,000</t>
    <phoneticPr fontId="6" type="noConversion"/>
  </si>
  <si>
    <t>포장 #6-10 국내 100단위  X24036(외안각도안)</t>
    <phoneticPr fontId="6" type="noConversion"/>
  </si>
  <si>
    <t>생산 #6-14 튀르키예 100단위 X24048 10월 대응</t>
    <phoneticPr fontId="6" type="noConversion"/>
  </si>
  <si>
    <t>PO완료</t>
    <phoneticPr fontId="6" type="noConversion"/>
  </si>
  <si>
    <t>포장 # 7-10 국내100U X24057(눈꺼풀떨림도안)</t>
    <phoneticPr fontId="6" type="noConversion"/>
  </si>
  <si>
    <t>포장 #6-14 국내100U X24048(눈꺼풀떨림도안)</t>
    <phoneticPr fontId="6" type="noConversion"/>
  </si>
  <si>
    <t>포장# 태국100U X24030A 8월 대응 물량 8,528</t>
    <phoneticPr fontId="6" type="noConversion"/>
  </si>
  <si>
    <t>Full/Sub</t>
    <phoneticPr fontId="6" type="noConversion"/>
  </si>
  <si>
    <t>F</t>
    <phoneticPr fontId="6" type="noConversion"/>
  </si>
  <si>
    <t>S</t>
    <phoneticPr fontId="6" type="noConversion"/>
  </si>
  <si>
    <t>포장수량</t>
    <phoneticPr fontId="6" type="noConversion"/>
  </si>
  <si>
    <t>N/A</t>
    <phoneticPr fontId="6" type="noConversion"/>
  </si>
  <si>
    <t>PO여부</t>
    <phoneticPr fontId="6" type="noConversion"/>
  </si>
  <si>
    <t xml:space="preserve">포장# 미국100U X24038 (10월 대응 물량)(2) </t>
    <phoneticPr fontId="6" type="noConversion"/>
  </si>
  <si>
    <t>S</t>
    <phoneticPr fontId="6" type="noConversion"/>
  </si>
  <si>
    <t>N/A</t>
    <phoneticPr fontId="6" type="noConversion"/>
  </si>
  <si>
    <t>포장# 파나마 100U 서브배치  9월 대응물량 X24053A 2,400</t>
    <phoneticPr fontId="6" type="noConversion"/>
  </si>
  <si>
    <t>포장# 태국100UX24045A 10,783, X24030M 6,017 9월~10월 대응 물량</t>
    <phoneticPr fontId="6" type="noConversion"/>
  </si>
  <si>
    <t>포장 # 유럽 50U 이태리 싱글팩 15,000 X24029C 10,589vial, X24033A 4,411vial,9월 선적물량</t>
    <phoneticPr fontId="6" type="noConversion"/>
  </si>
  <si>
    <t>F</t>
    <phoneticPr fontId="6" type="noConversion"/>
  </si>
  <si>
    <t>S</t>
    <phoneticPr fontId="6" type="noConversion"/>
  </si>
  <si>
    <t>튀르키예 전환 단량</t>
    <phoneticPr fontId="6" type="noConversion"/>
  </si>
  <si>
    <t>PO완료</t>
    <phoneticPr fontId="6" type="noConversion"/>
  </si>
  <si>
    <t>포장# 파나마 100U 서브배치 2 9월 대응물량 X22019N 1,600</t>
    <phoneticPr fontId="6" type="noConversion"/>
  </si>
  <si>
    <t>포장 관련 테스트 진행</t>
    <phoneticPr fontId="6" type="noConversion"/>
  </si>
  <si>
    <t>미국 100U X24049(12월 대응 물량 1)</t>
    <phoneticPr fontId="6" type="noConversion"/>
  </si>
  <si>
    <t>미국 100U X24049 (12월 대응 물량 1)</t>
    <phoneticPr fontId="6" type="noConversion"/>
  </si>
  <si>
    <t>미국 100U ('25년 1월 대응 물량3)</t>
    <phoneticPr fontId="6" type="noConversion"/>
  </si>
  <si>
    <t>PO여부/비고</t>
    <phoneticPr fontId="6" type="noConversion"/>
  </si>
  <si>
    <t>F</t>
    <phoneticPr fontId="6" type="noConversion"/>
  </si>
  <si>
    <t>국내 100U (10월 생산분 4)</t>
    <phoneticPr fontId="6" type="noConversion"/>
  </si>
  <si>
    <t>미국 100U X24064('25년 1월 대응 물량 1)</t>
    <phoneticPr fontId="6" type="noConversion"/>
  </si>
  <si>
    <t>포장#베트남100U X24045E 10월 대응물량 6,000</t>
    <phoneticPr fontId="6" type="noConversion"/>
  </si>
  <si>
    <t>포장 아르헨티나 X24053C 10월 대응물량 2500</t>
    <phoneticPr fontId="6" type="noConversion"/>
  </si>
  <si>
    <t>아르헨티나 10월 추가대응물량 2500</t>
    <phoneticPr fontId="6" type="noConversion"/>
  </si>
  <si>
    <t>포장# 태국100U X24030A 8월 대응 물량 8,528</t>
    <phoneticPr fontId="6" type="noConversion"/>
  </si>
  <si>
    <t>포장# 대만100U X24045F 10월 대응 물량 9,600</t>
    <phoneticPr fontId="6" type="noConversion"/>
  </si>
  <si>
    <t>포장 # 유럽 50U 이태리 싱글팩 15,000 서브배치 2
X24029C 10,589vial
X24033A 4,411vial
9월 선적물량</t>
    <phoneticPr fontId="6" type="noConversion"/>
  </si>
  <si>
    <t>포장# 브라질100U X24044 10월 대응 물량</t>
    <phoneticPr fontId="6" type="noConversion"/>
  </si>
  <si>
    <t>포장 # 미국 100U X24026 9월 선적 물량(3) (에볼루스 로고 변경 반영)</t>
    <phoneticPr fontId="6" type="noConversion"/>
  </si>
  <si>
    <t>포장# 미국100U X24031 (10월 대응 물량)(1) (에볼루스 로고 변경 반영)</t>
    <phoneticPr fontId="6" type="noConversion"/>
  </si>
  <si>
    <t>포장# 태국200U X24063 9월 대응 물량</t>
    <phoneticPr fontId="6" type="noConversion"/>
  </si>
  <si>
    <t>포장# 파나마 100U 서브배치 2 9월 대응물량 X24053A 2,400</t>
    <phoneticPr fontId="6" type="noConversion"/>
  </si>
  <si>
    <t>포장# 캐나다 100U X24056A 9월 대응 물량(2) 12,000</t>
    <phoneticPr fontId="6" type="noConversion"/>
  </si>
  <si>
    <t>포장# 파나마 100U 서브배치 9월 대응물량 X22019N 1,600</t>
    <phoneticPr fontId="6" type="noConversion"/>
  </si>
  <si>
    <t>PO완료/동일 배치로 포장 필요</t>
    <phoneticPr fontId="6" type="noConversion"/>
  </si>
  <si>
    <t>칠레 100U 7,200 (25년 1월)</t>
    <phoneticPr fontId="6" type="noConversion"/>
  </si>
  <si>
    <t>S</t>
    <phoneticPr fontId="6" type="noConversion"/>
  </si>
  <si>
    <t>포장# 태국100U
X24045A 10,783
9월~10월 대응 물량</t>
    <phoneticPr fontId="6" type="noConversion"/>
  </si>
  <si>
    <t>포장# 캐나다 100U X24056A 9월 대응 물량(2) 12,000</t>
    <phoneticPr fontId="6" type="noConversion"/>
  </si>
  <si>
    <t>국내용 100U 생산 #3-1 X20013</t>
    <phoneticPr fontId="6" type="noConversion"/>
  </si>
  <si>
    <t>에콰도르 2,500 (25년 1월)</t>
    <phoneticPr fontId="6" type="noConversion"/>
  </si>
  <si>
    <t>수출생산의뢰서 대기</t>
    <phoneticPr fontId="6" type="noConversion"/>
  </si>
  <si>
    <t xml:space="preserve">포장# 6-4 미국100U X24039(11월 대응 물량)(1) </t>
    <phoneticPr fontId="6" type="noConversion"/>
  </si>
  <si>
    <t xml:space="preserve">포장# 6-13 미국100U X24047(11월 대응 물량)(2) </t>
    <phoneticPr fontId="6" type="noConversion"/>
  </si>
  <si>
    <t>포장# 7-8 브라질100U X24055 11월 대응 물량 32,000(적응증 추가 도안 적용)</t>
    <phoneticPr fontId="6" type="noConversion"/>
  </si>
  <si>
    <t>포장#9-2 국내 100U  X24066</t>
    <phoneticPr fontId="6" type="noConversion"/>
  </si>
  <si>
    <t>포장#9-4 브라질 100U X24068</t>
    <phoneticPr fontId="6" type="noConversion"/>
  </si>
  <si>
    <t>국내 100U (9/24 생산)(중국 전환) X24065</t>
    <phoneticPr fontId="6" type="noConversion"/>
  </si>
  <si>
    <t>국내 100U (9/26 생산) X24066</t>
    <phoneticPr fontId="6" type="noConversion"/>
  </si>
  <si>
    <t>브라질 100U 10/1 생산 물량 (12월 대응 물량) X24068</t>
    <phoneticPr fontId="6" type="noConversion"/>
  </si>
  <si>
    <t xml:space="preserve">미국 100U ('25년 1월 대응 물량 2) </t>
    <phoneticPr fontId="6" type="noConversion"/>
  </si>
  <si>
    <t>제조번호</t>
    <phoneticPr fontId="6" type="noConversion"/>
  </si>
  <si>
    <t>X24053F</t>
    <phoneticPr fontId="6" type="noConversion"/>
  </si>
  <si>
    <t>필리핀 100U X24053F</t>
    <phoneticPr fontId="6" type="noConversion"/>
  </si>
  <si>
    <t>X24045H, X24053E</t>
    <phoneticPr fontId="6" type="noConversion"/>
  </si>
  <si>
    <t xml:space="preserve"> 태국 100U X24045H, X24053E</t>
    <phoneticPr fontId="6" type="noConversion"/>
  </si>
  <si>
    <t>X24035A</t>
    <phoneticPr fontId="6" type="noConversion"/>
  </si>
  <si>
    <t>포장# 유럽 50U 이태리 X24035A</t>
    <phoneticPr fontId="6" type="noConversion"/>
  </si>
  <si>
    <t>X24033E, X24058A</t>
    <phoneticPr fontId="6" type="noConversion"/>
  </si>
  <si>
    <t>제조번호</t>
    <phoneticPr fontId="6" type="noConversion"/>
  </si>
  <si>
    <t>X24065</t>
    <phoneticPr fontId="6" type="noConversion"/>
  </si>
  <si>
    <t>X24066</t>
    <phoneticPr fontId="6" type="noConversion"/>
  </si>
  <si>
    <t>포장# 유럽 50U 스페인 멀티팩 X24035C</t>
    <phoneticPr fontId="6" type="noConversion"/>
  </si>
  <si>
    <t>X24035C</t>
    <phoneticPr fontId="6" type="noConversion"/>
  </si>
  <si>
    <t>X24068</t>
    <phoneticPr fontId="6" type="noConversion"/>
  </si>
  <si>
    <t>X24049</t>
    <phoneticPr fontId="6" type="noConversion"/>
  </si>
  <si>
    <t>X24050</t>
    <phoneticPr fontId="6" type="noConversion"/>
  </si>
  <si>
    <t>X24064</t>
    <phoneticPr fontId="6" type="noConversion"/>
  </si>
  <si>
    <t>생산 #9-1 중국 100단위 X24065</t>
    <phoneticPr fontId="6" type="noConversion"/>
  </si>
  <si>
    <t>생산 #9-2 국내 100단위 X24066</t>
    <phoneticPr fontId="6" type="noConversion"/>
  </si>
  <si>
    <t>생산 #9-3 ROW 100단위 X24067</t>
    <phoneticPr fontId="6" type="noConversion"/>
  </si>
  <si>
    <t>생산 #9-4 브라질 100단위 X24068</t>
    <phoneticPr fontId="6" type="noConversion"/>
  </si>
  <si>
    <t>포장#9-1 국내 100U(중국전환포장) X24065</t>
    <phoneticPr fontId="6" type="noConversion"/>
  </si>
  <si>
    <t>미국 100U X24050(12월 대응 물량 2)</t>
    <phoneticPr fontId="6" type="noConversion"/>
  </si>
  <si>
    <t>필리핀 100U 2,400(11월 대응 물량)</t>
    <phoneticPr fontId="6" type="noConversion"/>
  </si>
  <si>
    <t>페루 100U X24053K</t>
    <phoneticPr fontId="6" type="noConversion"/>
  </si>
  <si>
    <t>포장# 태국(100U 4,800)</t>
    <phoneticPr fontId="6" type="noConversion"/>
  </si>
  <si>
    <t>X24033C</t>
    <phoneticPr fontId="6" type="noConversion"/>
  </si>
  <si>
    <t>유럽 50U 안정성 포장</t>
    <phoneticPr fontId="6" type="noConversion"/>
  </si>
  <si>
    <t>X24053K</t>
    <phoneticPr fontId="6" type="noConversion"/>
  </si>
  <si>
    <t>인도 2,500 (12월 대응 물량)</t>
    <phoneticPr fontId="6" type="noConversion"/>
  </si>
  <si>
    <t>포장# 사우디100U 20,000(11월 대응 물량)</t>
    <phoneticPr fontId="6" type="noConversion"/>
  </si>
  <si>
    <t>포장# 아랍100U 20,000(10월 대응 물량)</t>
    <phoneticPr fontId="6" type="noConversion"/>
  </si>
  <si>
    <t>인도 2,500 X24053M</t>
    <phoneticPr fontId="6" type="noConversion"/>
  </si>
  <si>
    <t>X24053M</t>
    <phoneticPr fontId="6" type="noConversion"/>
  </si>
  <si>
    <t>국내 200U (10/14 생산분 ) - 외안각주름 도안 반영</t>
    <phoneticPr fontId="6" type="noConversion"/>
  </si>
  <si>
    <t>국내 200U (10/21 생산분 )</t>
    <phoneticPr fontId="6" type="noConversion"/>
  </si>
  <si>
    <t>X24030N, X24053H</t>
    <phoneticPr fontId="6" type="noConversion"/>
  </si>
  <si>
    <t>포장# 유럽 50U 영국 X24033C, X24058A</t>
    <phoneticPr fontId="6" type="noConversion"/>
  </si>
  <si>
    <t>포장# 유럽 50U(안정성) X24033E</t>
    <phoneticPr fontId="6" type="noConversion"/>
  </si>
  <si>
    <t>포장# 유럽 50U 영국 X24033C 28,330, X24058A 5,670(12월 대응물량)</t>
    <phoneticPr fontId="6" type="noConversion"/>
  </si>
  <si>
    <t>X24053N</t>
    <phoneticPr fontId="6" type="noConversion"/>
  </si>
  <si>
    <t>C동 박스포장기 오버홀</t>
    <phoneticPr fontId="6" type="noConversion"/>
  </si>
  <si>
    <t>생산 #10-1 ROW 100단위 X24069</t>
    <phoneticPr fontId="6" type="noConversion"/>
  </si>
  <si>
    <t>생산 #10-2 국내 100단위 X24070</t>
    <phoneticPr fontId="6" type="noConversion"/>
  </si>
  <si>
    <t>생산 #10-3 국내 100단위 X24071</t>
    <phoneticPr fontId="6" type="noConversion"/>
  </si>
  <si>
    <t>생산 #10-4 미국 100단위 X24072</t>
    <phoneticPr fontId="6" type="noConversion"/>
  </si>
  <si>
    <t>생산 #10-5 미국 100단위 X24073</t>
    <phoneticPr fontId="6" type="noConversion"/>
  </si>
  <si>
    <t>포장# 아일랜드 50U X24035E</t>
    <phoneticPr fontId="6" type="noConversion"/>
  </si>
  <si>
    <t>S</t>
    <phoneticPr fontId="6" type="noConversion"/>
  </si>
  <si>
    <t>포장# 아일랜드 50U 6,625(12월 대응물량)</t>
    <phoneticPr fontId="6" type="noConversion"/>
  </si>
  <si>
    <t>생산 #10-6  국내 200단위 X24074</t>
    <phoneticPr fontId="6" type="noConversion"/>
  </si>
  <si>
    <t>생산 #10-7 국내 100단위 X24075</t>
    <phoneticPr fontId="6" type="noConversion"/>
  </si>
  <si>
    <t>대만 100U X24067A(12월 물량)</t>
    <phoneticPr fontId="6" type="noConversion"/>
  </si>
  <si>
    <t>X24067A</t>
    <phoneticPr fontId="6" type="noConversion"/>
  </si>
  <si>
    <t>칠레 100U X24067C</t>
    <phoneticPr fontId="6" type="noConversion"/>
  </si>
  <si>
    <t>에콰도르 2,500 X24067E</t>
    <phoneticPr fontId="6" type="noConversion"/>
  </si>
  <si>
    <t>X24067C</t>
    <phoneticPr fontId="6" type="noConversion"/>
  </si>
  <si>
    <t>X24067E</t>
    <phoneticPr fontId="6" type="noConversion"/>
  </si>
  <si>
    <t>X24071</t>
    <phoneticPr fontId="6" type="noConversion"/>
  </si>
  <si>
    <t>X24072</t>
    <phoneticPr fontId="6" type="noConversion"/>
  </si>
  <si>
    <t>X24073</t>
    <phoneticPr fontId="6" type="noConversion"/>
  </si>
  <si>
    <t>X24074</t>
    <phoneticPr fontId="6" type="noConversion"/>
  </si>
  <si>
    <t>미국 100U ('25년 1월 대응 물량 1)</t>
    <phoneticPr fontId="6" type="noConversion"/>
  </si>
  <si>
    <t>X24035E</t>
    <phoneticPr fontId="6" type="noConversion"/>
  </si>
  <si>
    <t>X24053P, X24069A</t>
    <phoneticPr fontId="6" type="noConversion"/>
  </si>
  <si>
    <t>포장# 사우디100U X24053P, X24069A</t>
    <phoneticPr fontId="6" type="noConversion"/>
  </si>
  <si>
    <t>파나마 100U 2,500 X24053N</t>
    <phoneticPr fontId="6" type="noConversion"/>
  </si>
  <si>
    <t>파나마 100U 2,500 (12월 대응 물량)</t>
    <phoneticPr fontId="6" type="noConversion"/>
  </si>
  <si>
    <t>생산 #10-8 국내 100단위 X24076</t>
    <phoneticPr fontId="6" type="noConversion"/>
  </si>
  <si>
    <t>생산 #10-9 브라질 100단위 X24077</t>
    <phoneticPr fontId="6" type="noConversion"/>
  </si>
  <si>
    <t>태국 100U X24045H 4,415, X24053E 9,985(11~12월 대응 물량)</t>
    <phoneticPr fontId="6" type="noConversion"/>
  </si>
  <si>
    <t>미국 100U X24050(12월 대응 물량 2)</t>
    <phoneticPr fontId="6" type="noConversion"/>
  </si>
  <si>
    <t>포장#10-2 국내 100U X24070</t>
    <phoneticPr fontId="6" type="noConversion"/>
  </si>
  <si>
    <t>포장#10-3 국내 100U X24071</t>
    <phoneticPr fontId="6" type="noConversion"/>
  </si>
  <si>
    <t>포장 #10-4 미국 100U X24072</t>
    <phoneticPr fontId="6" type="noConversion"/>
  </si>
  <si>
    <t>포장#10-5 미국 100U X24073</t>
    <phoneticPr fontId="6" type="noConversion"/>
  </si>
  <si>
    <t>포장#10-6 국내 200U(외안각주름 도안 반영) X24074</t>
    <phoneticPr fontId="6" type="noConversion"/>
  </si>
  <si>
    <t>태국 100U X24053H</t>
    <phoneticPr fontId="6" type="noConversion"/>
  </si>
  <si>
    <t>태국 100U X24030N</t>
    <phoneticPr fontId="6" type="noConversion"/>
  </si>
  <si>
    <t>X24067F, X24069C</t>
    <phoneticPr fontId="6" type="noConversion"/>
  </si>
  <si>
    <t>포장# 캐나다 100U X24056C</t>
    <phoneticPr fontId="6" type="noConversion"/>
  </si>
  <si>
    <t>v</t>
    <phoneticPr fontId="6" type="noConversion"/>
  </si>
  <si>
    <t>v</t>
    <phoneticPr fontId="6" type="noConversion"/>
  </si>
  <si>
    <t>생산 #10-10 국내 200단위 X24078</t>
    <phoneticPr fontId="6" type="noConversion"/>
  </si>
  <si>
    <t>생산 #10-11 국내 100단위 X24079</t>
    <phoneticPr fontId="6" type="noConversion"/>
  </si>
  <si>
    <t>생산 #10-12 국내 100단위 X24080</t>
    <phoneticPr fontId="6" type="noConversion"/>
  </si>
  <si>
    <t>생산 #10-13 미국 100단위 X24081</t>
    <phoneticPr fontId="6" type="noConversion"/>
  </si>
  <si>
    <t>생산 #10-14 미국 100단위 X24082</t>
    <phoneticPr fontId="6" type="noConversion"/>
  </si>
  <si>
    <t>생산 #10-15 미국 100단위 X24083</t>
    <phoneticPr fontId="6" type="noConversion"/>
  </si>
  <si>
    <t>생산 #10-16 미국 100단위 X24084</t>
    <phoneticPr fontId="6" type="noConversion"/>
  </si>
  <si>
    <t>PO완료/발주완료</t>
    <phoneticPr fontId="6" type="noConversion"/>
  </si>
  <si>
    <t>X24077</t>
    <phoneticPr fontId="6" type="noConversion"/>
  </si>
  <si>
    <t>PO대기/선발주완료(10/16)</t>
    <phoneticPr fontId="6" type="noConversion"/>
  </si>
  <si>
    <t>PO확인필요(10/25)/발주대기(10/25)</t>
    <phoneticPr fontId="6" type="noConversion"/>
  </si>
  <si>
    <t>일탈로 인한 포장 중단</t>
    <phoneticPr fontId="6" type="noConversion"/>
  </si>
  <si>
    <t>포장#10-10 국내 200U X24078</t>
    <phoneticPr fontId="6" type="noConversion"/>
  </si>
  <si>
    <t>X24078</t>
    <phoneticPr fontId="6" type="noConversion"/>
  </si>
  <si>
    <t>X24076</t>
    <phoneticPr fontId="6" type="noConversion"/>
  </si>
  <si>
    <t>포장#10-13 미국 100U  X24081</t>
    <phoneticPr fontId="6" type="noConversion"/>
  </si>
  <si>
    <t>포장#10-14 미국 100U X24082</t>
    <phoneticPr fontId="6" type="noConversion"/>
  </si>
  <si>
    <t>브라질 100U  X24077('25년 1월 물량)</t>
    <phoneticPr fontId="6" type="noConversion"/>
  </si>
  <si>
    <t>브라질 100U X24077</t>
    <phoneticPr fontId="6" type="noConversion"/>
  </si>
  <si>
    <t>포장# 이태리 50U X24058E</t>
    <phoneticPr fontId="6" type="noConversion"/>
  </si>
  <si>
    <t>포장# 독일/오스트리아 X24058C</t>
    <phoneticPr fontId="6" type="noConversion"/>
  </si>
  <si>
    <t>독일/오스트리아 4,000(2월 대응물량)</t>
    <phoneticPr fontId="6" type="noConversion"/>
  </si>
  <si>
    <t>X24075A</t>
    <phoneticPr fontId="6" type="noConversion"/>
  </si>
  <si>
    <t>S</t>
    <phoneticPr fontId="6" type="noConversion"/>
  </si>
  <si>
    <t>생산 #11-1 미국 100U X24086</t>
    <phoneticPr fontId="6" type="noConversion"/>
  </si>
  <si>
    <t>생산 #11-2 미국 100U X24087</t>
    <phoneticPr fontId="6" type="noConversion"/>
  </si>
  <si>
    <t>생산 #11-3 ROW 100U X24088</t>
    <phoneticPr fontId="6" type="noConversion"/>
  </si>
  <si>
    <t>생산 #11-5 국내 200U X24085</t>
    <phoneticPr fontId="6" type="noConversion"/>
  </si>
  <si>
    <t>시험약/대조약 수량 제외한 수량</t>
    <phoneticPr fontId="6" type="noConversion"/>
  </si>
  <si>
    <t>포장# 아랍100U X24067F, X24069C</t>
    <phoneticPr fontId="6" type="noConversion"/>
  </si>
  <si>
    <t>생산 #11-6 국내 200U X24090</t>
    <phoneticPr fontId="6" type="noConversion"/>
  </si>
  <si>
    <t>생산 #11-7 미국 100U X24091</t>
    <phoneticPr fontId="6" type="noConversion"/>
  </si>
  <si>
    <t>생산 #11-8 미국 100U X24092</t>
    <phoneticPr fontId="6" type="noConversion"/>
  </si>
  <si>
    <t>생산 #11-9 국내 100U X24093</t>
    <phoneticPr fontId="6" type="noConversion"/>
  </si>
  <si>
    <t>생산 #11-4 국내 100U X24089(Scaleup변경에 따른 변경 도안 반영 필요)</t>
    <phoneticPr fontId="6" type="noConversion"/>
  </si>
  <si>
    <t>포장#10-8 국내 100U X24076</t>
    <phoneticPr fontId="6" type="noConversion"/>
  </si>
  <si>
    <t>생산 #11-10 국내 100U X24094</t>
    <phoneticPr fontId="6" type="noConversion"/>
  </si>
  <si>
    <t>생산 #11-12 국내 100U X24096</t>
    <phoneticPr fontId="6" type="noConversion"/>
  </si>
  <si>
    <t>생산 #11-14 국내 100U X24098</t>
    <phoneticPr fontId="6" type="noConversion"/>
  </si>
  <si>
    <t>생산 #11-15 미국 100U X24099</t>
    <phoneticPr fontId="6" type="noConversion"/>
  </si>
  <si>
    <t>F</t>
    <phoneticPr fontId="6" type="noConversion"/>
  </si>
  <si>
    <t>국내 100U (11월 생산분 3)</t>
    <phoneticPr fontId="6" type="noConversion"/>
  </si>
  <si>
    <t>X24094</t>
    <phoneticPr fontId="6" type="noConversion"/>
  </si>
  <si>
    <t>F</t>
    <phoneticPr fontId="6" type="noConversion"/>
  </si>
  <si>
    <t>F</t>
    <phoneticPr fontId="6" type="noConversion"/>
  </si>
  <si>
    <t>F</t>
    <phoneticPr fontId="6" type="noConversion"/>
  </si>
  <si>
    <t>F</t>
    <phoneticPr fontId="6" type="noConversion"/>
  </si>
  <si>
    <t>S</t>
    <phoneticPr fontId="6" type="noConversion"/>
  </si>
  <si>
    <t>F</t>
    <phoneticPr fontId="6" type="noConversion"/>
  </si>
  <si>
    <t>X24079</t>
    <phoneticPr fontId="6" type="noConversion"/>
  </si>
  <si>
    <t>N/A</t>
    <phoneticPr fontId="6" type="noConversion"/>
  </si>
  <si>
    <t>국내 100U (10월 생산분 6)</t>
    <phoneticPr fontId="6" type="noConversion"/>
  </si>
  <si>
    <t>X24080</t>
    <phoneticPr fontId="6" type="noConversion"/>
  </si>
  <si>
    <t>X24089</t>
    <phoneticPr fontId="6" type="noConversion"/>
  </si>
  <si>
    <t>F</t>
    <phoneticPr fontId="6" type="noConversion"/>
  </si>
  <si>
    <t>국내 100U (11월 생산분 2)</t>
    <phoneticPr fontId="6" type="noConversion"/>
  </si>
  <si>
    <t>국내 200U (11월 생산분 1)</t>
    <phoneticPr fontId="6" type="noConversion"/>
  </si>
  <si>
    <t>X24085</t>
    <phoneticPr fontId="6" type="noConversion"/>
  </si>
  <si>
    <t>국내 200U (11월 생산분 2)</t>
    <phoneticPr fontId="6" type="noConversion"/>
  </si>
  <si>
    <t>X24090</t>
    <phoneticPr fontId="6" type="noConversion"/>
  </si>
  <si>
    <t>미국 100IU (10월 생산분3)</t>
    <phoneticPr fontId="6" type="noConversion"/>
  </si>
  <si>
    <t>X24081</t>
    <phoneticPr fontId="6" type="noConversion"/>
  </si>
  <si>
    <t>PO전 진행 컨펌</t>
    <phoneticPr fontId="6" type="noConversion"/>
  </si>
  <si>
    <t>미국 100IU (10월 생산분4)</t>
    <phoneticPr fontId="6" type="noConversion"/>
  </si>
  <si>
    <t>X24082</t>
    <phoneticPr fontId="6" type="noConversion"/>
  </si>
  <si>
    <t>포장# 이태리 50U X24058C</t>
    <phoneticPr fontId="6" type="noConversion"/>
  </si>
  <si>
    <t>X24058E</t>
    <phoneticPr fontId="6" type="noConversion"/>
  </si>
  <si>
    <t>S</t>
    <phoneticPr fontId="6" type="noConversion"/>
  </si>
  <si>
    <t>태국 100U(1분기 물량 대응)</t>
    <phoneticPr fontId="6" type="noConversion"/>
  </si>
  <si>
    <t>PO완료</t>
    <phoneticPr fontId="6" type="noConversion"/>
  </si>
  <si>
    <t>캐나다 100U(2월 물량 대응)</t>
    <phoneticPr fontId="6" type="noConversion"/>
  </si>
  <si>
    <t>국내 200U (12월 생산분 1)</t>
    <phoneticPr fontId="6" type="noConversion"/>
  </si>
  <si>
    <t>국내 200U (12월 생산분 2)</t>
    <phoneticPr fontId="6" type="noConversion"/>
  </si>
  <si>
    <t>포장# 국내 150U((안정성)</t>
    <phoneticPr fontId="6" type="noConversion"/>
  </si>
  <si>
    <t>포장#10-7 국내 100U X24075A(33,529EA)</t>
    <phoneticPr fontId="6" type="noConversion"/>
  </si>
  <si>
    <t>생산 #11-13 국내 100U X24100</t>
    <phoneticPr fontId="6" type="noConversion"/>
  </si>
  <si>
    <t>국내 100U (ScaleUp 원액 사용)</t>
    <phoneticPr fontId="6" type="noConversion"/>
  </si>
  <si>
    <t>포장# 독일/오스트리아 멀티팩 X24058F, X24101A</t>
    <phoneticPr fontId="6" type="noConversion"/>
  </si>
  <si>
    <t>생산 #11-16 유럽 50U X24101</t>
    <phoneticPr fontId="6" type="noConversion"/>
  </si>
  <si>
    <t>생산 #12-1 미국 100U X24103</t>
    <phoneticPr fontId="6" type="noConversion"/>
  </si>
  <si>
    <t>생산 #12-2 미국 100U X24104</t>
    <phoneticPr fontId="6" type="noConversion"/>
  </si>
  <si>
    <t>생산 #12-3 미국 100U X24105</t>
    <phoneticPr fontId="6" type="noConversion"/>
  </si>
  <si>
    <t>생산 #12-4 브라질 100U X24106</t>
    <phoneticPr fontId="6" type="noConversion"/>
  </si>
  <si>
    <t>포장# 태국 100U X24069E, X24088A</t>
    <phoneticPr fontId="6" type="noConversion"/>
  </si>
  <si>
    <t>브라질 100U (2월 대응 물량)</t>
    <phoneticPr fontId="6" type="noConversion"/>
  </si>
  <si>
    <t>X24069E, X24088A</t>
    <phoneticPr fontId="6" type="noConversion"/>
  </si>
  <si>
    <t>X24056C</t>
    <phoneticPr fontId="6" type="noConversion"/>
  </si>
  <si>
    <t>Z24006C</t>
    <phoneticPr fontId="6" type="noConversion"/>
  </si>
  <si>
    <t>Z23002C</t>
    <phoneticPr fontId="6" type="noConversion"/>
  </si>
  <si>
    <t>X24093</t>
    <phoneticPr fontId="6" type="noConversion"/>
  </si>
  <si>
    <t>생산의뢰서 확인 필요</t>
    <phoneticPr fontId="6" type="noConversion"/>
  </si>
  <si>
    <t>PO완료</t>
    <phoneticPr fontId="6" type="noConversion"/>
  </si>
  <si>
    <t>변경도안 적용 배치</t>
    <phoneticPr fontId="6" type="noConversion"/>
  </si>
  <si>
    <t>국내 100U (10월 생산분 5)</t>
    <phoneticPr fontId="6" type="noConversion"/>
  </si>
  <si>
    <t>포장# 국내100U X24079(기존도안)</t>
    <phoneticPr fontId="6" type="noConversion"/>
  </si>
  <si>
    <t>포장#10-11 국내 100U X24080(기존도안)</t>
    <phoneticPr fontId="6" type="noConversion"/>
  </si>
  <si>
    <t>포장# 국내 100U Z23002C(Scaleup 원액 사용)(기존도안)</t>
    <phoneticPr fontId="6" type="noConversion"/>
  </si>
  <si>
    <t>X24089와 스위칭, 일탈로 확인 필요</t>
    <phoneticPr fontId="6" type="noConversion"/>
  </si>
  <si>
    <t>포장# 브라질 100U X24089</t>
    <phoneticPr fontId="6" type="noConversion"/>
  </si>
  <si>
    <t>포장# 국내 100U (11월 생산분 2) X24093(변경도안)</t>
    <phoneticPr fontId="6" type="noConversion"/>
  </si>
  <si>
    <t>생산 #12-5 국내 200U(스케일업원액) X24107</t>
    <phoneticPr fontId="6" type="noConversion"/>
  </si>
  <si>
    <t>생산 #12-6 국내 200U(스케일업원액) X24108</t>
    <phoneticPr fontId="6" type="noConversion"/>
  </si>
  <si>
    <t>생산 #12-7 국내 200U(스케일업원액) X24109</t>
    <phoneticPr fontId="6" type="noConversion"/>
  </si>
  <si>
    <t>생산 #12-8 국내 200U(스케일업원액) X24110</t>
    <phoneticPr fontId="6" type="noConversion"/>
  </si>
  <si>
    <t>생산 #12-9 ROW 100U X24111</t>
    <phoneticPr fontId="6" type="noConversion"/>
  </si>
  <si>
    <t>포장# 국내 150U((안정성) Z24006C</t>
    <phoneticPr fontId="6" type="noConversion"/>
  </si>
  <si>
    <t>아르헨티나 일련번호 테스트</t>
    <phoneticPr fontId="6" type="noConversion"/>
  </si>
  <si>
    <t>포장# 국내 100U X24094(변경도안)</t>
    <phoneticPr fontId="6" type="noConversion"/>
  </si>
  <si>
    <t>X24107</t>
    <phoneticPr fontId="6" type="noConversion"/>
  </si>
  <si>
    <t>X24109</t>
    <phoneticPr fontId="6" type="noConversion"/>
  </si>
  <si>
    <t>생산 #11-11 국내 100U X24095</t>
    <phoneticPr fontId="6" type="noConversion"/>
  </si>
  <si>
    <t>생산 #12-10 국내 100U X24112</t>
    <phoneticPr fontId="6" type="noConversion"/>
  </si>
  <si>
    <t>생산 #12-11 국내 100U X24113</t>
    <phoneticPr fontId="6" type="noConversion"/>
  </si>
  <si>
    <t>생산 #12-15 ROW 100U X24114</t>
    <phoneticPr fontId="6" type="noConversion"/>
  </si>
  <si>
    <t>포장# 아르헨티나 100U X24088C</t>
    <phoneticPr fontId="6" type="noConversion"/>
  </si>
  <si>
    <t>포장# 국내 200U('24년 12월 생산분 4) X24110</t>
    <phoneticPr fontId="6" type="noConversion"/>
  </si>
  <si>
    <t>생산 #12-12 국내 100U(스케일업원액) X24115</t>
    <phoneticPr fontId="6" type="noConversion"/>
  </si>
  <si>
    <t>생산 #12-14 유럽 50U X24116</t>
    <phoneticPr fontId="6" type="noConversion"/>
  </si>
  <si>
    <t>생산 #12-13 국내 100U(스케일업원액) X24117</t>
    <phoneticPr fontId="6" type="noConversion"/>
  </si>
  <si>
    <t>생산 #12-16 국내 200U(스케일업원액) X24118</t>
    <phoneticPr fontId="6" type="noConversion"/>
  </si>
  <si>
    <t>생산 #1-2 미국 100U X24120</t>
    <phoneticPr fontId="6" type="noConversion"/>
  </si>
  <si>
    <t>생산 #1-4 국내 200U(스케일업원액) X24122</t>
    <phoneticPr fontId="6" type="noConversion"/>
  </si>
  <si>
    <t>생산 #1-5 국내 200U(스케일업원액) X24123</t>
    <phoneticPr fontId="6" type="noConversion"/>
  </si>
  <si>
    <t>생산 #1-6 국내 200U(스케일업원액) X24124</t>
    <phoneticPr fontId="6" type="noConversion"/>
  </si>
  <si>
    <t>X25001</t>
    <phoneticPr fontId="6" type="noConversion"/>
  </si>
  <si>
    <t>생산 #1-3 브라질 100U X24121</t>
    <phoneticPr fontId="6" type="noConversion"/>
  </si>
  <si>
    <t>PO완료</t>
    <phoneticPr fontId="6" type="noConversion"/>
  </si>
  <si>
    <t>포장# 국내 200U(12월 생산분 5) X24118</t>
    <phoneticPr fontId="6" type="noConversion"/>
  </si>
  <si>
    <t>믈량확정(메일), 자재발주완료</t>
    <phoneticPr fontId="6" type="noConversion"/>
  </si>
  <si>
    <t>생산 #1-1 브라질 100U X24119</t>
    <phoneticPr fontId="6" type="noConversion"/>
  </si>
  <si>
    <t>비고</t>
    <phoneticPr fontId="6" type="noConversion"/>
  </si>
  <si>
    <t>비고</t>
    <phoneticPr fontId="6" type="noConversion"/>
  </si>
  <si>
    <t>포장#11-11 국내 100U (11월 생산분) X24095(변경도안)</t>
    <phoneticPr fontId="6" type="noConversion"/>
  </si>
  <si>
    <t>포장#12-6 브라질 100U X24106(3월 대응 물량)</t>
    <phoneticPr fontId="6" type="noConversion"/>
  </si>
  <si>
    <t>포장# 미국 100U X24083('25년 3월 대응 물량 1)</t>
    <phoneticPr fontId="6" type="noConversion"/>
  </si>
  <si>
    <t>포장 # 미국 100U X24084('25년 3월 대응 물량 2)</t>
    <phoneticPr fontId="6" type="noConversion"/>
  </si>
  <si>
    <t>생산 #1-8 국내 200U(스케일업원액) X25001</t>
    <phoneticPr fontId="6" type="noConversion"/>
  </si>
  <si>
    <t>생산 #1-7 유럽 50U X24125</t>
    <phoneticPr fontId="6" type="noConversion"/>
  </si>
  <si>
    <t>생산 #1-10 미국 100U  X25003</t>
    <phoneticPr fontId="6" type="noConversion"/>
  </si>
  <si>
    <t>포장# 국내 100U X24096</t>
    <phoneticPr fontId="6" type="noConversion"/>
  </si>
  <si>
    <t>징검다리 휴가</t>
    <phoneticPr fontId="6" type="noConversion"/>
  </si>
  <si>
    <t>확정 반제품</t>
    <phoneticPr fontId="6" type="noConversion"/>
  </si>
  <si>
    <t>미확정 반제품</t>
    <phoneticPr fontId="6" type="noConversion"/>
  </si>
  <si>
    <t>미확정 완제품 (포장)</t>
    <phoneticPr fontId="6" type="noConversion"/>
  </si>
  <si>
    <t>확정 완제품 (포장)</t>
    <phoneticPr fontId="6" type="noConversion"/>
  </si>
  <si>
    <t>* 작성 방법</t>
    <phoneticPr fontId="6" type="noConversion"/>
  </si>
  <si>
    <t>미국 100U (3월 대응 물량)</t>
    <phoneticPr fontId="6" type="noConversion"/>
  </si>
  <si>
    <t>X24083</t>
    <phoneticPr fontId="6" type="noConversion"/>
  </si>
  <si>
    <t>미국 100U (3월 대응 물량)</t>
    <phoneticPr fontId="6" type="noConversion"/>
  </si>
  <si>
    <t>X24084</t>
    <phoneticPr fontId="6" type="noConversion"/>
  </si>
  <si>
    <t>국내 100U</t>
    <phoneticPr fontId="6" type="noConversion"/>
  </si>
  <si>
    <t>X24095</t>
    <phoneticPr fontId="6" type="noConversion"/>
  </si>
  <si>
    <t>국내 100U (11월 생산분 4)</t>
    <phoneticPr fontId="6" type="noConversion"/>
  </si>
  <si>
    <t>X24096</t>
    <phoneticPr fontId="6" type="noConversion"/>
  </si>
  <si>
    <t>국내 100U (11월 생산분 5)</t>
    <phoneticPr fontId="6" type="noConversion"/>
  </si>
  <si>
    <t>X24098</t>
    <phoneticPr fontId="6" type="noConversion"/>
  </si>
  <si>
    <t>X24100</t>
    <phoneticPr fontId="6" type="noConversion"/>
  </si>
  <si>
    <t>국내 200U(12월 생산분 3)</t>
    <phoneticPr fontId="6" type="noConversion"/>
  </si>
  <si>
    <t>X24110</t>
    <phoneticPr fontId="6" type="noConversion"/>
  </si>
  <si>
    <t>국내 200U(12월 생산분 4)</t>
    <phoneticPr fontId="6" type="noConversion"/>
  </si>
  <si>
    <t>X24118</t>
    <phoneticPr fontId="6" type="noConversion"/>
  </si>
  <si>
    <t>독일/오스트리아 멀티팩(3월 대응 물량)</t>
    <phoneticPr fontId="6" type="noConversion"/>
  </si>
  <si>
    <t>브라질 100U(3월 대응 물량)</t>
    <phoneticPr fontId="6" type="noConversion"/>
  </si>
  <si>
    <t>X24106</t>
    <phoneticPr fontId="6" type="noConversion"/>
  </si>
  <si>
    <t>아르헨티나 100U(1월 물량 대응)</t>
    <phoneticPr fontId="6" type="noConversion"/>
  </si>
  <si>
    <t>X24088C</t>
    <phoneticPr fontId="6" type="noConversion"/>
  </si>
  <si>
    <t>X24108</t>
    <phoneticPr fontId="6" type="noConversion"/>
  </si>
  <si>
    <t xml:space="preserve"> X24113</t>
    <phoneticPr fontId="6" type="noConversion"/>
  </si>
  <si>
    <t>X25005</t>
    <phoneticPr fontId="6" type="noConversion"/>
  </si>
  <si>
    <t>휴무</t>
    <phoneticPr fontId="6" type="noConversion"/>
  </si>
  <si>
    <t>휴무 (부처님 오신날)</t>
    <phoneticPr fontId="6" type="noConversion"/>
  </si>
  <si>
    <t>대체 휴일</t>
    <phoneticPr fontId="6" type="noConversion"/>
  </si>
  <si>
    <t>대체휴일</t>
    <phoneticPr fontId="6" type="noConversion"/>
  </si>
  <si>
    <t>포장</t>
    <phoneticPr fontId="6" type="noConversion"/>
  </si>
  <si>
    <t>비고</t>
    <phoneticPr fontId="6" type="noConversion"/>
  </si>
  <si>
    <t>반제품</t>
    <phoneticPr fontId="6" type="noConversion"/>
  </si>
  <si>
    <t>포장</t>
    <phoneticPr fontId="6" type="noConversion"/>
  </si>
  <si>
    <t>비고</t>
    <phoneticPr fontId="6" type="noConversion"/>
  </si>
  <si>
    <t>하계휴가</t>
    <phoneticPr fontId="6" type="noConversion"/>
  </si>
  <si>
    <t>개천절</t>
    <phoneticPr fontId="6" type="noConversion"/>
  </si>
  <si>
    <t>징검다리 휴가</t>
    <phoneticPr fontId="6" type="noConversion"/>
  </si>
  <si>
    <t>S</t>
    <phoneticPr fontId="6" type="noConversion"/>
  </si>
  <si>
    <t>제조번호</t>
    <phoneticPr fontId="6" type="noConversion"/>
  </si>
  <si>
    <t>표장# 국내 150U 안정성</t>
    <phoneticPr fontId="6" type="noConversion"/>
  </si>
  <si>
    <t>생산 #1-9 미국 100U X25002</t>
    <phoneticPr fontId="6" type="noConversion"/>
  </si>
  <si>
    <t>생산 #1-12 국내 100U(스케일업원액)  X25005</t>
    <phoneticPr fontId="6" type="noConversion"/>
  </si>
  <si>
    <t>포장# 브라질 100U(4월 대응물량) X24113</t>
    <phoneticPr fontId="6" type="noConversion"/>
  </si>
  <si>
    <t>브라질 100U(4월,5월 대응물량) X24119</t>
    <phoneticPr fontId="6" type="noConversion"/>
  </si>
  <si>
    <t>브라질 100U(5월 대응물량)</t>
    <phoneticPr fontId="6" type="noConversion"/>
  </si>
  <si>
    <t>포장# 국내 100U (12월 생산분 3) X24115</t>
    <phoneticPr fontId="6" type="noConversion"/>
  </si>
  <si>
    <t>포장# 국내 100U (12월 생산분 4) X24117</t>
    <phoneticPr fontId="6" type="noConversion"/>
  </si>
  <si>
    <t>포장# 미국 100U (5월 대응 물량)(2) X24099</t>
    <phoneticPr fontId="6" type="noConversion"/>
  </si>
  <si>
    <t>포장# 미국 100U (5월 대응 물량)(3) X24103</t>
    <phoneticPr fontId="6" type="noConversion"/>
  </si>
  <si>
    <t xml:space="preserve"> 포장# 태국 200U(3월 대응 물량) X24085A</t>
    <phoneticPr fontId="6" type="noConversion"/>
  </si>
  <si>
    <t>포장# 국내 200U X24108</t>
    <phoneticPr fontId="6" type="noConversion"/>
  </si>
  <si>
    <t>표장# 국내 100U (12월 생산분 1) X24102</t>
    <phoneticPr fontId="6" type="noConversion"/>
  </si>
  <si>
    <t>포장# 대만 100U(4월 대응 물량) X24088E</t>
    <phoneticPr fontId="6" type="noConversion"/>
  </si>
  <si>
    <t>X24112</t>
    <phoneticPr fontId="6" type="noConversion"/>
  </si>
  <si>
    <t>PO완료, 기존 3월 대응 물량에서 4월 대응물량으로 변경 (선발주 협의 후 진행완료)</t>
    <phoneticPr fontId="6" type="noConversion"/>
  </si>
  <si>
    <t>포장# 태국 100U(2분기 대응 물량) X24088K, X24111C</t>
    <phoneticPr fontId="6" type="noConversion"/>
  </si>
  <si>
    <t>포장# 미국 100U X24086('25년 4월 대응 물량 3)</t>
    <phoneticPr fontId="6" type="noConversion"/>
  </si>
  <si>
    <t>포장# 국내 200U('24년 12월 생산분 2) X24122</t>
    <phoneticPr fontId="6" type="noConversion"/>
  </si>
  <si>
    <t>포장# 국내 200U(1월 생산분 1) X24123</t>
    <phoneticPr fontId="6" type="noConversion"/>
  </si>
  <si>
    <t>포장# 국내 200U(1월 생산분2) X24124</t>
    <phoneticPr fontId="6" type="noConversion"/>
  </si>
  <si>
    <t>포장# 국내 100U X24100</t>
    <phoneticPr fontId="6" type="noConversion"/>
  </si>
  <si>
    <t>포장# 국내 100U X24098</t>
    <phoneticPr fontId="6" type="noConversion"/>
  </si>
  <si>
    <t>생산 #1-14 미국 100U X25009</t>
    <phoneticPr fontId="6" type="noConversion"/>
  </si>
  <si>
    <t>생산 #2-3 국내 100U(자재이원화 시생산)</t>
    <phoneticPr fontId="6" type="noConversion"/>
  </si>
  <si>
    <t>생산 #1-11 국내 100U(스케일업원액)  X25004</t>
    <phoneticPr fontId="6" type="noConversion"/>
  </si>
  <si>
    <t>생산 #1-13 브라질 100U X25008</t>
    <phoneticPr fontId="6" type="noConversion"/>
  </si>
  <si>
    <t>기존 도안 적용 완료 (이후 신규 도안 적용 예정), 생산의뢰서 공유 예정 (미수금으로 지연 중)</t>
    <phoneticPr fontId="6" type="noConversion"/>
  </si>
  <si>
    <t>자재 발주 완료, 생산의뢰서 확인 필요, PO 확정 (~1/23)</t>
    <phoneticPr fontId="6" type="noConversion"/>
  </si>
  <si>
    <t>QC용해이물검사 불가</t>
    <phoneticPr fontId="6" type="noConversion"/>
  </si>
  <si>
    <t>X</t>
    <phoneticPr fontId="6" type="noConversion"/>
  </si>
  <si>
    <t>○</t>
    <phoneticPr fontId="6" type="noConversion"/>
  </si>
  <si>
    <t>생산의뢰서 여부</t>
    <phoneticPr fontId="6" type="noConversion"/>
  </si>
  <si>
    <t>○</t>
    <phoneticPr fontId="6" type="noConversion"/>
  </si>
  <si>
    <t>○</t>
    <phoneticPr fontId="6" type="noConversion"/>
  </si>
  <si>
    <t>○</t>
    <phoneticPr fontId="6" type="noConversion"/>
  </si>
  <si>
    <t>비고</t>
    <phoneticPr fontId="6" type="noConversion"/>
  </si>
  <si>
    <t>2Q 바인딩 완료</t>
    <phoneticPr fontId="6" type="noConversion"/>
  </si>
  <si>
    <t>표장# 브라질 100U (5월 대응물량) X24121</t>
    <phoneticPr fontId="6" type="noConversion"/>
  </si>
  <si>
    <t>X24087</t>
    <phoneticPr fontId="6" type="noConversion"/>
  </si>
  <si>
    <t>국내 200U(1월 생산분 1)</t>
    <phoneticPr fontId="6" type="noConversion"/>
  </si>
  <si>
    <t>X24122</t>
    <phoneticPr fontId="6" type="noConversion"/>
  </si>
  <si>
    <t>국내 200U(1월 생산분 2)</t>
    <phoneticPr fontId="6" type="noConversion"/>
  </si>
  <si>
    <t>X24123</t>
    <phoneticPr fontId="6" type="noConversion"/>
  </si>
  <si>
    <t>국내 200U(1월 생산분 3)</t>
    <phoneticPr fontId="6" type="noConversion"/>
  </si>
  <si>
    <t>X24124</t>
    <phoneticPr fontId="6" type="noConversion"/>
  </si>
  <si>
    <t>브라질 100U (4월 대응물량)</t>
    <phoneticPr fontId="6" type="noConversion"/>
  </si>
  <si>
    <t>X24119</t>
    <phoneticPr fontId="6" type="noConversion"/>
  </si>
  <si>
    <t>X24121</t>
    <phoneticPr fontId="6" type="noConversion"/>
  </si>
  <si>
    <t>국내 150U 안정성(무균)</t>
    <phoneticPr fontId="6" type="noConversion"/>
  </si>
  <si>
    <t>X24085A</t>
    <phoneticPr fontId="6" type="noConversion"/>
  </si>
  <si>
    <t>대만 100U(4월 대응 물량)</t>
    <phoneticPr fontId="6" type="noConversion"/>
  </si>
  <si>
    <t>X24088E</t>
    <phoneticPr fontId="6" type="noConversion"/>
  </si>
  <si>
    <t>파나마 100U(4월 대응 물량)</t>
    <phoneticPr fontId="6" type="noConversion"/>
  </si>
  <si>
    <t>X24086</t>
    <phoneticPr fontId="6" type="noConversion"/>
  </si>
  <si>
    <t>○</t>
    <phoneticPr fontId="6" type="noConversion"/>
  </si>
  <si>
    <t>○</t>
    <phoneticPr fontId="6" type="noConversion"/>
  </si>
  <si>
    <t>(물량/도안) 확정</t>
    <phoneticPr fontId="6" type="noConversion"/>
  </si>
  <si>
    <t>태국 200U(3~4월 대응 물량)</t>
    <phoneticPr fontId="6" type="noConversion"/>
  </si>
  <si>
    <t>브라질 100U(4~5월 대응물량)</t>
    <phoneticPr fontId="6" type="noConversion"/>
  </si>
  <si>
    <t>신규 도안 적용 예정, 6월 물량 생산의뢰서 확인 필요</t>
    <phoneticPr fontId="6" type="noConversion"/>
  </si>
  <si>
    <t>국내 100U (12월 생산분 3)</t>
    <phoneticPr fontId="6" type="noConversion"/>
  </si>
  <si>
    <t xml:space="preserve">* 생산의뢰서 미 수령 건은 발주수량 별도 담당자 확인 필요 </t>
    <phoneticPr fontId="6" type="noConversion"/>
  </si>
  <si>
    <t>포장 # 국내 200U(1월 생산분4) X25001</t>
    <phoneticPr fontId="6" type="noConversion"/>
  </si>
  <si>
    <t>이물검사 완료 배치</t>
    <phoneticPr fontId="6" type="noConversion"/>
  </si>
  <si>
    <t>국내 100U (12월 생산분 3)</t>
    <phoneticPr fontId="6" type="noConversion"/>
  </si>
  <si>
    <t>`</t>
    <phoneticPr fontId="6" type="noConversion"/>
  </si>
  <si>
    <t>미국 100U (4월 대응 물량) (1)</t>
    <phoneticPr fontId="6" type="noConversion"/>
  </si>
  <si>
    <t>미국 100U (4월 대응 물량) (2)</t>
    <phoneticPr fontId="6" type="noConversion"/>
  </si>
  <si>
    <t>포장# 영국 50U(5월 대응 물량) X24101C, X24116A</t>
    <phoneticPr fontId="6" type="noConversion"/>
  </si>
  <si>
    <t>포장# 미국 100U (4월 대응 물량)(3) X24092</t>
    <phoneticPr fontId="6" type="noConversion"/>
  </si>
  <si>
    <t>포장# 파나마 100U(4월 대응 물량) X24088F</t>
    <phoneticPr fontId="6" type="noConversion"/>
  </si>
  <si>
    <t>포장# 아르헨티나 200U(3월 대응 물량) X24085C</t>
    <phoneticPr fontId="6" type="noConversion"/>
  </si>
  <si>
    <t>생산 #11-17 국내 100U X24102</t>
    <phoneticPr fontId="6" type="noConversion"/>
  </si>
  <si>
    <t>포장# 칠레 100U(5월 대응 물량) X24114A</t>
    <phoneticPr fontId="6" type="noConversion"/>
  </si>
  <si>
    <t>미국 100U (6월 대응 물량)(1)</t>
    <phoneticPr fontId="6" type="noConversion"/>
  </si>
  <si>
    <t>미국 100U(8월 대응 물량) (2)</t>
    <phoneticPr fontId="6" type="noConversion"/>
  </si>
  <si>
    <t>국내 100U (1월 생산분 2)</t>
    <phoneticPr fontId="6" type="noConversion"/>
  </si>
  <si>
    <t>아르헨티나100U (5월 대응 물량)</t>
    <phoneticPr fontId="6" type="noConversion"/>
  </si>
  <si>
    <t>아르헨티나200U (5월 대응 물량)</t>
    <phoneticPr fontId="6" type="noConversion"/>
  </si>
  <si>
    <t>국내 200U (4월 생산분 1)</t>
    <phoneticPr fontId="6" type="noConversion"/>
  </si>
  <si>
    <t>국내 100U (2월 생산분 1)</t>
    <phoneticPr fontId="6" type="noConversion"/>
  </si>
  <si>
    <t>브라질 100U (7월 대응 물량) 1)</t>
    <phoneticPr fontId="6" type="noConversion"/>
  </si>
  <si>
    <t>수량 통합 검토</t>
    <phoneticPr fontId="6" type="noConversion"/>
  </si>
  <si>
    <t>국내 200U (1월 생산분 4)</t>
    <phoneticPr fontId="6" type="noConversion"/>
  </si>
  <si>
    <t>포장#브라질 100U(5,6월 대응물량) (X25008)</t>
    <phoneticPr fontId="6" type="noConversion"/>
  </si>
  <si>
    <t>브라질  200U (7월 대응 물량)</t>
    <phoneticPr fontId="6" type="noConversion"/>
  </si>
  <si>
    <t>미국 100U(8월 대응 물량) (3)</t>
    <phoneticPr fontId="6" type="noConversion"/>
  </si>
  <si>
    <t>포장# 미국 100IU (4월 대응 물량) X24087</t>
    <phoneticPr fontId="6" type="noConversion"/>
  </si>
  <si>
    <t>포장# 인도네시아 100U(5월 대응 물량) X24088H</t>
    <phoneticPr fontId="6" type="noConversion"/>
  </si>
  <si>
    <t>PO수량</t>
    <phoneticPr fontId="6" type="noConversion"/>
  </si>
  <si>
    <t>5월~6월초 대응 예상, X24090 사용, 브라질 100U와 공통 자재</t>
    <phoneticPr fontId="6" type="noConversion"/>
  </si>
  <si>
    <t>포장# 국내 100U  X24112</t>
    <phoneticPr fontId="6" type="noConversion"/>
  </si>
  <si>
    <t>태국 200U(5~6월 대응 물량)</t>
    <phoneticPr fontId="6" type="noConversion"/>
  </si>
  <si>
    <t xml:space="preserve">미국 DS Scale up PV </t>
    <phoneticPr fontId="6" type="noConversion"/>
  </si>
  <si>
    <t xml:space="preserve">이집트 100U(4월 대응 물량) </t>
    <phoneticPr fontId="6" type="noConversion"/>
  </si>
  <si>
    <t>X24111E</t>
    <phoneticPr fontId="6" type="noConversion"/>
  </si>
  <si>
    <t>미국 100U (4월 대응 물량)(3)</t>
    <phoneticPr fontId="6" type="noConversion"/>
  </si>
  <si>
    <t>X24092</t>
    <phoneticPr fontId="6" type="noConversion"/>
  </si>
  <si>
    <t>X24099</t>
    <phoneticPr fontId="6" type="noConversion"/>
  </si>
  <si>
    <t>X24103</t>
    <phoneticPr fontId="6" type="noConversion"/>
  </si>
  <si>
    <t>영국 50U(5월 대응 물량)</t>
    <phoneticPr fontId="6" type="noConversion"/>
  </si>
  <si>
    <t>X24101E</t>
    <phoneticPr fontId="6" type="noConversion"/>
  </si>
  <si>
    <t>국내 100U (12월 생산분 3)</t>
    <phoneticPr fontId="6" type="noConversion"/>
  </si>
  <si>
    <t>X24102</t>
    <phoneticPr fontId="6" type="noConversion"/>
  </si>
  <si>
    <t>국내 100U (12월 생산분 3)</t>
    <phoneticPr fontId="6" type="noConversion"/>
  </si>
  <si>
    <t>X24115</t>
    <phoneticPr fontId="6" type="noConversion"/>
  </si>
  <si>
    <t xml:space="preserve">국내 100U (미국 DS Scale up PV) </t>
    <phoneticPr fontId="6" type="noConversion"/>
  </si>
  <si>
    <t>X25008</t>
    <phoneticPr fontId="6" type="noConversion"/>
  </si>
  <si>
    <t>태국 100U(2분기 대응 물량)</t>
    <phoneticPr fontId="6" type="noConversion"/>
  </si>
  <si>
    <t>X24088K, X24111C</t>
    <phoneticPr fontId="6" type="noConversion"/>
  </si>
  <si>
    <t>인도네시아 100U(5월 대응 물량)</t>
    <phoneticPr fontId="6" type="noConversion"/>
  </si>
  <si>
    <t>X24088H</t>
    <phoneticPr fontId="6" type="noConversion"/>
  </si>
  <si>
    <t>호주 100U (4월 대응 물량)</t>
    <phoneticPr fontId="6" type="noConversion"/>
  </si>
  <si>
    <t>X24091</t>
    <phoneticPr fontId="6" type="noConversion"/>
  </si>
  <si>
    <t>칠레 100U (5월 대응 물량)</t>
    <phoneticPr fontId="6" type="noConversion"/>
  </si>
  <si>
    <t>X24114A</t>
    <phoneticPr fontId="6" type="noConversion"/>
  </si>
  <si>
    <t>아르헨티나 100U(3월 대응 물량)</t>
    <phoneticPr fontId="6" type="noConversion"/>
  </si>
  <si>
    <t>X24111A</t>
    <phoneticPr fontId="6" type="noConversion"/>
  </si>
  <si>
    <t>아르헨티나 200U(3월 대응 물량)</t>
    <phoneticPr fontId="6" type="noConversion"/>
  </si>
  <si>
    <t>X24085C</t>
    <phoneticPr fontId="6" type="noConversion"/>
  </si>
  <si>
    <t>포장# 이집트 100U(4월 대응 물량) X24111E</t>
    <phoneticPr fontId="6" type="noConversion"/>
  </si>
  <si>
    <t>브라질 200U (5월 대응 물량)</t>
    <phoneticPr fontId="6" type="noConversion"/>
  </si>
  <si>
    <t>X24085E(17,128), X24090A(2,872)</t>
    <phoneticPr fontId="6" type="noConversion"/>
  </si>
  <si>
    <t>포장# 인도 100U (5월 대응 물량) X24114C</t>
    <phoneticPr fontId="6" type="noConversion"/>
  </si>
  <si>
    <t>국내 100U (미국 DS Scale up PV) Z23001C</t>
    <phoneticPr fontId="6" type="noConversion"/>
  </si>
  <si>
    <t>포장이원화테스트</t>
    <phoneticPr fontId="6" type="noConversion"/>
  </si>
  <si>
    <t>페루 100U(5월 대응 물량)</t>
    <phoneticPr fontId="6" type="noConversion"/>
  </si>
  <si>
    <t>인도 100U (5월 대응 물량)</t>
    <phoneticPr fontId="6" type="noConversion"/>
  </si>
  <si>
    <t>X24114C</t>
    <phoneticPr fontId="6" type="noConversion"/>
  </si>
  <si>
    <t xml:space="preserve">국내 100U (미국 DS Scale up PV) </t>
    <phoneticPr fontId="6" type="noConversion"/>
  </si>
  <si>
    <t>튀르키예 포장해체</t>
    <phoneticPr fontId="6" type="noConversion"/>
  </si>
  <si>
    <t>포장# 아르헨티나 100U(3월 대응 물량) X24111A</t>
    <phoneticPr fontId="6" type="noConversion"/>
  </si>
  <si>
    <t>브라질 100U(5월 대응물량)</t>
    <phoneticPr fontId="6" type="noConversion"/>
  </si>
  <si>
    <t>Z23003C</t>
    <phoneticPr fontId="6" type="noConversion"/>
  </si>
  <si>
    <t>Z23001C</t>
    <phoneticPr fontId="6" type="noConversion"/>
  </si>
  <si>
    <t>포장# 미국 100U (6월 대응 물량)(1) X24104</t>
    <phoneticPr fontId="6" type="noConversion"/>
  </si>
  <si>
    <t>포장# 미국 100U (6월 대응 물량)(2) X24105</t>
    <phoneticPr fontId="6" type="noConversion"/>
  </si>
  <si>
    <t>X24104</t>
    <phoneticPr fontId="6" type="noConversion"/>
  </si>
  <si>
    <t>X24105</t>
    <phoneticPr fontId="6" type="noConversion"/>
  </si>
  <si>
    <t>포장# 미국 100U (6월 대응 물량)(1) X24104</t>
    <phoneticPr fontId="6" type="noConversion"/>
  </si>
  <si>
    <t>아르헨티나 100U 자재불량</t>
    <phoneticPr fontId="6" type="noConversion"/>
  </si>
  <si>
    <t>포장# 호주 100IU (4월 대응 물량) X24091 (폐기)</t>
    <phoneticPr fontId="6" type="noConversion"/>
  </si>
  <si>
    <t>계약 지연에 따라 생산의뢰서 지연 중(가오더 우선 생성 完)</t>
    <phoneticPr fontId="6" type="noConversion"/>
  </si>
  <si>
    <t>단가 변경으로 생산의뢰서 지연 중 (가오더 우선 생성 完)</t>
    <phoneticPr fontId="6" type="noConversion"/>
  </si>
  <si>
    <t>단가 변경으로 생산의뢰서 지연 중 (가오더 우선 생성 完)</t>
    <phoneticPr fontId="6" type="noConversion"/>
  </si>
  <si>
    <t>미국 DS Scale up PV</t>
    <phoneticPr fontId="6" type="noConversion"/>
  </si>
  <si>
    <t>페루 허가변경 확인 완료</t>
    <phoneticPr fontId="6" type="noConversion"/>
  </si>
  <si>
    <t>포장# 페루 100U(4월→5월 대응 물량) X24111F</t>
    <phoneticPr fontId="6" type="noConversion"/>
  </si>
  <si>
    <t>X24085F</t>
    <phoneticPr fontId="6" type="noConversion"/>
  </si>
  <si>
    <t>생산3팀 AG 윈도우 업그레이드</t>
    <phoneticPr fontId="6" type="noConversion"/>
  </si>
  <si>
    <t>포장재 선발주 요청(3/25)</t>
    <phoneticPr fontId="6" type="noConversion"/>
  </si>
  <si>
    <t>펍싯 관련 일정 확인 &gt; 문제없음 확인(이은애님 3/25 메신저)</t>
    <phoneticPr fontId="6" type="noConversion"/>
  </si>
  <si>
    <t>스페인 멀티 50U(4월 대응 물량)</t>
    <phoneticPr fontId="6" type="noConversion"/>
  </si>
  <si>
    <t>생산 #2-1 국내 100U(스케일업원액) X25006</t>
    <phoneticPr fontId="6" type="noConversion"/>
  </si>
  <si>
    <t>캐나다 100U(7월 대응 물량)</t>
    <phoneticPr fontId="6" type="noConversion"/>
  </si>
  <si>
    <t>국내 100U (12월 생산분 4)</t>
    <phoneticPr fontId="6" type="noConversion"/>
  </si>
  <si>
    <t>X24117</t>
    <phoneticPr fontId="6" type="noConversion"/>
  </si>
  <si>
    <t>X25006</t>
    <phoneticPr fontId="6" type="noConversion"/>
  </si>
  <si>
    <t>이물검사</t>
    <phoneticPr fontId="23" type="noConversion"/>
  </si>
  <si>
    <t>필리핀 100U(4월 → 6월→ 7월 대응 물량)</t>
    <phoneticPr fontId="6" type="noConversion"/>
  </si>
  <si>
    <t>선적 4월 → 6월로 변경 (2/5, 장흔열님 메신저확인)  , 2,335개 물량 확인</t>
    <phoneticPr fontId="6" type="noConversion"/>
  </si>
  <si>
    <t>X24088F</t>
    <phoneticPr fontId="6" type="noConversion"/>
  </si>
  <si>
    <t>X24058C</t>
    <phoneticPr fontId="6" type="noConversion"/>
  </si>
  <si>
    <t>국내 100U (미국 DS Scale up PV) Z23003C</t>
    <phoneticPr fontId="6" type="noConversion"/>
  </si>
  <si>
    <t>생산 #4-2 브라질 100U  X25011</t>
    <phoneticPr fontId="6" type="noConversion"/>
  </si>
  <si>
    <t>생산 #4-3 브라질 100U  X25012</t>
    <phoneticPr fontId="6" type="noConversion"/>
  </si>
  <si>
    <t>X24101C, X24116A</t>
    <phoneticPr fontId="6" type="noConversion"/>
  </si>
  <si>
    <t>X24058F, X24101A</t>
    <phoneticPr fontId="6" type="noConversion"/>
  </si>
  <si>
    <t>X25011</t>
    <phoneticPr fontId="6" type="noConversion"/>
  </si>
  <si>
    <t>X25012</t>
    <phoneticPr fontId="6" type="noConversion"/>
  </si>
  <si>
    <t>포장# 브라질 100U (6,7월 대응 물량) X25011</t>
    <phoneticPr fontId="6" type="noConversion"/>
  </si>
  <si>
    <t>포장# 브라질 100U (6,7월 대응 물량) X25012</t>
    <phoneticPr fontId="6" type="noConversion"/>
  </si>
  <si>
    <t>포장# 국내 100U (2월 생산분 1) X25006</t>
    <phoneticPr fontId="6" type="noConversion"/>
  </si>
  <si>
    <t>X25017</t>
    <phoneticPr fontId="6" type="noConversion"/>
  </si>
  <si>
    <t>포장# 브라질 100U (7월 대응 물량)  X25017</t>
    <phoneticPr fontId="6" type="noConversion"/>
  </si>
  <si>
    <t>포장# 대만 100U (7월 대응) X24114F</t>
    <phoneticPr fontId="6" type="noConversion"/>
  </si>
  <si>
    <t>X24090C</t>
    <phoneticPr fontId="6" type="noConversion"/>
  </si>
  <si>
    <t>포장# 브라질 200U (5~6월 대응 물량) X24090A</t>
    <phoneticPr fontId="6" type="noConversion"/>
  </si>
  <si>
    <t>포장# 브라질 200U (5~6월 대응 물량) X24085E</t>
    <phoneticPr fontId="6" type="noConversion"/>
  </si>
  <si>
    <t>4긴급 건 (4/2 출하승인 목표)</t>
    <phoneticPr fontId="32" type="noConversion"/>
  </si>
  <si>
    <t>휴일(투표/얘정)</t>
    <phoneticPr fontId="6" type="noConversion"/>
  </si>
  <si>
    <t>포장# 국내 100U (1월 생산분 2) X25005</t>
    <phoneticPr fontId="6" type="noConversion"/>
  </si>
  <si>
    <t xml:space="preserve">포장# 파나마 100U (7월 대응) X24114H </t>
    <phoneticPr fontId="6" type="noConversion"/>
  </si>
  <si>
    <t>X24114K</t>
    <phoneticPr fontId="6" type="noConversion"/>
  </si>
  <si>
    <t>PO완료, 제조번호 변경 가능 확인중 (~4/18)</t>
    <phoneticPr fontId="6" type="noConversion"/>
  </si>
  <si>
    <t>국내 100U (1월 생산분 1)</t>
    <phoneticPr fontId="6" type="noConversion"/>
  </si>
  <si>
    <t xml:space="preserve">튀르키예 해체 완료 수량 확인 후 오더 발행 </t>
    <phoneticPr fontId="6" type="noConversion"/>
  </si>
  <si>
    <t>X25007</t>
    <phoneticPr fontId="6" type="noConversion"/>
  </si>
  <si>
    <t>국내 100U (2월 생산분 2)</t>
    <phoneticPr fontId="6" type="noConversion"/>
  </si>
  <si>
    <t>포장# 국내 100U (2월 생산분 2) X25007</t>
    <phoneticPr fontId="6" type="noConversion"/>
  </si>
  <si>
    <t>생산 #4-5 ROW 200U X25015</t>
    <phoneticPr fontId="6" type="noConversion"/>
  </si>
  <si>
    <t>생산 #4-6 미국 100U X25016</t>
    <phoneticPr fontId="6" type="noConversion"/>
  </si>
  <si>
    <t xml:space="preserve">포장# 호주 100IU (5월 대응 물량) X24120 </t>
    <phoneticPr fontId="6" type="noConversion"/>
  </si>
  <si>
    <t>생산 #4-7 유럽 50U X25014</t>
    <phoneticPr fontId="6" type="noConversion"/>
  </si>
  <si>
    <t>생산 #4-8 브라질 100U  X25017</t>
    <phoneticPr fontId="6" type="noConversion"/>
  </si>
  <si>
    <t>생산 #4-9 ROW 100U  X25019</t>
    <phoneticPr fontId="6" type="noConversion"/>
  </si>
  <si>
    <t>생산 #4-11 미국 100U X25021</t>
    <phoneticPr fontId="6" type="noConversion"/>
  </si>
  <si>
    <t>듀얼브랜드100(A동)</t>
    <phoneticPr fontId="32" type="noConversion"/>
  </si>
  <si>
    <t>생산 #4-13 미국 100U X25023</t>
    <phoneticPr fontId="6" type="noConversion"/>
  </si>
  <si>
    <t>포장# 스페인 멀티 50U(4월 대응 물량) X24101E</t>
    <phoneticPr fontId="6" type="noConversion"/>
  </si>
  <si>
    <t xml:space="preserve"> X25015A</t>
    <phoneticPr fontId="6" type="noConversion"/>
  </si>
  <si>
    <t>X25016</t>
    <phoneticPr fontId="6" type="noConversion"/>
  </si>
  <si>
    <t>X25004</t>
    <phoneticPr fontId="6" type="noConversion"/>
  </si>
  <si>
    <t xml:space="preserve">브라질 100U (5, 6월 대응 물량) </t>
    <phoneticPr fontId="6" type="noConversion"/>
  </si>
  <si>
    <t xml:space="preserve">브라질 100U (6, 7월 대응 물량) </t>
    <phoneticPr fontId="6" type="noConversion"/>
  </si>
  <si>
    <t>반제품 생산 후 즉시 발주 필요 , 발주완료(4/15)</t>
    <phoneticPr fontId="6" type="noConversion"/>
  </si>
  <si>
    <t>사우디 100U(6월 대응 물량)</t>
    <phoneticPr fontId="6" type="noConversion"/>
  </si>
  <si>
    <t>생산 #5-3 브라질 100U X25026</t>
    <phoneticPr fontId="6" type="noConversion"/>
  </si>
  <si>
    <t>프랑스 50U(6월 대응 물량)</t>
    <phoneticPr fontId="6" type="noConversion"/>
  </si>
  <si>
    <t>X24116C</t>
    <phoneticPr fontId="6" type="noConversion"/>
  </si>
  <si>
    <t>아일랜드 50U(6월 대응 물량)</t>
    <phoneticPr fontId="6" type="noConversion"/>
  </si>
  <si>
    <t>X24116E</t>
    <phoneticPr fontId="6" type="noConversion"/>
  </si>
  <si>
    <t>포장# 국내200U (4월 생산분 1) X25010</t>
    <phoneticPr fontId="6" type="noConversion"/>
  </si>
  <si>
    <t>자재발주 완료(4/23) , 6~7월 선적</t>
    <phoneticPr fontId="6" type="noConversion"/>
  </si>
  <si>
    <t xml:space="preserve">포장# 자재이원화 안정성 포장 </t>
    <phoneticPr fontId="6" type="noConversion"/>
  </si>
  <si>
    <t>F</t>
    <phoneticPr fontId="6" type="noConversion"/>
  </si>
  <si>
    <t>브라질 신규 도안 자재 적용 시점에 따른 포장 수량 확인 필요</t>
    <phoneticPr fontId="6" type="noConversion"/>
  </si>
  <si>
    <t xml:space="preserve">독일/오스트리아 50U (7월 대응물량) </t>
    <phoneticPr fontId="6" type="noConversion"/>
  </si>
  <si>
    <t>이탈리아 50U (Single) (8월 대응 물량)</t>
    <phoneticPr fontId="6" type="noConversion"/>
  </si>
  <si>
    <t>포장# 브라질 100U (7,8월 대응 물량) X25025</t>
    <phoneticPr fontId="6" type="noConversion"/>
  </si>
  <si>
    <t>X25002</t>
    <phoneticPr fontId="6" type="noConversion"/>
  </si>
  <si>
    <t>X25009</t>
    <phoneticPr fontId="6" type="noConversion"/>
  </si>
  <si>
    <t>브라질 100U (7,8월 대응 물량) 2)</t>
    <phoneticPr fontId="6" type="noConversion"/>
  </si>
  <si>
    <t>X25025</t>
    <phoneticPr fontId="6" type="noConversion"/>
  </si>
  <si>
    <t xml:space="preserve">파나마 100U (7월 대응) </t>
    <phoneticPr fontId="6" type="noConversion"/>
  </si>
  <si>
    <t>베트남 100U(6월 대응 물량)</t>
    <phoneticPr fontId="6" type="noConversion"/>
  </si>
  <si>
    <t>대만 100U (7월 대응)</t>
    <phoneticPr fontId="6" type="noConversion"/>
  </si>
  <si>
    <t>포장# 브라질 100U (8월 대응 물량) X25026</t>
    <phoneticPr fontId="6" type="noConversion"/>
  </si>
  <si>
    <t>미국 100U (4월 대응 물량)(4)</t>
    <phoneticPr fontId="6" type="noConversion"/>
  </si>
  <si>
    <t>미국 100U (4월 대응 물량)(5)</t>
    <phoneticPr fontId="6" type="noConversion"/>
  </si>
  <si>
    <t>미국 100U (4월 대응 물량)(6)</t>
    <phoneticPr fontId="6" type="noConversion"/>
  </si>
  <si>
    <t>독일/오스트리아 50U (Multi) (8월 대응 물량)</t>
    <phoneticPr fontId="6" type="noConversion"/>
  </si>
  <si>
    <t>S</t>
    <phoneticPr fontId="6" type="noConversion"/>
  </si>
  <si>
    <t>S</t>
    <phoneticPr fontId="6" type="noConversion"/>
  </si>
  <si>
    <t>포장# 국내 100U (튀르키예 재포장) X24001A</t>
    <phoneticPr fontId="6" type="noConversion"/>
  </si>
  <si>
    <t>포장# 사우디 100U(6월 대응 물량) X24114M</t>
    <phoneticPr fontId="6" type="noConversion"/>
  </si>
  <si>
    <t>X25010</t>
    <phoneticPr fontId="6" type="noConversion"/>
  </si>
  <si>
    <t>포장# 프랑스 50U (5월 대응 물량) X24116C</t>
    <phoneticPr fontId="6" type="noConversion"/>
  </si>
  <si>
    <t>증량 여부 확인 후 200U, 100U 결정 필요 (4/28)</t>
    <phoneticPr fontId="6" type="noConversion"/>
  </si>
  <si>
    <t>증량 여부 확인 후 계획 수립 (4/28)</t>
    <phoneticPr fontId="6" type="noConversion"/>
  </si>
  <si>
    <t>생산 #4-12 미국 100U X25022</t>
    <phoneticPr fontId="6" type="noConversion"/>
  </si>
  <si>
    <t>포장# 태국 200U(5~6월 대응 물량) X25015A</t>
    <phoneticPr fontId="6" type="noConversion"/>
  </si>
  <si>
    <t>생산 #5-1 유럽 50U  X25028</t>
    <phoneticPr fontId="6" type="noConversion"/>
  </si>
  <si>
    <t>생산 #5-5 미국 100U X25029</t>
    <phoneticPr fontId="6" type="noConversion"/>
  </si>
  <si>
    <t>포장# 아르헨티나200U (5월 대응 물량) X24085F</t>
    <phoneticPr fontId="6" type="noConversion"/>
  </si>
  <si>
    <t>포장# 아르헨티나100U (5월 대응 물량) X24114E</t>
    <phoneticPr fontId="6" type="noConversion"/>
  </si>
  <si>
    <t>생산 #4-14 미국 100U X25024</t>
    <phoneticPr fontId="6" type="noConversion"/>
  </si>
  <si>
    <t>X24120</t>
    <phoneticPr fontId="6" type="noConversion"/>
  </si>
  <si>
    <t xml:space="preserve">생산 #4-1 국내 200U  (스케일업원액) X25010 </t>
    <phoneticPr fontId="6" type="noConversion"/>
  </si>
  <si>
    <t>포장# 아일랜드 50U (6월 대응 물량) X24116E</t>
    <phoneticPr fontId="6" type="noConversion"/>
  </si>
  <si>
    <t>생산 #5-8 미국 100U X25031</t>
    <phoneticPr fontId="6" type="noConversion"/>
  </si>
  <si>
    <t>포장# 미국 100U(8월 대응 물량) (3) X25024</t>
    <phoneticPr fontId="6" type="noConversion"/>
  </si>
  <si>
    <t>X24111H</t>
    <phoneticPr fontId="6" type="noConversion"/>
  </si>
  <si>
    <t>포장# 브라질 200U (7월 대응 물량) X24090C</t>
    <phoneticPr fontId="6" type="noConversion"/>
  </si>
  <si>
    <t>포장# 독일/오스트리아 50U (7월 대응물량) X24125A</t>
    <phoneticPr fontId="6" type="noConversion"/>
  </si>
  <si>
    <t>포장# 미국 100U(9월 대응 물량) (1) X25029</t>
    <phoneticPr fontId="6" type="noConversion"/>
  </si>
  <si>
    <t>포장# 미국 100U(9월 대응 물량) (2) X25030</t>
    <phoneticPr fontId="6" type="noConversion"/>
  </si>
  <si>
    <t>미국 100U(10월 대응 물량) (1)</t>
    <phoneticPr fontId="6" type="noConversion"/>
  </si>
  <si>
    <t>5/9 생산 분으로 포장 예정 (5/9 생산 후 자재 발주 필요) * 4/18 , 8월 초 대응 필요</t>
    <phoneticPr fontId="6" type="noConversion"/>
  </si>
  <si>
    <t>생산 #5-4 ROW 100U X25027</t>
    <phoneticPr fontId="6" type="noConversion"/>
  </si>
  <si>
    <t>X25013</t>
    <phoneticPr fontId="6" type="noConversion"/>
  </si>
  <si>
    <t>생산 #5-6 미국 100U X25030</t>
    <phoneticPr fontId="6" type="noConversion"/>
  </si>
  <si>
    <t>생산 #2-2 국내 100U(스케일업원액) X25007</t>
    <phoneticPr fontId="6" type="noConversion"/>
  </si>
  <si>
    <t>포장# 페루 100U(8월 대응 물량) X25032C</t>
    <phoneticPr fontId="6" type="noConversion"/>
  </si>
  <si>
    <t>생산 #5-2 브라질 100U X25025</t>
    <phoneticPr fontId="6" type="noConversion"/>
  </si>
  <si>
    <t>X25027A</t>
    <phoneticPr fontId="6" type="noConversion"/>
  </si>
  <si>
    <t>포장# 태국 100U (3분기 대응 물량) X25027A</t>
    <phoneticPr fontId="6" type="noConversion"/>
  </si>
  <si>
    <t>이탈리아 50U (Single) (8월 대응 물량)</t>
    <phoneticPr fontId="6" type="noConversion"/>
  </si>
  <si>
    <t>영국 50U (8월 대응 물량)</t>
    <phoneticPr fontId="6" type="noConversion"/>
  </si>
  <si>
    <t>아일랜드 50U(8월 대응 물량)</t>
    <phoneticPr fontId="6" type="noConversion"/>
  </si>
  <si>
    <t>생산 #5-7 유럽 50U  X25035</t>
    <phoneticPr fontId="6" type="noConversion"/>
  </si>
  <si>
    <t>미정</t>
    <phoneticPr fontId="6" type="noConversion"/>
  </si>
  <si>
    <t>2,400 VI, 2,500 VI 여부 확인 필요 (~5/16)</t>
    <phoneticPr fontId="6" type="noConversion"/>
  </si>
  <si>
    <t>X25023</t>
    <phoneticPr fontId="6" type="noConversion"/>
  </si>
  <si>
    <t>X25028C</t>
    <phoneticPr fontId="6" type="noConversion"/>
  </si>
  <si>
    <t>기존 X25003 이물검사 이슈사항으로 X25009 → X250160 순서로 진행</t>
    <phoneticPr fontId="6" type="noConversion"/>
  </si>
  <si>
    <t>포장# 국내 100U (1월 생산분 1) X25004</t>
    <phoneticPr fontId="6" type="noConversion"/>
  </si>
  <si>
    <t>포장# 영국 50U (7월 대응물량)  X24125C</t>
    <phoneticPr fontId="6" type="noConversion"/>
  </si>
  <si>
    <t>UAE 100U(8월 대응 물량)</t>
    <phoneticPr fontId="6" type="noConversion"/>
  </si>
  <si>
    <t>칠레 100U (8월 대응)</t>
    <phoneticPr fontId="6" type="noConversion"/>
  </si>
  <si>
    <t>국내 100U (튀르키예 재포장)</t>
    <phoneticPr fontId="6" type="noConversion"/>
  </si>
  <si>
    <t>X24001A</t>
    <phoneticPr fontId="6" type="noConversion"/>
  </si>
  <si>
    <t>국내 200U (5월 생산분 1)</t>
    <phoneticPr fontId="6" type="noConversion"/>
  </si>
  <si>
    <t>X25033</t>
    <phoneticPr fontId="6" type="noConversion"/>
  </si>
  <si>
    <t>X25032E</t>
    <phoneticPr fontId="6" type="noConversion"/>
  </si>
  <si>
    <t>생산 #5-9 유럽 50U X25036</t>
    <phoneticPr fontId="6" type="noConversion"/>
  </si>
  <si>
    <t>포장# 독일/오스트리아 50U (Multi) (8월 대응 물량) X25028C</t>
    <phoneticPr fontId="6" type="noConversion"/>
  </si>
  <si>
    <t>X25035A</t>
    <phoneticPr fontId="6" type="noConversion"/>
  </si>
  <si>
    <t>X25036</t>
    <phoneticPr fontId="6" type="noConversion"/>
  </si>
  <si>
    <t>X25035C</t>
    <phoneticPr fontId="6" type="noConversion"/>
  </si>
  <si>
    <t>포장# 아일랜드 50U(8월 대응 물량) X25035C</t>
    <phoneticPr fontId="6" type="noConversion"/>
  </si>
  <si>
    <t>미국 100U(9월 대응 물량) (1)</t>
    <phoneticPr fontId="6" type="noConversion"/>
  </si>
  <si>
    <t>X25029</t>
    <phoneticPr fontId="6" type="noConversion"/>
  </si>
  <si>
    <t>미국 100U(9월 대응 물량) (2)</t>
    <phoneticPr fontId="6" type="noConversion"/>
  </si>
  <si>
    <t>X25030</t>
    <phoneticPr fontId="6" type="noConversion"/>
  </si>
  <si>
    <t>영국 50U(7월 대응 물량)</t>
    <phoneticPr fontId="6" type="noConversion"/>
  </si>
  <si>
    <t>X24125C, X25028A</t>
    <phoneticPr fontId="6" type="noConversion"/>
  </si>
  <si>
    <t>X24125A</t>
    <phoneticPr fontId="6" type="noConversion"/>
  </si>
  <si>
    <t>스페인 50U(7월 대응 물량)</t>
    <phoneticPr fontId="6" type="noConversion"/>
  </si>
  <si>
    <t>X24125E</t>
    <phoneticPr fontId="6" type="noConversion"/>
  </si>
  <si>
    <t>브라질 100U(8~9월 대응 물량)</t>
    <phoneticPr fontId="6" type="noConversion"/>
  </si>
  <si>
    <t>X25026</t>
    <phoneticPr fontId="6" type="noConversion"/>
  </si>
  <si>
    <t>태국 100U 3Q</t>
    <phoneticPr fontId="6" type="noConversion"/>
  </si>
  <si>
    <t>태국 200U 3Q</t>
    <phoneticPr fontId="6" type="noConversion"/>
  </si>
  <si>
    <t>이물검사인데</t>
    <phoneticPr fontId="5" type="noConversion"/>
  </si>
  <si>
    <t>국내 200U (6월 생산분2)</t>
    <phoneticPr fontId="6" type="noConversion"/>
  </si>
  <si>
    <t>국내 100U (6월 생산분1)</t>
    <phoneticPr fontId="6" type="noConversion"/>
  </si>
  <si>
    <t>국내 200U (5월 생산분 2)</t>
    <phoneticPr fontId="6" type="noConversion"/>
  </si>
  <si>
    <t>X25034</t>
    <phoneticPr fontId="6" type="noConversion"/>
  </si>
  <si>
    <t>국내 200U (6월 생산분1)</t>
    <phoneticPr fontId="6" type="noConversion"/>
  </si>
  <si>
    <t>프랑스 50U (8월 대응 물량)</t>
    <phoneticPr fontId="6" type="noConversion"/>
  </si>
  <si>
    <t>브라질 100U(9월 대응 물량) (2)</t>
    <phoneticPr fontId="6" type="noConversion"/>
  </si>
  <si>
    <t>브라질 200U(9월 대응 물량)</t>
    <phoneticPr fontId="6" type="noConversion"/>
  </si>
  <si>
    <t>X24090E</t>
    <phoneticPr fontId="6" type="noConversion"/>
  </si>
  <si>
    <t>포장# 국내 200U (5월 생산분 2)  X25034</t>
    <phoneticPr fontId="6" type="noConversion"/>
  </si>
  <si>
    <t>○</t>
    <phoneticPr fontId="6" type="noConversion"/>
  </si>
  <si>
    <t>브라질 100U(9월 (3) ~ 10월 대응 물량)</t>
    <phoneticPr fontId="6" type="noConversion"/>
  </si>
  <si>
    <t>X25040</t>
    <phoneticPr fontId="6" type="noConversion"/>
  </si>
  <si>
    <t>포장# 국내100U (5월 생산분 1) X25040</t>
    <phoneticPr fontId="6" type="noConversion"/>
  </si>
  <si>
    <t>생산 #6-3 국내 100U (자재이원화생산 PV) Z25002</t>
    <phoneticPr fontId="6" type="noConversion"/>
  </si>
  <si>
    <t>생산 #6-4 국내 100U (자재이원화생산 PV)  Z25003</t>
    <phoneticPr fontId="6" type="noConversion"/>
  </si>
  <si>
    <t>생산 #6-5 브라질 100U X25042</t>
    <phoneticPr fontId="6" type="noConversion"/>
  </si>
  <si>
    <t>S</t>
    <phoneticPr fontId="6" type="noConversion"/>
  </si>
  <si>
    <t>허가변경 완료 시 포장, 잔량 확인후 오더 발행 필요</t>
    <phoneticPr fontId="6" type="noConversion"/>
  </si>
  <si>
    <t>Z24007E</t>
    <phoneticPr fontId="6" type="noConversion"/>
  </si>
  <si>
    <t>국내 100U (7월 생산분2)</t>
    <phoneticPr fontId="6" type="noConversion"/>
  </si>
  <si>
    <t>국내 100U (7월 생산분3)</t>
    <phoneticPr fontId="6" type="noConversion"/>
  </si>
  <si>
    <t>6/5, 6/9 문서 일탈로 6/5 or 6/9 예상 됨</t>
    <phoneticPr fontId="32" type="noConversion"/>
  </si>
  <si>
    <t>포장# 미국 100U(8월 대응 물량) (1)  X25003</t>
    <phoneticPr fontId="6" type="noConversion"/>
  </si>
  <si>
    <t>미국 100U(8월 대응 물량) (1)</t>
    <phoneticPr fontId="6" type="noConversion"/>
  </si>
  <si>
    <t>미국 100U(6월 대응 물량) (2)</t>
    <phoneticPr fontId="6" type="noConversion"/>
  </si>
  <si>
    <t>포장# 미국 100U(6월 대응 물량) (2) X25002</t>
    <phoneticPr fontId="6" type="noConversion"/>
  </si>
  <si>
    <t>미국 100U(5월 대응 물량) (2)</t>
    <phoneticPr fontId="6" type="noConversion"/>
  </si>
  <si>
    <t>미국 100U(6월 대응 물량) (1)</t>
    <phoneticPr fontId="6" type="noConversion"/>
  </si>
  <si>
    <t>포장# 미국 100U(6월 대응 물량) (1) X25009</t>
    <phoneticPr fontId="6" type="noConversion"/>
  </si>
  <si>
    <t>포장# 미국 100U(6월 대응 물량) (2) X25016</t>
    <phoneticPr fontId="6" type="noConversion"/>
  </si>
  <si>
    <t>포장# 캐나다 100U(6월 대응 물량) X25013</t>
    <phoneticPr fontId="6" type="noConversion"/>
  </si>
  <si>
    <t>카타르 100U(8월 대응 물량)</t>
    <phoneticPr fontId="6" type="noConversion"/>
  </si>
  <si>
    <t>8월 선적전까지 기존 도안으로 진행, 11월 출하건 일련번호 관련 개정 필요</t>
    <phoneticPr fontId="6" type="noConversion"/>
  </si>
  <si>
    <t>X25015 잔량 전체 포장 , 22,073 → 19570 VI 로 조정 (일부 수량 아르헨티나 200U 포장, 5/30)</t>
    <phoneticPr fontId="6" type="noConversion"/>
  </si>
  <si>
    <t>포장# 베트남 100U (6월 대응 물량) X24114K</t>
    <phoneticPr fontId="6" type="noConversion"/>
  </si>
  <si>
    <t>○</t>
    <phoneticPr fontId="6" type="noConversion"/>
  </si>
  <si>
    <t>생산 #6-7 미국 100U X25044</t>
    <phoneticPr fontId="6" type="noConversion"/>
  </si>
  <si>
    <t>X25042</t>
    <phoneticPr fontId="6" type="noConversion"/>
  </si>
  <si>
    <t>포장# 브라질 100U(9월 대응 물량) (2) X25042</t>
    <phoneticPr fontId="6" type="noConversion"/>
  </si>
  <si>
    <t>포장# 태국 200U (3분기 대응 물량) X25015C</t>
    <phoneticPr fontId="6" type="noConversion"/>
  </si>
  <si>
    <t>생산 #4-4 캐나다 100U  X25013</t>
    <phoneticPr fontId="6" type="noConversion"/>
  </si>
  <si>
    <t>포장# 영국 50U (7월 대응물량)  X25028A</t>
    <phoneticPr fontId="6" type="noConversion"/>
  </si>
  <si>
    <t>국내 200U (7월 생산분1)</t>
    <phoneticPr fontId="6" type="noConversion"/>
  </si>
  <si>
    <t>우크라이나100U (7월 대응물량)</t>
    <phoneticPr fontId="6" type="noConversion"/>
  </si>
  <si>
    <t>기존 8월 선적 → 7월 선적</t>
    <phoneticPr fontId="6" type="noConversion"/>
  </si>
  <si>
    <t>X25032M</t>
    <phoneticPr fontId="6" type="noConversion"/>
  </si>
  <si>
    <t>자재이원화 안정성 포장</t>
    <phoneticPr fontId="6" type="noConversion"/>
  </si>
  <si>
    <t>ES (Multi) 50U (10월 대응 물량)</t>
    <phoneticPr fontId="6" type="noConversion"/>
  </si>
  <si>
    <t>태국 100U 4Q</t>
    <phoneticPr fontId="6" type="noConversion"/>
  </si>
  <si>
    <t>칠레 100U  (11월 대응 물량)</t>
    <phoneticPr fontId="6" type="noConversion"/>
  </si>
  <si>
    <t>국내 150U (3)</t>
    <phoneticPr fontId="6" type="noConversion"/>
  </si>
  <si>
    <t>X24114M</t>
    <phoneticPr fontId="6" type="noConversion"/>
  </si>
  <si>
    <t xml:space="preserve"> X25019</t>
    <phoneticPr fontId="6" type="noConversion"/>
  </si>
  <si>
    <t>포장# 스페인 50U 멀티 (7월 대응물량) X24125E</t>
    <phoneticPr fontId="6" type="noConversion"/>
  </si>
  <si>
    <t>포장# 베트남 100U (6월 대응 물량) X25032E</t>
    <phoneticPr fontId="6" type="noConversion"/>
  </si>
  <si>
    <t>생산 #6-8 유럽 50U X25045</t>
    <phoneticPr fontId="6" type="noConversion"/>
  </si>
  <si>
    <t>포장# 이탈리아 50U (Single) (8월 대응 물량) X25028E</t>
    <phoneticPr fontId="6" type="noConversion"/>
  </si>
  <si>
    <t>생산 #6-13 국내 200U  (스케일업원액) X25050</t>
    <phoneticPr fontId="6" type="noConversion"/>
  </si>
  <si>
    <t>포장# 칠레 100U (8월 대응)  X25032A</t>
    <phoneticPr fontId="6" type="noConversion"/>
  </si>
  <si>
    <t>포장# 필리핀 100U(7월 대응 물량) X24111H</t>
    <phoneticPr fontId="6" type="noConversion"/>
  </si>
  <si>
    <t>X25021A(14,000VI), X25021C(20,000VI)</t>
    <phoneticPr fontId="6" type="noConversion"/>
  </si>
  <si>
    <t>포장# 브라질 100U(9월 대응 물량) (3) X25047</t>
    <phoneticPr fontId="6" type="noConversion"/>
  </si>
  <si>
    <t>X25047</t>
    <phoneticPr fontId="6" type="noConversion"/>
  </si>
  <si>
    <t>생산 #6-12 ROW200 X25049</t>
    <phoneticPr fontId="6" type="noConversion"/>
  </si>
  <si>
    <t>생산 #4-10 (미국→ 국내) 100U X25020</t>
    <phoneticPr fontId="6" type="noConversion"/>
  </si>
  <si>
    <t>생산 #6-11 국내 200U  (스케일업원액) X25048</t>
    <phoneticPr fontId="6" type="noConversion"/>
  </si>
  <si>
    <t>X25048</t>
    <phoneticPr fontId="6" type="noConversion"/>
  </si>
  <si>
    <t>포장# 국내 200U (5월 생산분 1) X25033</t>
    <phoneticPr fontId="6" type="noConversion"/>
  </si>
  <si>
    <t>X24125C(15,719 VI), X25028A (18,445 VI)</t>
    <phoneticPr fontId="6" type="noConversion"/>
  </si>
  <si>
    <t>X25046</t>
    <phoneticPr fontId="6" type="noConversion"/>
  </si>
  <si>
    <t>포장# 국내 200U (6월 생산분 2)  X25048</t>
    <phoneticPr fontId="6" type="noConversion"/>
  </si>
  <si>
    <t>생산 #7-3 국내 200U (스케일업 원액) X25054</t>
    <phoneticPr fontId="6" type="noConversion"/>
  </si>
  <si>
    <t>생산 #5-10 ROW 100U X25032</t>
    <phoneticPr fontId="6" type="noConversion"/>
  </si>
  <si>
    <t xml:space="preserve"> 생산 #5-11 국내 200U (스케일업원액) X25033</t>
    <phoneticPr fontId="6" type="noConversion"/>
  </si>
  <si>
    <t>10월 (4,800) → 9월 (4,600) 변경</t>
    <phoneticPr fontId="6" type="noConversion"/>
  </si>
  <si>
    <t>7월 (11,000 VI) → 8월 (10,000VI) 변경 * 5/12, X24114N(5,881VI), X25032F(4,119VI)</t>
    <phoneticPr fontId="6" type="noConversion"/>
  </si>
  <si>
    <t>생산 #7-2 ROW 100U X25053</t>
    <phoneticPr fontId="6" type="noConversion"/>
  </si>
  <si>
    <t>일탈 종결 목표 (6/24)</t>
    <phoneticPr fontId="32" type="noConversion"/>
  </si>
  <si>
    <t>독일/오스트리아</t>
    <phoneticPr fontId="32" type="noConversion"/>
  </si>
  <si>
    <t>포장# 국내 100U (6월 생산분 1) X25051</t>
    <phoneticPr fontId="6" type="noConversion"/>
  </si>
  <si>
    <t>생산 #6-10 브라질 100U X25047</t>
    <phoneticPr fontId="6" type="noConversion"/>
  </si>
  <si>
    <t>포장# 미국 100U(8월 대응 물량) (2) X25021A,X25021C</t>
    <phoneticPr fontId="6" type="noConversion"/>
  </si>
  <si>
    <t>포장# UK 50U (10월 대응 물량) X25041</t>
    <phoneticPr fontId="6" type="noConversion"/>
  </si>
  <si>
    <t>사우디 100U(8월 대응 물량)</t>
    <phoneticPr fontId="6" type="noConversion"/>
  </si>
  <si>
    <t>페루 100U (8월 대응 물량)</t>
    <phoneticPr fontId="6" type="noConversion"/>
  </si>
  <si>
    <t>국내 100U (5월 생산분1)</t>
    <phoneticPr fontId="6" type="noConversion"/>
  </si>
  <si>
    <t>페루 100U (12월 대응 물량)</t>
    <phoneticPr fontId="6" type="noConversion"/>
  </si>
  <si>
    <t>6/24 생산의뢰서 확인 완료</t>
    <phoneticPr fontId="6" type="noConversion"/>
  </si>
  <si>
    <t>생산 #7-4 국내 100U (8000765) X25055</t>
    <phoneticPr fontId="6" type="noConversion"/>
  </si>
  <si>
    <t>포장# 국내 100U (7월 생산분 1) X25052</t>
    <phoneticPr fontId="6" type="noConversion"/>
  </si>
  <si>
    <t>포장# 국내 100U (7월 생산분 2) X25055</t>
    <phoneticPr fontId="6" type="noConversion"/>
  </si>
  <si>
    <t>생산 #7-5 브라질100U X25056</t>
    <phoneticPr fontId="6" type="noConversion"/>
  </si>
  <si>
    <t>생산 #7-6 미국 100U X25057</t>
    <phoneticPr fontId="6" type="noConversion"/>
  </si>
  <si>
    <t>생산 #7-7 미국 100U X25058</t>
    <phoneticPr fontId="6" type="noConversion"/>
  </si>
  <si>
    <t>포장# UAE 100U(8월 대응 물량) X24114N, X25032F</t>
    <phoneticPr fontId="6" type="noConversion"/>
  </si>
  <si>
    <t>포장# 국내 200U (6월 생산분 3) X25050</t>
    <phoneticPr fontId="6" type="noConversion"/>
  </si>
  <si>
    <t>포장# 브라질 100U(10월 대응 물량) (2) X25056</t>
    <phoneticPr fontId="6" type="noConversion"/>
  </si>
  <si>
    <t>우크라이나100 (9월 대응 물량)</t>
    <phoneticPr fontId="6" type="noConversion"/>
  </si>
  <si>
    <t>X25039C</t>
    <phoneticPr fontId="6" type="noConversion"/>
  </si>
  <si>
    <t>포장# 우크라이나100 (9월 대응 물량) X25039C</t>
    <phoneticPr fontId="6" type="noConversion"/>
  </si>
  <si>
    <t>ㅇ</t>
    <phoneticPr fontId="32" type="noConversion"/>
  </si>
  <si>
    <t>X24114F</t>
    <phoneticPr fontId="6" type="noConversion"/>
  </si>
  <si>
    <t>X25003</t>
    <phoneticPr fontId="6" type="noConversion"/>
  </si>
  <si>
    <t>X25021A, X25021C</t>
    <phoneticPr fontId="6" type="noConversion"/>
  </si>
  <si>
    <t>X25024</t>
    <phoneticPr fontId="6" type="noConversion"/>
  </si>
  <si>
    <t>X25028E</t>
    <phoneticPr fontId="6" type="noConversion"/>
  </si>
  <si>
    <t>X25035E</t>
    <phoneticPr fontId="6" type="noConversion"/>
  </si>
  <si>
    <t>X25027E, X25039A</t>
    <phoneticPr fontId="6" type="noConversion"/>
  </si>
  <si>
    <t>X24114N,X25032F</t>
    <phoneticPr fontId="6" type="noConversion"/>
  </si>
  <si>
    <t>X25032A</t>
    <phoneticPr fontId="6" type="noConversion"/>
  </si>
  <si>
    <t>X25032C</t>
    <phoneticPr fontId="6" type="noConversion"/>
  </si>
  <si>
    <t>포장# 이탈리아 50U (Single) (8월 대응 물량) X25035A</t>
    <phoneticPr fontId="6" type="noConversion"/>
  </si>
  <si>
    <t>포장# 우크라이나100U (7월 대응물량) X25032K</t>
    <phoneticPr fontId="6" type="noConversion"/>
  </si>
  <si>
    <t>생산 #7-9 미국 100U X25061</t>
    <phoneticPr fontId="6" type="noConversion"/>
  </si>
  <si>
    <t>생산 #7-11 브라질 100U X25063</t>
    <phoneticPr fontId="6" type="noConversion"/>
  </si>
  <si>
    <t>파나마 100U (2월 대응 물량)</t>
    <phoneticPr fontId="6" type="noConversion"/>
  </si>
  <si>
    <t>아르헨티나100U (8월 → 9월 대응물량)</t>
    <phoneticPr fontId="6" type="noConversion"/>
  </si>
  <si>
    <t>X25032H</t>
    <phoneticPr fontId="6" type="noConversion"/>
  </si>
  <si>
    <t>생산 #7-8 미국 100U X25060</t>
    <phoneticPr fontId="6" type="noConversion"/>
  </si>
  <si>
    <t>생산 #6-6 미국 100U X25043</t>
    <phoneticPr fontId="6" type="noConversion"/>
  </si>
  <si>
    <t>생산 #7-1 국내 100U  (8000765 원액) X25052</t>
    <phoneticPr fontId="6" type="noConversion"/>
  </si>
  <si>
    <t>생산 #7-12 유럽 50U X25064</t>
    <phoneticPr fontId="6" type="noConversion"/>
  </si>
  <si>
    <t>생산 #7-13 유럽 50U X25065</t>
    <phoneticPr fontId="6" type="noConversion"/>
  </si>
  <si>
    <t>생산 #7-14 국내 100U (8000765 원액)  X25066</t>
    <phoneticPr fontId="6" type="noConversion"/>
  </si>
  <si>
    <t>생산 #7-15 ROW 100U X25067</t>
    <phoneticPr fontId="6" type="noConversion"/>
  </si>
  <si>
    <t>X24111F</t>
    <phoneticPr fontId="6" type="noConversion"/>
  </si>
  <si>
    <t>포장# 사우디 100U(8월 대응 물량) X25027E, X25039A</t>
    <phoneticPr fontId="6" type="noConversion"/>
  </si>
  <si>
    <t>X25051</t>
  </si>
  <si>
    <t>생산 #7-17 ROW 100 X25068</t>
    <phoneticPr fontId="6" type="noConversion"/>
  </si>
  <si>
    <t>국내 150U (2)</t>
    <phoneticPr fontId="6" type="noConversion"/>
  </si>
  <si>
    <t>생산 #7-10 브라질 100U X25062</t>
    <phoneticPr fontId="6" type="noConversion"/>
  </si>
  <si>
    <t>PO 수량 (미정)이므로 확인후 발주</t>
    <phoneticPr fontId="6" type="noConversion"/>
  </si>
  <si>
    <t>생산 #7-16 캐나다 100U X25059</t>
    <phoneticPr fontId="6" type="noConversion"/>
  </si>
  <si>
    <t>X25069</t>
    <phoneticPr fontId="6" type="noConversion"/>
  </si>
  <si>
    <t xml:space="preserve">8월 내 or 9월 초 선적 요청 (추가 요청 수량), 기존 도안 </t>
    <phoneticPr fontId="6" type="noConversion"/>
  </si>
  <si>
    <t>포장# 카타르 100U(8월 대응 물량) X25032H</t>
    <phoneticPr fontId="6" type="noConversion"/>
  </si>
  <si>
    <t>포장# 브라질 100U  (11월 대응 물량) (1) X25062</t>
    <phoneticPr fontId="6" type="noConversion"/>
  </si>
  <si>
    <t>포장# 브라질 포장재 테스트</t>
    <phoneticPr fontId="6" type="noConversion"/>
  </si>
  <si>
    <t>싱가포르 100U (11월 대응물량)</t>
    <phoneticPr fontId="6" type="noConversion"/>
  </si>
  <si>
    <t>UK (12월 대응 물량)</t>
    <phoneticPr fontId="6" type="noConversion"/>
  </si>
  <si>
    <t>국내 100U (9월 생산분1)</t>
    <phoneticPr fontId="6" type="noConversion"/>
  </si>
  <si>
    <t>국내 200U (9월 생산분1)</t>
    <phoneticPr fontId="6" type="noConversion"/>
  </si>
  <si>
    <t>포장# 프랑스 50U (8월 대응 물량) X25035E</t>
    <phoneticPr fontId="6" type="noConversion"/>
  </si>
  <si>
    <t>포장# 영국 50U (8월 대응 물량) X25036</t>
    <phoneticPr fontId="6" type="noConversion"/>
  </si>
  <si>
    <t>미국 100U(11월 대응 물량) (1)</t>
    <phoneticPr fontId="6" type="noConversion"/>
  </si>
  <si>
    <t>미국 100U(12월 대응 물량) (1)</t>
    <phoneticPr fontId="6" type="noConversion"/>
  </si>
  <si>
    <t>X25031</t>
    <phoneticPr fontId="6" type="noConversion"/>
  </si>
  <si>
    <t>포장# 미국 100U(11월 대응 물량) (1)  X25031</t>
    <phoneticPr fontId="6" type="noConversion"/>
  </si>
  <si>
    <t>UK 50U (10월 대응 물량)</t>
    <phoneticPr fontId="6" type="noConversion"/>
  </si>
  <si>
    <t>X25041</t>
    <phoneticPr fontId="6" type="noConversion"/>
  </si>
  <si>
    <t>X25056</t>
    <phoneticPr fontId="6" type="noConversion"/>
  </si>
  <si>
    <t>대만 100U (10월 대응 물량)</t>
    <phoneticPr fontId="6" type="noConversion"/>
  </si>
  <si>
    <t>포장# 브라질 200U(9월 대응 물량) X24090E</t>
    <phoneticPr fontId="6" type="noConversion"/>
  </si>
  <si>
    <t>베트남 100U (11월 대응물량)</t>
    <phoneticPr fontId="6" type="noConversion"/>
  </si>
  <si>
    <t xml:space="preserve">DE/AT(Multi) 50U (11월 대응 물량) </t>
    <phoneticPr fontId="6" type="noConversion"/>
  </si>
  <si>
    <t>인도 100U (9월 대응 물량)</t>
    <phoneticPr fontId="6" type="noConversion"/>
  </si>
  <si>
    <t>인도 100U (10월 대응 물량)</t>
    <phoneticPr fontId="6" type="noConversion"/>
  </si>
  <si>
    <t>포장# 인도 100U (10월 대응 물량) X25039F</t>
    <phoneticPr fontId="6" type="noConversion"/>
  </si>
  <si>
    <t>X25032N</t>
    <phoneticPr fontId="6" type="noConversion"/>
  </si>
  <si>
    <t>카타르 100U (8~9월 대응 물량)</t>
    <phoneticPr fontId="6" type="noConversion"/>
  </si>
  <si>
    <t>국내 100U (7월 생산분1)</t>
    <phoneticPr fontId="6" type="noConversion"/>
  </si>
  <si>
    <t>X25052</t>
    <phoneticPr fontId="6" type="noConversion"/>
  </si>
  <si>
    <t>X25055</t>
    <phoneticPr fontId="6" type="noConversion"/>
  </si>
  <si>
    <t>국내 200U (6월 생산분3)</t>
    <phoneticPr fontId="6" type="noConversion"/>
  </si>
  <si>
    <t>X25050</t>
    <phoneticPr fontId="6" type="noConversion"/>
  </si>
  <si>
    <t>국내 150U (1)</t>
    <phoneticPr fontId="6" type="noConversion"/>
  </si>
  <si>
    <t>Z24005E</t>
    <phoneticPr fontId="6" type="noConversion"/>
  </si>
  <si>
    <t>* 포장 필요 제품</t>
    <phoneticPr fontId="6" type="noConversion"/>
  </si>
  <si>
    <t>X25037</t>
    <phoneticPr fontId="6" type="noConversion"/>
  </si>
  <si>
    <t>F</t>
    <phoneticPr fontId="6" type="noConversion"/>
  </si>
  <si>
    <t>출하예정</t>
    <phoneticPr fontId="20" type="noConversion"/>
  </si>
  <si>
    <t>포장# 국내 200U (6월 생산분 1)  X25046</t>
    <phoneticPr fontId="6" type="noConversion"/>
  </si>
  <si>
    <t>포장# 인도 100U (9월 대응 물량) X25032M</t>
    <phoneticPr fontId="6" type="noConversion"/>
  </si>
  <si>
    <t>포장# 태국 100U 4Q X25053C, X25067A</t>
    <phoneticPr fontId="6" type="noConversion"/>
  </si>
  <si>
    <t>X25032K</t>
    <phoneticPr fontId="6" type="noConversion"/>
  </si>
  <si>
    <t>X25039E</t>
    <phoneticPr fontId="6" type="noConversion"/>
  </si>
  <si>
    <t>X25061</t>
    <phoneticPr fontId="6" type="noConversion"/>
  </si>
  <si>
    <t xml:space="preserve">330 VI 파트너사 추가 선적 물량 , 도안 변경 , 생산의뢰서 330바이알 별도 체크 </t>
    <phoneticPr fontId="6" type="noConversion"/>
  </si>
  <si>
    <t>X25058</t>
    <phoneticPr fontId="6" type="noConversion"/>
  </si>
  <si>
    <t>포장# 대만 100U (10월 대응 물량) X25053A</t>
    <phoneticPr fontId="6" type="noConversion"/>
  </si>
  <si>
    <t>아르헨티나100U  (10월 대응 물량)</t>
    <phoneticPr fontId="6" type="noConversion"/>
  </si>
  <si>
    <t>10월 : 총 2,530 바이알, 30 바이알 (핸즈온 샘플, * 일련번호 제외 가능 여부 체크 필요)</t>
    <phoneticPr fontId="6" type="noConversion"/>
  </si>
  <si>
    <t xml:space="preserve"> PO 확인 완료 (8/14), 10월 발주 진행</t>
    <phoneticPr fontId="6" type="noConversion"/>
  </si>
  <si>
    <t xml:space="preserve">도안 변경 적용 필요 </t>
    <phoneticPr fontId="6" type="noConversion"/>
  </si>
  <si>
    <t>X25060</t>
    <phoneticPr fontId="6" type="noConversion"/>
  </si>
  <si>
    <t>DE/AT(Single) 50U (10월 대응 물량)</t>
    <phoneticPr fontId="6" type="noConversion"/>
  </si>
  <si>
    <t>○</t>
    <phoneticPr fontId="6" type="noConversion"/>
  </si>
  <si>
    <t>포장# 브라질 200U  (11월 대응 물량) X25049A</t>
    <phoneticPr fontId="6" type="noConversion"/>
  </si>
  <si>
    <t>미국 100U(11월 대응 물량) (2)</t>
    <phoneticPr fontId="6" type="noConversion"/>
  </si>
  <si>
    <t>France 50U (11월 대응 물량)</t>
    <phoneticPr fontId="6" type="noConversion"/>
  </si>
  <si>
    <t>이탈리아 -&gt; 스페인</t>
    <phoneticPr fontId="6" type="noConversion"/>
  </si>
  <si>
    <t>포장# 캐나다 100U(10월 대응 물량) X25059</t>
    <phoneticPr fontId="6" type="noConversion"/>
  </si>
  <si>
    <t>포장# 아르헨티나100U (8월→ 9월 대응물량) X25032N</t>
    <phoneticPr fontId="6" type="noConversion"/>
  </si>
  <si>
    <t>포장# 미국 100U(11월 대응 물량) (2)  X25037</t>
    <phoneticPr fontId="6" type="noConversion"/>
  </si>
  <si>
    <t>포장# 미국 100U(10월 대응 물량) (1)  X25023</t>
    <phoneticPr fontId="6" type="noConversion"/>
  </si>
  <si>
    <t>●</t>
    <phoneticPr fontId="32" type="noConversion"/>
  </si>
  <si>
    <t xml:space="preserve">ES(Multi) 50U (11월 대응 물량) </t>
    <phoneticPr fontId="6" type="noConversion"/>
  </si>
  <si>
    <t>브라질 100U(10월 대응 물량) (2) 11월(1)</t>
    <phoneticPr fontId="6" type="noConversion"/>
  </si>
  <si>
    <t>포장# 카타르 100U (8~9월 대응 물량) X25039E</t>
    <phoneticPr fontId="6" type="noConversion"/>
  </si>
  <si>
    <t>포장# 국내 150U (1) Z24005E</t>
    <phoneticPr fontId="6" type="noConversion"/>
  </si>
  <si>
    <t>X25063</t>
    <phoneticPr fontId="6" type="noConversion"/>
  </si>
  <si>
    <t>포장# 브라질 100U (11월 대응 물량) (1) X25063</t>
    <phoneticPr fontId="6" type="noConversion"/>
  </si>
  <si>
    <t>△</t>
    <phoneticPr fontId="6" type="noConversion"/>
  </si>
  <si>
    <t>X25053A</t>
    <phoneticPr fontId="6" type="noConversion"/>
  </si>
  <si>
    <t>X25043</t>
    <phoneticPr fontId="6" type="noConversion"/>
  </si>
  <si>
    <t>아랍에미레이트100U (10월 → 11월 대응 물량)</t>
    <phoneticPr fontId="6" type="noConversion"/>
  </si>
  <si>
    <t>포장# DE/AT(Single) 50U (10월 대응 물량) X25035F</t>
    <phoneticPr fontId="6" type="noConversion"/>
  </si>
  <si>
    <t>X24114E</t>
    <phoneticPr fontId="6" type="noConversion"/>
  </si>
  <si>
    <t>실제 포장 수량 5,933VI</t>
    <phoneticPr fontId="6" type="noConversion"/>
  </si>
  <si>
    <t>미국 100U(10월 대응 물량) (2)</t>
    <phoneticPr fontId="6" type="noConversion"/>
  </si>
  <si>
    <t>캐나다 100U(10월 대응 물량)</t>
    <phoneticPr fontId="6" type="noConversion"/>
  </si>
  <si>
    <t>브라질 100U (11월 대응 물량) (3)</t>
    <phoneticPr fontId="6" type="noConversion"/>
  </si>
  <si>
    <t>브라질 100U  (11월 대응 물량) (2)</t>
    <phoneticPr fontId="6" type="noConversion"/>
  </si>
  <si>
    <t>브라질 200U  (11월 대응 물량)</t>
    <phoneticPr fontId="6" type="noConversion"/>
  </si>
  <si>
    <t>태국 200U 4Q</t>
    <phoneticPr fontId="6" type="noConversion"/>
  </si>
  <si>
    <t>파나마 100U (11월 대응 물량)</t>
    <phoneticPr fontId="6" type="noConversion"/>
  </si>
  <si>
    <t>X25054</t>
    <phoneticPr fontId="6" type="noConversion"/>
  </si>
  <si>
    <t>봉함라벨 테스트</t>
    <phoneticPr fontId="6" type="noConversion"/>
  </si>
  <si>
    <t>미국 100U(12월 대응 물량) (1)</t>
    <phoneticPr fontId="6" type="noConversion"/>
  </si>
  <si>
    <t>포장# 미국 100U(10월 대응 물량) (2) X25020</t>
    <phoneticPr fontId="6" type="noConversion"/>
  </si>
  <si>
    <t>X25020</t>
    <phoneticPr fontId="6" type="noConversion"/>
  </si>
  <si>
    <t>X25044A</t>
    <phoneticPr fontId="6" type="noConversion"/>
  </si>
  <si>
    <t>포장# 미국 100U(11월 대응 물량) (2) X25044A</t>
    <phoneticPr fontId="6" type="noConversion"/>
  </si>
  <si>
    <t>미국 100U(10월 대응 물량) (3), 11월 (3)</t>
    <phoneticPr fontId="6" type="noConversion"/>
  </si>
  <si>
    <t>포장# 미국 100U (10월 대응 물량) (3), 11월 (3)X25043</t>
    <phoneticPr fontId="6" type="noConversion"/>
  </si>
  <si>
    <t>포장# 안정성 배치 포장 (X25022A)</t>
    <phoneticPr fontId="6" type="noConversion"/>
  </si>
  <si>
    <t>생산 #6-1 유럽 50U X25041</t>
    <phoneticPr fontId="6" type="noConversion"/>
  </si>
  <si>
    <t>생산 #5-13미국 100U X25037</t>
    <phoneticPr fontId="6" type="noConversion"/>
  </si>
  <si>
    <t>생산 #5-14 미국 100U X25038</t>
    <phoneticPr fontId="6" type="noConversion"/>
  </si>
  <si>
    <t>생산 #5-12 국내 200U (스케일업원액) X25034</t>
    <phoneticPr fontId="6" type="noConversion"/>
  </si>
  <si>
    <t>생산 #6-2 국내 100U (자재이원화생산 PV) Z25001</t>
    <phoneticPr fontId="6" type="noConversion"/>
  </si>
  <si>
    <t>생산 #6-9 국내 200U  (스케일업원액) X25046</t>
    <phoneticPr fontId="6" type="noConversion"/>
  </si>
  <si>
    <t>생산 #5-15 ROW 100U X25039</t>
    <phoneticPr fontId="6" type="noConversion"/>
  </si>
  <si>
    <t>생산 #5-16 국내 100U (스케일업원액) X25040</t>
    <phoneticPr fontId="6" type="noConversion"/>
  </si>
  <si>
    <t>생산 #9-2 ROW 100U X25071</t>
    <phoneticPr fontId="6" type="noConversion"/>
  </si>
  <si>
    <t>X25014</t>
    <phoneticPr fontId="6" type="noConversion"/>
  </si>
  <si>
    <t>포장# 파나마 100U(11월 대응 물량) X25067C</t>
    <phoneticPr fontId="6" type="noConversion"/>
  </si>
  <si>
    <t>포장# ES (Multi) 50U (10월 대응 물량) X25035H</t>
    <phoneticPr fontId="6" type="noConversion"/>
  </si>
  <si>
    <t>포장# 유럽 50U → 국내 50U X25014</t>
    <phoneticPr fontId="6" type="noConversion"/>
  </si>
  <si>
    <t>포장# 국내 200U (7월 생산분 1) X25054</t>
    <phoneticPr fontId="6" type="noConversion"/>
  </si>
  <si>
    <t>X24114H</t>
    <phoneticPr fontId="6" type="noConversion"/>
  </si>
  <si>
    <t>X25015C</t>
    <phoneticPr fontId="6" type="noConversion"/>
  </si>
  <si>
    <t>생산 #9-1 ROW 100U (사우디용) X25070</t>
    <phoneticPr fontId="6" type="noConversion"/>
  </si>
  <si>
    <t>X25045C</t>
    <phoneticPr fontId="6" type="noConversion"/>
  </si>
  <si>
    <t>포장# ES (Multi) 50U (10월 대응 물량) X25045A</t>
    <phoneticPr fontId="6" type="noConversion"/>
  </si>
  <si>
    <t>X25067H</t>
    <phoneticPr fontId="6" type="noConversion"/>
  </si>
  <si>
    <t>생산 #7-18 미국 100U X25069</t>
    <phoneticPr fontId="6" type="noConversion"/>
  </si>
  <si>
    <t xml:space="preserve">8/26 1.5만 도난 물량으로 일정 조정 </t>
    <phoneticPr fontId="6" type="noConversion"/>
  </si>
  <si>
    <t>2,400  VI → 2,300 VI  (8/19), PO 2,500VI으로 되어있어서 재확인 필요함</t>
    <phoneticPr fontId="6" type="noConversion"/>
  </si>
  <si>
    <t>PO확인 필요</t>
    <phoneticPr fontId="6" type="noConversion"/>
  </si>
  <si>
    <t>대만 100U (12월 대응물량)</t>
    <phoneticPr fontId="6" type="noConversion"/>
  </si>
  <si>
    <t>X25067K</t>
    <phoneticPr fontId="6" type="noConversion"/>
  </si>
  <si>
    <t>PO확인 필요 (9/17)</t>
    <phoneticPr fontId="6" type="noConversion"/>
  </si>
  <si>
    <t>포장# 베트남 100U (11월 대응물량) X25067K</t>
    <phoneticPr fontId="6" type="noConversion"/>
  </si>
  <si>
    <t>X25038</t>
    <phoneticPr fontId="6" type="noConversion"/>
  </si>
  <si>
    <t>X25059</t>
    <phoneticPr fontId="6" type="noConversion"/>
  </si>
  <si>
    <t>X25035F</t>
    <phoneticPr fontId="6" type="noConversion"/>
  </si>
  <si>
    <t>X25062</t>
    <phoneticPr fontId="6" type="noConversion"/>
  </si>
  <si>
    <t>X25049A</t>
    <phoneticPr fontId="6" type="noConversion"/>
  </si>
  <si>
    <t>X25053C, X25067A</t>
    <phoneticPr fontId="6" type="noConversion"/>
  </si>
  <si>
    <t>X25049C</t>
    <phoneticPr fontId="6" type="noConversion"/>
  </si>
  <si>
    <t>X25039F</t>
    <phoneticPr fontId="6" type="noConversion"/>
  </si>
  <si>
    <t>Z24006F</t>
    <phoneticPr fontId="6" type="noConversion"/>
  </si>
  <si>
    <t>X25066</t>
    <phoneticPr fontId="6" type="noConversion"/>
  </si>
  <si>
    <t>사우디 100U (12월 대응 물량) (1)</t>
    <phoneticPr fontId="6" type="noConversion"/>
  </si>
  <si>
    <t>사우디 100U (12월 대응 물량) (2)</t>
    <phoneticPr fontId="6" type="noConversion"/>
  </si>
  <si>
    <t>사우디 100U (11월 대응물량)</t>
    <phoneticPr fontId="6" type="noConversion"/>
  </si>
  <si>
    <t>X25070</t>
    <phoneticPr fontId="6" type="noConversion"/>
  </si>
  <si>
    <t>아르헨티나200  (12월 대응 물량)</t>
    <phoneticPr fontId="6" type="noConversion"/>
  </si>
  <si>
    <t>X25071A</t>
    <phoneticPr fontId="6" type="noConversion"/>
  </si>
  <si>
    <t>X25049E</t>
    <phoneticPr fontId="6" type="noConversion"/>
  </si>
  <si>
    <t>생산 #9-9  국내 200U X25078</t>
    <phoneticPr fontId="6" type="noConversion"/>
  </si>
  <si>
    <t>생산 #10-1 ROW 100U (사우디용) X25079</t>
    <phoneticPr fontId="6" type="noConversion"/>
  </si>
  <si>
    <t>생산 #9-7 ROW 100U  (브라질용) X25076</t>
    <phoneticPr fontId="6" type="noConversion"/>
  </si>
  <si>
    <t>X25064C</t>
    <phoneticPr fontId="6" type="noConversion"/>
  </si>
  <si>
    <t>인도네시아 100U (1월 대응 물량)</t>
    <phoneticPr fontId="6" type="noConversion"/>
  </si>
  <si>
    <t>포장# 아르헨티나100U (10월 대응 물량) X25067E</t>
    <phoneticPr fontId="6" type="noConversion"/>
  </si>
  <si>
    <t>X25071C</t>
    <phoneticPr fontId="6" type="noConversion"/>
  </si>
  <si>
    <t>X25035H, X25045A</t>
    <phoneticPr fontId="6" type="noConversion"/>
  </si>
  <si>
    <t>생산 #9-8 국내 100U X25077</t>
    <phoneticPr fontId="6" type="noConversion"/>
  </si>
  <si>
    <t>포장# 국내 100U (9월 생산분1) X25077</t>
    <phoneticPr fontId="6" type="noConversion"/>
  </si>
  <si>
    <t>X25077</t>
    <phoneticPr fontId="6" type="noConversion"/>
  </si>
  <si>
    <t>국내 100U (10월 생산분 1)</t>
    <phoneticPr fontId="6" type="noConversion"/>
  </si>
  <si>
    <t>생산 #10-3 ROW 100U (사우디용) X25081</t>
    <phoneticPr fontId="6" type="noConversion"/>
  </si>
  <si>
    <t>포장# 국내 150U (2) Z24006F</t>
    <phoneticPr fontId="6" type="noConversion"/>
  </si>
  <si>
    <t>포장# 미국 100U(12월 대응 물량) (1) X25038</t>
    <phoneticPr fontId="6" type="noConversion"/>
  </si>
  <si>
    <t>포장# 국내 150U (3) Z24007E</t>
    <phoneticPr fontId="6" type="noConversion"/>
  </si>
  <si>
    <t>국내 200U (10월 생산분 1)</t>
    <phoneticPr fontId="6" type="noConversion"/>
  </si>
  <si>
    <t>X25078</t>
    <phoneticPr fontId="6" type="noConversion"/>
  </si>
  <si>
    <t>포장# 국내 200U (9월 생산분1) X25078</t>
    <phoneticPr fontId="6" type="noConversion"/>
  </si>
  <si>
    <t>태국 자재 테스트</t>
    <phoneticPr fontId="6" type="noConversion"/>
  </si>
  <si>
    <t>아르헨티나100  (12월 대응 물량)</t>
    <phoneticPr fontId="6" type="noConversion"/>
  </si>
  <si>
    <t>포장# ES(Multi) 50U 50U (11월 대응 물량) X25064A</t>
    <phoneticPr fontId="6" type="noConversion"/>
  </si>
  <si>
    <t>포장# ES(Multi) 50U 50U (11월 대응 물량) X25064A</t>
    <phoneticPr fontId="6" type="noConversion"/>
  </si>
  <si>
    <t>X25064E</t>
    <phoneticPr fontId="6" type="noConversion"/>
  </si>
  <si>
    <t>X25064A</t>
    <phoneticPr fontId="6" type="noConversion"/>
  </si>
  <si>
    <t>포장# 국내 100U (7월 생산분 3) X25066</t>
    <phoneticPr fontId="6" type="noConversion"/>
  </si>
  <si>
    <t>에콰도르 100U (12월 대응물량)</t>
    <phoneticPr fontId="6" type="noConversion"/>
  </si>
  <si>
    <t>생산 #9-5 캐나다 100U X25074</t>
    <phoneticPr fontId="6" type="noConversion"/>
  </si>
  <si>
    <t>X25083</t>
    <phoneticPr fontId="6" type="noConversion"/>
  </si>
  <si>
    <t>X25074</t>
    <phoneticPr fontId="6" type="noConversion"/>
  </si>
  <si>
    <t>설날</t>
    <phoneticPr fontId="6" type="noConversion"/>
  </si>
  <si>
    <t>대체휴일</t>
    <phoneticPr fontId="6" type="noConversion"/>
  </si>
  <si>
    <t>지방선거</t>
    <phoneticPr fontId="6" type="noConversion"/>
  </si>
  <si>
    <t>현충일</t>
    <phoneticPr fontId="6" type="noConversion"/>
  </si>
  <si>
    <t>대체휴일</t>
    <phoneticPr fontId="6" type="noConversion"/>
  </si>
  <si>
    <t>추석</t>
    <phoneticPr fontId="6" type="noConversion"/>
  </si>
  <si>
    <t>추석</t>
    <phoneticPr fontId="6" type="noConversion"/>
  </si>
  <si>
    <t>대체휴일</t>
    <phoneticPr fontId="6" type="noConversion"/>
  </si>
  <si>
    <t>성탄절</t>
    <phoneticPr fontId="6" type="noConversion"/>
  </si>
  <si>
    <t>광복절</t>
    <phoneticPr fontId="6" type="noConversion"/>
  </si>
  <si>
    <t>부처님 오신날</t>
    <phoneticPr fontId="6" type="noConversion"/>
  </si>
  <si>
    <t>삼일절</t>
    <phoneticPr fontId="6" type="noConversion"/>
  </si>
  <si>
    <t>포장# 태국 200U 4Q X25049C</t>
    <phoneticPr fontId="6" type="noConversion"/>
  </si>
  <si>
    <t>포장# 국내 100U (10월 생산분1) X25083</t>
    <phoneticPr fontId="6" type="noConversion"/>
  </si>
  <si>
    <t>포장# 미국 100U (10월 선적-2)   X25058</t>
    <phoneticPr fontId="6" type="noConversion"/>
  </si>
  <si>
    <t>포장# 미국 100U (10월 선적-3) X25060</t>
    <phoneticPr fontId="6" type="noConversion"/>
  </si>
  <si>
    <t>포장# 미국 100U  (10월 선적-4) X25061</t>
    <phoneticPr fontId="6" type="noConversion"/>
  </si>
  <si>
    <t>포장# 미국 100U (10월 선적-1)  X25057</t>
    <phoneticPr fontId="6" type="noConversion"/>
  </si>
  <si>
    <t>X25057</t>
    <phoneticPr fontId="6" type="noConversion"/>
  </si>
  <si>
    <t>포장# 국내 150U (3) Z24007E</t>
    <phoneticPr fontId="6" type="noConversion"/>
  </si>
  <si>
    <t>포장#  아르헨티나100  (12월 대응 물량) X25071A</t>
    <phoneticPr fontId="6" type="noConversion"/>
  </si>
  <si>
    <t>포장# 미국 100U (11월 선적-2) X25072</t>
    <phoneticPr fontId="6" type="noConversion"/>
  </si>
  <si>
    <t>포장# 미국 100U (11월 선적-3) X25073</t>
    <phoneticPr fontId="6" type="noConversion"/>
  </si>
  <si>
    <t xml:space="preserve">포장# 미국 100U (11월 선적-4) X25084 </t>
    <phoneticPr fontId="6" type="noConversion"/>
  </si>
  <si>
    <t>10/</t>
    <phoneticPr fontId="6" type="noConversion"/>
  </si>
  <si>
    <t>포장#국내 200U (12월 생산분 3) X24109</t>
    <phoneticPr fontId="6" type="noConversion"/>
  </si>
  <si>
    <t>포장#국내 200U (12월 생산분 1) X24107</t>
    <phoneticPr fontId="6" type="noConversion"/>
  </si>
  <si>
    <t>미국 100U (조기선적 - 10월 (1))</t>
    <phoneticPr fontId="6" type="noConversion"/>
  </si>
  <si>
    <t>미국 100U (조기선적 - 10월 (2))</t>
  </si>
  <si>
    <t>미국 100U (조기선적 - 10월 (3))</t>
  </si>
  <si>
    <t>미국 100U (조기선적 - 10월 (4))</t>
    <phoneticPr fontId="6" type="noConversion"/>
  </si>
  <si>
    <t>미국 100U (조기선적 - 11월 (1))</t>
    <phoneticPr fontId="6" type="noConversion"/>
  </si>
  <si>
    <t>미국 100U (조기선적 - 11월 (2))</t>
    <phoneticPr fontId="6" type="noConversion"/>
  </si>
  <si>
    <t>X25072</t>
    <phoneticPr fontId="6" type="noConversion"/>
  </si>
  <si>
    <t>미국 100U (조기선적 - 11월 (3))</t>
    <phoneticPr fontId="6" type="noConversion"/>
  </si>
  <si>
    <t>X25073</t>
    <phoneticPr fontId="6" type="noConversion"/>
  </si>
  <si>
    <t>미국 100U (조기선적 - 11월 (4))</t>
    <phoneticPr fontId="6" type="noConversion"/>
  </si>
  <si>
    <t>X25084</t>
    <phoneticPr fontId="6" type="noConversion"/>
  </si>
  <si>
    <t>X25085</t>
    <phoneticPr fontId="6" type="noConversion"/>
  </si>
  <si>
    <t>X25086</t>
    <phoneticPr fontId="6" type="noConversion"/>
  </si>
  <si>
    <t>X25087</t>
    <phoneticPr fontId="6" type="noConversion"/>
  </si>
  <si>
    <t>X25088</t>
    <phoneticPr fontId="6" type="noConversion"/>
  </si>
  <si>
    <t>X25089</t>
    <phoneticPr fontId="6" type="noConversion"/>
  </si>
  <si>
    <t>포장# 미국 100U (11월 선적-5) X25085</t>
    <phoneticPr fontId="6" type="noConversion"/>
  </si>
  <si>
    <t>포장# 미국 100U (11월 선적-7)  X25087</t>
    <phoneticPr fontId="6" type="noConversion"/>
  </si>
  <si>
    <t>포장# 미국 100U  (11월 선적-8)  X25088</t>
    <phoneticPr fontId="6" type="noConversion"/>
  </si>
  <si>
    <t>포장# 미국 100U  (11월 선적-9)  X25089</t>
    <phoneticPr fontId="6" type="noConversion"/>
  </si>
  <si>
    <t xml:space="preserve">캐나다 100U(12-1월 대응 물량) </t>
    <phoneticPr fontId="6" type="noConversion"/>
  </si>
  <si>
    <t>이집트 100U (12월 대응 물량)</t>
    <phoneticPr fontId="6" type="noConversion"/>
  </si>
  <si>
    <t>X25071E</t>
    <phoneticPr fontId="6" type="noConversion"/>
  </si>
  <si>
    <t>X25081</t>
    <phoneticPr fontId="6" type="noConversion"/>
  </si>
  <si>
    <t>유럽 50U → 국내 50U</t>
    <phoneticPr fontId="6" type="noConversion"/>
  </si>
  <si>
    <t>미국 100U (조기선적 - 11월 (5))</t>
  </si>
  <si>
    <t>미국 100U (조기선적 - 11월 (6))</t>
  </si>
  <si>
    <t>미국 100U (조기선적 - 11월 (7))</t>
  </si>
  <si>
    <t>미국 100U (조기선적 - 11월 (8))</t>
  </si>
  <si>
    <t>미국 100U (조기선적 - 11월 (9))</t>
  </si>
  <si>
    <t>국내 100U (11월 생산분 2)</t>
    <phoneticPr fontId="6" type="noConversion"/>
  </si>
  <si>
    <t>미정</t>
    <phoneticPr fontId="6" type="noConversion"/>
  </si>
  <si>
    <t>미정</t>
    <phoneticPr fontId="6" type="noConversion"/>
  </si>
  <si>
    <t>X25064K, X25075A</t>
    <phoneticPr fontId="6" type="noConversion"/>
  </si>
  <si>
    <t>브라질 200U (2월 대응 물량)</t>
    <phoneticPr fontId="6" type="noConversion"/>
  </si>
  <si>
    <t>아르헨티나 200U (1월 대응 물량)</t>
    <phoneticPr fontId="6" type="noConversion"/>
  </si>
  <si>
    <t>생산 #10-13  ROW 100U  (브라질용) X25091</t>
    <phoneticPr fontId="6" type="noConversion"/>
  </si>
  <si>
    <t>포장# 아랍에미레이트100U (11월 대응 물량) X25068A</t>
    <phoneticPr fontId="6" type="noConversion"/>
  </si>
  <si>
    <t>X25067C</t>
    <phoneticPr fontId="6" type="noConversion"/>
  </si>
  <si>
    <t>포장# 아랍에미레이트100U (11월 대응 물량) X25039H</t>
    <phoneticPr fontId="6" type="noConversion"/>
  </si>
  <si>
    <t>생산 #9-4 미국100U X25073</t>
    <phoneticPr fontId="6" type="noConversion"/>
  </si>
  <si>
    <t>생산 #9-3 미국100U X25072</t>
    <phoneticPr fontId="6" type="noConversion"/>
  </si>
  <si>
    <t>생산 #9-6 유럽 50U X25075</t>
    <phoneticPr fontId="6" type="noConversion"/>
  </si>
  <si>
    <t>생산 #10-2 ROW 200U X25080</t>
    <phoneticPr fontId="6" type="noConversion"/>
  </si>
  <si>
    <t>생산 #10-4 미국100U X25084</t>
    <phoneticPr fontId="6" type="noConversion"/>
  </si>
  <si>
    <t>생산 #10-5 미국100U X25085</t>
    <phoneticPr fontId="6" type="noConversion"/>
  </si>
  <si>
    <t>생산 #10-6 미국100U X25086</t>
    <phoneticPr fontId="6" type="noConversion"/>
  </si>
  <si>
    <t>생산 #10-7 미국100U X25087</t>
    <phoneticPr fontId="6" type="noConversion"/>
  </si>
  <si>
    <t>생산 #10-8 미국100U X25088</t>
    <phoneticPr fontId="6" type="noConversion"/>
  </si>
  <si>
    <t>생산 #10-9 미국100U X25089</t>
    <phoneticPr fontId="6" type="noConversion"/>
  </si>
  <si>
    <t>생산 #10-11 유럽50U X25082</t>
    <phoneticPr fontId="6" type="noConversion"/>
  </si>
  <si>
    <t>X25079</t>
    <phoneticPr fontId="6" type="noConversion"/>
  </si>
  <si>
    <t>포장# 사우디 100U (12월 대응 물량) (1) X25079</t>
    <phoneticPr fontId="6" type="noConversion"/>
  </si>
  <si>
    <t>포장# 사우디 100U (12월 대응 물량) (2) X25081</t>
    <phoneticPr fontId="6" type="noConversion"/>
  </si>
  <si>
    <t>X25090</t>
    <phoneticPr fontId="6" type="noConversion"/>
  </si>
  <si>
    <t>국내 100U (11월 생산분 3)</t>
  </si>
  <si>
    <t>국내 100U (11월 생산분 4)</t>
  </si>
  <si>
    <t>국내 200U (11월 생산분 1)</t>
    <phoneticPr fontId="6" type="noConversion"/>
  </si>
  <si>
    <t>호주 100U(2월 대응 물량)</t>
    <phoneticPr fontId="6" type="noConversion"/>
  </si>
  <si>
    <t>ES Multi (1월 대응물량)</t>
    <phoneticPr fontId="6" type="noConversion"/>
  </si>
  <si>
    <t>UK (1월 대응물량)</t>
    <phoneticPr fontId="6" type="noConversion"/>
  </si>
  <si>
    <t xml:space="preserve">DE/AT(Single) (1월 대응 물량) </t>
    <phoneticPr fontId="6" type="noConversion"/>
  </si>
  <si>
    <t>X25075C</t>
    <phoneticPr fontId="6" type="noConversion"/>
  </si>
  <si>
    <t>생산 #12-7 미국100U</t>
    <phoneticPr fontId="6" type="noConversion"/>
  </si>
  <si>
    <t>생산 #12-15 ROW100U</t>
    <phoneticPr fontId="6" type="noConversion"/>
  </si>
  <si>
    <t>국내 100U (9000623 코드 포장)</t>
    <phoneticPr fontId="6" type="noConversion"/>
  </si>
  <si>
    <t>생산 #6-14 국내 100U (스케일업원액) X25051</t>
    <phoneticPr fontId="6" type="noConversion"/>
  </si>
  <si>
    <t>생산 #10-10 국내 200U X25090</t>
    <phoneticPr fontId="6" type="noConversion"/>
  </si>
  <si>
    <t>포장# ES Multi (1월 대응물량) X25075C</t>
    <phoneticPr fontId="6" type="noConversion"/>
  </si>
  <si>
    <t>포장# France 50U (11월 대응 물량) X25064C</t>
    <phoneticPr fontId="6" type="noConversion"/>
  </si>
  <si>
    <t>포장# DE/AT(Single) (1월 대응 물량)  X25064K, X25075A</t>
    <phoneticPr fontId="6" type="noConversion"/>
  </si>
  <si>
    <t xml:space="preserve">브라질 100U (1월 대응 물량) </t>
    <phoneticPr fontId="6" type="noConversion"/>
  </si>
  <si>
    <t>X25076</t>
    <phoneticPr fontId="6" type="noConversion"/>
  </si>
  <si>
    <t>X25049F, X25080A</t>
    <phoneticPr fontId="6" type="noConversion"/>
  </si>
  <si>
    <t>IE(Single) (12월 대응 물량)</t>
    <phoneticPr fontId="6" type="noConversion"/>
  </si>
  <si>
    <t>X25064F</t>
    <phoneticPr fontId="6" type="noConversion"/>
  </si>
  <si>
    <t>포장# IE(Single) (12월 대응 물량)  X25064F</t>
    <phoneticPr fontId="6" type="noConversion"/>
  </si>
  <si>
    <t>국내 100U (안정성 포장 12/1 LotA)</t>
    <phoneticPr fontId="6" type="noConversion"/>
  </si>
  <si>
    <t>2025-12-01 A</t>
    <phoneticPr fontId="6" type="noConversion"/>
  </si>
  <si>
    <t>포장# 사우디 100U (11월 대응물량) X25070</t>
    <phoneticPr fontId="6" type="noConversion"/>
  </si>
  <si>
    <t>생산 #11-1 유럽50U X25092</t>
    <phoneticPr fontId="6" type="noConversion"/>
  </si>
  <si>
    <t>7963 -&gt; 7890</t>
    <phoneticPr fontId="6" type="noConversion"/>
  </si>
  <si>
    <t>X25067E</t>
    <phoneticPr fontId="6" type="noConversion"/>
  </si>
  <si>
    <t>포장# 사우디 100U(6월 대응 물량) X25019</t>
    <phoneticPr fontId="6" type="noConversion"/>
  </si>
  <si>
    <t>포장#  UK (12월 대응 물량) X25045C</t>
    <phoneticPr fontId="6" type="noConversion"/>
  </si>
  <si>
    <t>X25039H, X25068A</t>
    <phoneticPr fontId="6" type="noConversion"/>
  </si>
  <si>
    <t xml:space="preserve">봉함라벨 Test </t>
    <phoneticPr fontId="6" type="noConversion"/>
  </si>
  <si>
    <t>포장#  대만 100U (12월 대응 물량) X25068E</t>
    <phoneticPr fontId="6" type="noConversion"/>
  </si>
  <si>
    <t>포장# 싱가포르 100U (11월 대응물량) X25067H</t>
    <phoneticPr fontId="6" type="noConversion"/>
  </si>
  <si>
    <t>X25068E</t>
    <phoneticPr fontId="6" type="noConversion"/>
  </si>
  <si>
    <t>포장# 칠레 100U  (11월 대응 물량) X25068C</t>
    <phoneticPr fontId="6" type="noConversion"/>
  </si>
  <si>
    <t xml:space="preserve">출하승인 2월 </t>
    <phoneticPr fontId="6" type="noConversion"/>
  </si>
  <si>
    <t>포장# DE/AT(Multi) 50U (11월 대응 물량)  X25064E</t>
    <phoneticPr fontId="6" type="noConversion"/>
  </si>
  <si>
    <t xml:space="preserve"> </t>
    <phoneticPr fontId="6" type="noConversion"/>
  </si>
  <si>
    <t>생산 #11-2 ROW100U X25093</t>
    <phoneticPr fontId="6" type="noConversion"/>
  </si>
  <si>
    <t>생산 #11-3 유럽50U X25094</t>
    <phoneticPr fontId="6" type="noConversion"/>
  </si>
  <si>
    <t>생산 #11-4 국내100U (중국원액) X25095</t>
    <phoneticPr fontId="6" type="noConversion"/>
  </si>
  <si>
    <t>생산 #11-5 유럽50U X25096</t>
    <phoneticPr fontId="6" type="noConversion"/>
  </si>
  <si>
    <t>생산 #11-6 국내200U (중국원액) X25097</t>
    <phoneticPr fontId="6" type="noConversion"/>
  </si>
  <si>
    <t>생산 #11-7 호주100U X25098</t>
    <phoneticPr fontId="6" type="noConversion"/>
  </si>
  <si>
    <t>생산 #11-8 국내100U (중국원액) X25099</t>
    <phoneticPr fontId="6" type="noConversion"/>
  </si>
  <si>
    <t>X25064H</t>
    <phoneticPr fontId="6" type="noConversion"/>
  </si>
  <si>
    <t>브라질100</t>
    <phoneticPr fontId="6" type="noConversion"/>
  </si>
  <si>
    <t>F</t>
    <phoneticPr fontId="6" type="noConversion"/>
  </si>
  <si>
    <t>F</t>
    <phoneticPr fontId="6" type="noConversion"/>
  </si>
  <si>
    <t>S</t>
    <phoneticPr fontId="6" type="noConversion"/>
  </si>
  <si>
    <t>F</t>
    <phoneticPr fontId="6" type="noConversion"/>
  </si>
  <si>
    <t>F</t>
    <phoneticPr fontId="6" type="noConversion"/>
  </si>
  <si>
    <t>S</t>
    <phoneticPr fontId="6" type="noConversion"/>
  </si>
  <si>
    <t>F</t>
    <phoneticPr fontId="6" type="noConversion"/>
  </si>
  <si>
    <t>F</t>
    <phoneticPr fontId="6" type="noConversion"/>
  </si>
  <si>
    <t>미국100</t>
    <phoneticPr fontId="6" type="noConversion"/>
  </si>
  <si>
    <t>국내100</t>
    <phoneticPr fontId="6" type="noConversion"/>
  </si>
  <si>
    <t>국내200</t>
    <phoneticPr fontId="6" type="noConversion"/>
  </si>
  <si>
    <t>UK 69520</t>
    <phoneticPr fontId="6" type="noConversion"/>
  </si>
  <si>
    <t>ITALY 69591</t>
    <phoneticPr fontId="6" type="noConversion"/>
  </si>
  <si>
    <t>DE/AT 69521 (Single)</t>
    <phoneticPr fontId="6" type="noConversion"/>
  </si>
  <si>
    <t>DE/AT 69701 (Multipack)</t>
    <phoneticPr fontId="6" type="noConversion"/>
  </si>
  <si>
    <t>FR 69522 (Single)</t>
    <phoneticPr fontId="6" type="noConversion"/>
  </si>
  <si>
    <t>브라질 200U</t>
    <phoneticPr fontId="6" type="noConversion"/>
  </si>
  <si>
    <t>태국100U</t>
    <phoneticPr fontId="6" type="noConversion"/>
  </si>
  <si>
    <t>태국 200U</t>
    <phoneticPr fontId="6" type="noConversion"/>
  </si>
  <si>
    <t>아랍에미레이트</t>
    <phoneticPr fontId="6" type="noConversion"/>
  </si>
  <si>
    <t>아르헨티나</t>
    <phoneticPr fontId="6" type="noConversion"/>
  </si>
  <si>
    <t>우크라이나</t>
    <phoneticPr fontId="6" type="noConversion"/>
  </si>
  <si>
    <t>칠레</t>
    <phoneticPr fontId="6" type="noConversion"/>
  </si>
  <si>
    <t>말레이시아</t>
    <phoneticPr fontId="6" type="noConversion"/>
  </si>
  <si>
    <t>싱가포르</t>
    <phoneticPr fontId="6" type="noConversion"/>
  </si>
  <si>
    <t>베트남</t>
    <phoneticPr fontId="6" type="noConversion"/>
  </si>
  <si>
    <t>에콰도르</t>
    <phoneticPr fontId="6" type="noConversion"/>
  </si>
  <si>
    <t>페루</t>
    <phoneticPr fontId="6" type="noConversion"/>
  </si>
  <si>
    <t>카타르</t>
    <phoneticPr fontId="6" type="noConversion"/>
  </si>
  <si>
    <t>S</t>
    <phoneticPr fontId="6" type="noConversion"/>
  </si>
  <si>
    <t>일련번호 적용 (시스템 테스트, 포장지시 및 기록서 개정)</t>
    <phoneticPr fontId="6" type="noConversion"/>
  </si>
  <si>
    <t>쿠웨이트</t>
    <phoneticPr fontId="6" type="noConversion"/>
  </si>
  <si>
    <t>캐나다</t>
    <phoneticPr fontId="6" type="noConversion"/>
  </si>
  <si>
    <t>사우디</t>
    <phoneticPr fontId="6" type="noConversion"/>
  </si>
  <si>
    <t>미국100</t>
    <phoneticPr fontId="6" type="noConversion"/>
  </si>
  <si>
    <t>국내100</t>
    <phoneticPr fontId="6" type="noConversion"/>
  </si>
  <si>
    <t>IE 69530 (Single)</t>
    <phoneticPr fontId="6" type="noConversion"/>
  </si>
  <si>
    <t>S</t>
    <phoneticPr fontId="6" type="noConversion"/>
  </si>
  <si>
    <t>FR 69522 (Single)</t>
    <phoneticPr fontId="6" type="noConversion"/>
  </si>
  <si>
    <t>브라질 200U</t>
    <phoneticPr fontId="6" type="noConversion"/>
  </si>
  <si>
    <t>태국100U</t>
    <phoneticPr fontId="6" type="noConversion"/>
  </si>
  <si>
    <t>S</t>
    <phoneticPr fontId="6" type="noConversion"/>
  </si>
  <si>
    <t>태국 200U</t>
    <phoneticPr fontId="6" type="noConversion"/>
  </si>
  <si>
    <t>S</t>
    <phoneticPr fontId="6" type="noConversion"/>
  </si>
  <si>
    <t>S</t>
    <phoneticPr fontId="6" type="noConversion"/>
  </si>
  <si>
    <t>이집트</t>
    <phoneticPr fontId="6" type="noConversion"/>
  </si>
  <si>
    <t>말레이시아</t>
    <phoneticPr fontId="6" type="noConversion"/>
  </si>
  <si>
    <t>이라크</t>
    <phoneticPr fontId="6" type="noConversion"/>
  </si>
  <si>
    <t xml:space="preserve">자재이원화 PV </t>
    <phoneticPr fontId="6" type="noConversion"/>
  </si>
  <si>
    <t xml:space="preserve">자재이원화 PV </t>
    <phoneticPr fontId="6" type="noConversion"/>
  </si>
  <si>
    <t xml:space="preserve">자재이원화 PV </t>
    <phoneticPr fontId="6" type="noConversion"/>
  </si>
  <si>
    <t>F</t>
    <phoneticPr fontId="6" type="noConversion"/>
  </si>
  <si>
    <t>브라질100</t>
    <phoneticPr fontId="6" type="noConversion"/>
  </si>
  <si>
    <t>미국100</t>
    <phoneticPr fontId="6" type="noConversion"/>
  </si>
  <si>
    <t>국내200</t>
    <phoneticPr fontId="6" type="noConversion"/>
  </si>
  <si>
    <t>UK 69520</t>
    <phoneticPr fontId="6" type="noConversion"/>
  </si>
  <si>
    <t>F</t>
    <phoneticPr fontId="6" type="noConversion"/>
  </si>
  <si>
    <t>S</t>
    <phoneticPr fontId="6" type="noConversion"/>
  </si>
  <si>
    <t>FR 69522 (Single)</t>
    <phoneticPr fontId="6" type="noConversion"/>
  </si>
  <si>
    <t>브라질 200U</t>
    <phoneticPr fontId="6" type="noConversion"/>
  </si>
  <si>
    <t>브라질100</t>
    <phoneticPr fontId="6" type="noConversion"/>
  </si>
  <si>
    <t>태국100U</t>
    <phoneticPr fontId="6" type="noConversion"/>
  </si>
  <si>
    <t>칠레</t>
    <phoneticPr fontId="6" type="noConversion"/>
  </si>
  <si>
    <t>페루</t>
    <phoneticPr fontId="6" type="noConversion"/>
  </si>
  <si>
    <t>카타르</t>
    <phoneticPr fontId="6" type="noConversion"/>
  </si>
  <si>
    <t>쿠웨이트</t>
    <phoneticPr fontId="6" type="noConversion"/>
  </si>
  <si>
    <t>바레인</t>
    <phoneticPr fontId="6" type="noConversion"/>
  </si>
  <si>
    <t>미국100</t>
    <phoneticPr fontId="6" type="noConversion"/>
  </si>
  <si>
    <t>국내100</t>
    <phoneticPr fontId="6" type="noConversion"/>
  </si>
  <si>
    <t>국내200</t>
    <phoneticPr fontId="6" type="noConversion"/>
  </si>
  <si>
    <t>S</t>
    <phoneticPr fontId="6" type="noConversion"/>
  </si>
  <si>
    <t>아르헨티나</t>
    <phoneticPr fontId="6" type="noConversion"/>
  </si>
  <si>
    <t>우크라이나</t>
    <phoneticPr fontId="6" type="noConversion"/>
  </si>
  <si>
    <t>파나마</t>
    <phoneticPr fontId="6" type="noConversion"/>
  </si>
  <si>
    <t>쿠웨이트</t>
    <phoneticPr fontId="6" type="noConversion"/>
  </si>
  <si>
    <t>바레인</t>
    <phoneticPr fontId="6" type="noConversion"/>
  </si>
  <si>
    <t>F</t>
    <phoneticPr fontId="6" type="noConversion"/>
  </si>
  <si>
    <t>국내200</t>
    <phoneticPr fontId="6" type="noConversion"/>
  </si>
  <si>
    <t>Spain 69702 (Multipack)</t>
    <phoneticPr fontId="6" type="noConversion"/>
  </si>
  <si>
    <t>IE 69530 (Single)</t>
    <phoneticPr fontId="6" type="noConversion"/>
  </si>
  <si>
    <t>브라질 200U</t>
    <phoneticPr fontId="6" type="noConversion"/>
  </si>
  <si>
    <t>S</t>
    <phoneticPr fontId="6" type="noConversion"/>
  </si>
  <si>
    <t>베트남</t>
    <phoneticPr fontId="6" type="noConversion"/>
  </si>
  <si>
    <t xml:space="preserve">7월 PO </t>
    <phoneticPr fontId="6" type="noConversion"/>
  </si>
  <si>
    <t>5월 생산 5월 포장</t>
    <phoneticPr fontId="6" type="noConversion"/>
  </si>
  <si>
    <t>DE/AT 69521 (Single)</t>
    <phoneticPr fontId="6" type="noConversion"/>
  </si>
  <si>
    <t>S</t>
    <phoneticPr fontId="6" type="noConversion"/>
  </si>
  <si>
    <t>태국 200U</t>
    <phoneticPr fontId="6" type="noConversion"/>
  </si>
  <si>
    <t>대만</t>
    <phoneticPr fontId="6" type="noConversion"/>
  </si>
  <si>
    <t>아르헨티나</t>
    <phoneticPr fontId="6" type="noConversion"/>
  </si>
  <si>
    <t>인도네시아</t>
    <phoneticPr fontId="6" type="noConversion"/>
  </si>
  <si>
    <t>이집트</t>
    <phoneticPr fontId="6" type="noConversion"/>
  </si>
  <si>
    <t>브라질100</t>
    <phoneticPr fontId="6" type="noConversion"/>
  </si>
  <si>
    <t>국내 150</t>
    <phoneticPr fontId="6" type="noConversion"/>
  </si>
  <si>
    <t>F</t>
    <phoneticPr fontId="6" type="noConversion"/>
  </si>
  <si>
    <t>아랍에미레이트</t>
    <phoneticPr fontId="6" type="noConversion"/>
  </si>
  <si>
    <t>인도</t>
    <phoneticPr fontId="6" type="noConversion"/>
  </si>
  <si>
    <t>캐나다100</t>
    <phoneticPr fontId="6" type="noConversion"/>
  </si>
  <si>
    <t>브라질100</t>
    <phoneticPr fontId="6" type="noConversion"/>
  </si>
  <si>
    <t>호주100</t>
    <phoneticPr fontId="6" type="noConversion"/>
  </si>
  <si>
    <t>캐나다100</t>
    <phoneticPr fontId="6" type="noConversion"/>
  </si>
  <si>
    <t>F</t>
    <phoneticPr fontId="6" type="noConversion"/>
  </si>
  <si>
    <t>국내200</t>
    <phoneticPr fontId="6" type="noConversion"/>
  </si>
  <si>
    <t>브라질100</t>
    <phoneticPr fontId="6" type="noConversion"/>
  </si>
  <si>
    <t>FR 69522 (Single)</t>
    <phoneticPr fontId="6" type="noConversion"/>
  </si>
  <si>
    <t>하계휴가(미정)</t>
    <phoneticPr fontId="6" type="noConversion"/>
  </si>
  <si>
    <t>국내200</t>
    <phoneticPr fontId="6" type="noConversion"/>
  </si>
  <si>
    <t>DE/AT 69521 (Single)</t>
    <phoneticPr fontId="6" type="noConversion"/>
  </si>
  <si>
    <t>DE/AT 69701 (Multipack)</t>
    <phoneticPr fontId="6" type="noConversion"/>
  </si>
  <si>
    <t>S</t>
    <phoneticPr fontId="6" type="noConversion"/>
  </si>
  <si>
    <t>IE 69530 (Single)</t>
    <phoneticPr fontId="6" type="noConversion"/>
  </si>
  <si>
    <t>우크라이나</t>
    <phoneticPr fontId="6" type="noConversion"/>
  </si>
  <si>
    <t>이집트</t>
    <phoneticPr fontId="6" type="noConversion"/>
  </si>
  <si>
    <t>필리핀</t>
    <phoneticPr fontId="6" type="noConversion"/>
  </si>
  <si>
    <t>F</t>
    <phoneticPr fontId="6" type="noConversion"/>
  </si>
  <si>
    <t>미국100</t>
    <phoneticPr fontId="6" type="noConversion"/>
  </si>
  <si>
    <t>미국100</t>
    <phoneticPr fontId="6" type="noConversion"/>
  </si>
  <si>
    <t>브라질100</t>
    <phoneticPr fontId="6" type="noConversion"/>
  </si>
  <si>
    <t>S</t>
    <phoneticPr fontId="6" type="noConversion"/>
  </si>
  <si>
    <t>국내200</t>
    <phoneticPr fontId="6" type="noConversion"/>
  </si>
  <si>
    <t>포장# 국내100U (안정성 포장) 12/1 LotA</t>
    <phoneticPr fontId="6" type="noConversion"/>
  </si>
  <si>
    <t>포장# 호주 100U(2월 대응 물량)  X25098</t>
    <phoneticPr fontId="6" type="noConversion"/>
  </si>
  <si>
    <t xml:space="preserve"> X25098</t>
    <phoneticPr fontId="6" type="noConversion"/>
  </si>
  <si>
    <t>X25065</t>
    <phoneticPr fontId="6" type="noConversion"/>
  </si>
  <si>
    <t>생산 #1-1 유럽50U</t>
    <phoneticPr fontId="6" type="noConversion"/>
  </si>
  <si>
    <t>생산 #1-10 국내 200U</t>
    <phoneticPr fontId="6" type="noConversion"/>
  </si>
  <si>
    <t>생산 #1-13 ROW100U (브라질용)</t>
    <phoneticPr fontId="6" type="noConversion"/>
  </si>
  <si>
    <t>UK</t>
    <phoneticPr fontId="6" type="noConversion"/>
  </si>
  <si>
    <t>근로자의 날</t>
    <phoneticPr fontId="6" type="noConversion"/>
  </si>
  <si>
    <t>생산 #1-4 캐나다 100U</t>
    <phoneticPr fontId="6" type="noConversion"/>
  </si>
  <si>
    <t>생산 #1-5 유럽 50U</t>
    <phoneticPr fontId="6" type="noConversion"/>
  </si>
  <si>
    <t>생산 #1-6 미국 100U</t>
    <phoneticPr fontId="6" type="noConversion"/>
  </si>
  <si>
    <t>생산 #1-7 미국 100U</t>
    <phoneticPr fontId="6" type="noConversion"/>
  </si>
  <si>
    <t>생산 #1-8 ROW100U</t>
    <phoneticPr fontId="6" type="noConversion"/>
  </si>
  <si>
    <t>생산 #1-9 ROW200U</t>
    <phoneticPr fontId="6" type="noConversion"/>
  </si>
  <si>
    <t>생산 #1-11 ROW100U</t>
    <phoneticPr fontId="6" type="noConversion"/>
  </si>
  <si>
    <t>생산 #1-12 ROW100U (브라질용)</t>
    <phoneticPr fontId="6" type="noConversion"/>
  </si>
  <si>
    <t>생산 #1-15 국내 200U</t>
    <phoneticPr fontId="6" type="noConversion"/>
  </si>
  <si>
    <t>생산 #1-16 ROW 200U</t>
    <phoneticPr fontId="6" type="noConversion"/>
  </si>
  <si>
    <t>포장# 에콰도르 100U (12월 대응물량) X25071C</t>
    <phoneticPr fontId="6" type="noConversion"/>
  </si>
  <si>
    <t>포장# 미국 100U (11월 선적-1) X25069</t>
    <phoneticPr fontId="6" type="noConversion"/>
  </si>
  <si>
    <t>포장# 국내 200U (10월 생산분 1) X25090</t>
    <phoneticPr fontId="6" type="noConversion"/>
  </si>
  <si>
    <t>생산 #11-9 국내100U (중국원액) X25100</t>
    <phoneticPr fontId="6" type="noConversion"/>
  </si>
  <si>
    <t>생산 #11-10 ROW 200U X25101</t>
    <phoneticPr fontId="6" type="noConversion"/>
  </si>
  <si>
    <t>생산 #11-11 국내100U (중국원액) X25102</t>
    <phoneticPr fontId="6" type="noConversion"/>
  </si>
  <si>
    <t>생산 #11-12  국내100U (중국원액) X25103</t>
    <phoneticPr fontId="6" type="noConversion"/>
  </si>
  <si>
    <t>생산 #1-2 ROW 100U (사우디)</t>
    <phoneticPr fontId="6" type="noConversion"/>
  </si>
  <si>
    <t>생산 #1-3 ROW 100U (사우디)</t>
    <phoneticPr fontId="6" type="noConversion"/>
  </si>
  <si>
    <t xml:space="preserve">생산 #12-12 ROW 100U  (브라질용) </t>
    <phoneticPr fontId="6" type="noConversion"/>
  </si>
  <si>
    <t>X25068C</t>
    <phoneticPr fontId="6" type="noConversion"/>
  </si>
  <si>
    <t>* 물량 취소</t>
    <phoneticPr fontId="6" type="noConversion"/>
  </si>
  <si>
    <t>미정</t>
    <phoneticPr fontId="6" type="noConversion"/>
  </si>
  <si>
    <t>○</t>
    <phoneticPr fontId="6" type="noConversion"/>
  </si>
  <si>
    <t>X25092A</t>
    <phoneticPr fontId="6" type="noConversion"/>
  </si>
  <si>
    <t>X</t>
    <phoneticPr fontId="6" type="noConversion"/>
  </si>
  <si>
    <t>바레인(2월 선적)</t>
    <phoneticPr fontId="6" type="noConversion"/>
  </si>
  <si>
    <t>국검 신청 확인</t>
    <phoneticPr fontId="6" type="noConversion"/>
  </si>
  <si>
    <t>신규도안 적용</t>
    <phoneticPr fontId="6" type="noConversion"/>
  </si>
  <si>
    <t>칠레 100U (2월 대응 물량)</t>
    <phoneticPr fontId="6" type="noConversion"/>
  </si>
  <si>
    <t>Spain 69702 (Multipack) (3월 대응 물량)</t>
    <phoneticPr fontId="6" type="noConversion"/>
  </si>
  <si>
    <t>UK 69520 (3월 대응 물량)</t>
    <phoneticPr fontId="6" type="noConversion"/>
  </si>
  <si>
    <t>IE 69530 (Single) (3월 대응 물량)</t>
    <phoneticPr fontId="6" type="noConversion"/>
  </si>
  <si>
    <t>대만(3월 대응 물량)</t>
    <phoneticPr fontId="6" type="noConversion"/>
  </si>
  <si>
    <t>DE/AT 69701 (Multipack)(3월 대응 물량)</t>
    <phoneticPr fontId="6" type="noConversion"/>
  </si>
  <si>
    <t>브라질100 (3월 대응 물량)</t>
    <phoneticPr fontId="6" type="noConversion"/>
  </si>
  <si>
    <t>브라질 200U(3월 대응 물량)</t>
    <phoneticPr fontId="6" type="noConversion"/>
  </si>
  <si>
    <t>포장#  브라질 200U(3월 대응 물량)</t>
    <phoneticPr fontId="6" type="noConversion"/>
  </si>
  <si>
    <t>포장#  대만(3월 대응 물량)</t>
    <phoneticPr fontId="6" type="noConversion"/>
  </si>
  <si>
    <t>필리핀(2월 대응 물량)</t>
    <phoneticPr fontId="6" type="noConversion"/>
  </si>
  <si>
    <t>포장#  필리핀(2월 대응 물량)</t>
    <phoneticPr fontId="6" type="noConversion"/>
  </si>
  <si>
    <t>C동</t>
  </si>
  <si>
    <t>X25095</t>
    <phoneticPr fontId="6" type="noConversion"/>
  </si>
  <si>
    <t>X25099</t>
    <phoneticPr fontId="6" type="noConversion"/>
  </si>
  <si>
    <t>X25097</t>
    <phoneticPr fontId="6" type="noConversion"/>
  </si>
  <si>
    <t>국내 100U (11월 생산분 1)</t>
    <phoneticPr fontId="6" type="noConversion"/>
  </si>
  <si>
    <t>국내 200U (11월 생산분 3)</t>
    <phoneticPr fontId="6" type="noConversion"/>
  </si>
  <si>
    <t>국내100U  (11월 생산분 6)</t>
  </si>
  <si>
    <t>국내100U  (11월 생산분 7)</t>
  </si>
  <si>
    <t>포장# 국내 100U (11월 생산분 1) X25095</t>
    <phoneticPr fontId="6" type="noConversion"/>
  </si>
  <si>
    <t>포장#국내 100U (11월 생산분 2) X25099</t>
    <phoneticPr fontId="6" type="noConversion"/>
  </si>
  <si>
    <t>X25100</t>
    <phoneticPr fontId="6" type="noConversion"/>
  </si>
  <si>
    <t>포장#국내 100U (11월 생산분 3) X25100</t>
    <phoneticPr fontId="6" type="noConversion"/>
  </si>
  <si>
    <t>포장#국내 200U (11월 생산분 1) X25097</t>
    <phoneticPr fontId="6" type="noConversion"/>
  </si>
  <si>
    <t>X25102</t>
    <phoneticPr fontId="6" type="noConversion"/>
  </si>
  <si>
    <t>포장#국내 100U (11월 생산분 4) X25102</t>
    <phoneticPr fontId="6" type="noConversion"/>
  </si>
  <si>
    <t>포장#  아랍에미레이트(3월 대응 물량)</t>
    <phoneticPr fontId="6" type="noConversion"/>
  </si>
  <si>
    <t>아랍에미레이트(3월 대응 물량)</t>
    <phoneticPr fontId="6" type="noConversion"/>
  </si>
  <si>
    <t>포장# UK (1월 대응물량) X25065</t>
    <phoneticPr fontId="6" type="noConversion"/>
  </si>
  <si>
    <t>포장#  인도네시아 100U (12월 대응 물량) X25067M</t>
    <phoneticPr fontId="6" type="noConversion"/>
  </si>
  <si>
    <t>포장# 브라질 200U (2월 물량) X25049F, X25080A</t>
    <phoneticPr fontId="6" type="noConversion"/>
  </si>
  <si>
    <t>X25067M</t>
    <phoneticPr fontId="6" type="noConversion"/>
  </si>
  <si>
    <t>X25067F</t>
    <phoneticPr fontId="6" type="noConversion"/>
  </si>
  <si>
    <t>포장# 캐나다 100U(12-1월 대응 물량)  X25074</t>
    <phoneticPr fontId="6" type="noConversion"/>
  </si>
  <si>
    <t xml:space="preserve">페루 100U (1월 대응 물량) </t>
    <phoneticPr fontId="6" type="noConversion"/>
  </si>
  <si>
    <t xml:space="preserve">메일 근거로 발주 진행 </t>
    <phoneticPr fontId="6" type="noConversion"/>
  </si>
  <si>
    <t>X25071F</t>
    <phoneticPr fontId="6" type="noConversion"/>
  </si>
  <si>
    <t>적응증 추가 확인</t>
    <phoneticPr fontId="6" type="noConversion"/>
  </si>
  <si>
    <t>X25071H</t>
    <phoneticPr fontId="6" type="noConversion"/>
  </si>
  <si>
    <t>아르헨티나 100U (1월 대응 물량)</t>
    <phoneticPr fontId="6" type="noConversion"/>
  </si>
  <si>
    <t>생산 #11-15  국내100U (중국원액) X25106</t>
    <phoneticPr fontId="6" type="noConversion"/>
  </si>
  <si>
    <t>생산 #11-16 국내200U (중국원액) X25107</t>
    <phoneticPr fontId="6" type="noConversion"/>
  </si>
  <si>
    <t>생산 #12-17 국내100U (스케일업원액)</t>
    <phoneticPr fontId="6" type="noConversion"/>
  </si>
  <si>
    <t>X25091 까지 기존 자재 포장</t>
    <phoneticPr fontId="6" type="noConversion"/>
  </si>
  <si>
    <t>포장# 브라질 100U (2월 대응 물량) X25091</t>
    <phoneticPr fontId="6" type="noConversion"/>
  </si>
  <si>
    <t>브라질 100u</t>
    <phoneticPr fontId="6" type="noConversion"/>
  </si>
  <si>
    <t>물량변동으로 포장 추가 (11/14)</t>
    <phoneticPr fontId="6" type="noConversion"/>
  </si>
  <si>
    <t>X25091</t>
    <phoneticPr fontId="6" type="noConversion"/>
  </si>
  <si>
    <t>포장#  UK (12월 대응 물량) X25064H</t>
    <phoneticPr fontId="6" type="noConversion"/>
  </si>
  <si>
    <t>포장#  아르헨티나200  (12월 대응 물량) X25049E</t>
    <phoneticPr fontId="6" type="noConversion"/>
  </si>
  <si>
    <t>쿠웨이트(3월 대응 물량)</t>
    <phoneticPr fontId="6" type="noConversion"/>
  </si>
  <si>
    <t>포장#  페루 100U (3월 대응 물량)</t>
    <phoneticPr fontId="6" type="noConversion"/>
  </si>
  <si>
    <t>포장# 페루 100U (12월 대응 물량) X25067F</t>
    <phoneticPr fontId="6" type="noConversion"/>
  </si>
  <si>
    <t>생산 #12-6 국내100U (중국원액 W23012 - 1차)</t>
    <phoneticPr fontId="6" type="noConversion"/>
  </si>
  <si>
    <t>생산 #12-13 국내200U (스케일업원액)</t>
    <phoneticPr fontId="6" type="noConversion"/>
  </si>
  <si>
    <t>생산 #1-14 국내100U (중국원액 W25013 -3차)</t>
    <phoneticPr fontId="6" type="noConversion"/>
  </si>
  <si>
    <t>태국 100U 1Q</t>
    <phoneticPr fontId="6" type="noConversion"/>
  </si>
  <si>
    <t>태국 200U 1Q</t>
    <phoneticPr fontId="6" type="noConversion"/>
  </si>
  <si>
    <t>포장# 미국 100U (11월 선적-6) X25086</t>
    <phoneticPr fontId="6" type="noConversion"/>
  </si>
  <si>
    <t>포장 불가</t>
    <phoneticPr fontId="6" type="noConversion"/>
  </si>
  <si>
    <t xml:space="preserve">* 포장 계획 변경 </t>
    <phoneticPr fontId="6" type="noConversion"/>
  </si>
  <si>
    <t xml:space="preserve">도안 변경 (약가)_포장 계획 변경 </t>
    <phoneticPr fontId="6" type="noConversion"/>
  </si>
  <si>
    <t>포장# 태국 100U (1분기 대응 물량) X25068F, X25071K, X25093A</t>
    <phoneticPr fontId="6" type="noConversion"/>
  </si>
  <si>
    <t>포장# 태국 200U (1분기 대응 물량) X25080C</t>
    <phoneticPr fontId="6" type="noConversion"/>
  </si>
  <si>
    <t>X25080C</t>
    <phoneticPr fontId="6" type="noConversion"/>
  </si>
  <si>
    <t>X25068F, X25071K, X25093A</t>
    <phoneticPr fontId="6" type="noConversion"/>
  </si>
  <si>
    <t>생산 #12-5 유럽 50U (신규알부민)</t>
    <phoneticPr fontId="6" type="noConversion"/>
  </si>
  <si>
    <t>생산 #12-8 국내 200U (스케일업원액)</t>
    <phoneticPr fontId="6" type="noConversion"/>
  </si>
  <si>
    <t>생산 #12-11 미국100U</t>
    <phoneticPr fontId="6" type="noConversion"/>
  </si>
  <si>
    <t>생산 #11-14 국내 200U (중국원액) X25105</t>
    <phoneticPr fontId="6" type="noConversion"/>
  </si>
  <si>
    <t>생산 #12-9 유럽50U</t>
    <phoneticPr fontId="6" type="noConversion"/>
  </si>
  <si>
    <t>생산 #12-16 국내100U (스케일업원액)</t>
    <phoneticPr fontId="6" type="noConversion"/>
  </si>
  <si>
    <t>생산 #11-13 국내 100U (중국원액) X25104</t>
    <phoneticPr fontId="6" type="noConversion"/>
  </si>
  <si>
    <t>포장#  브라질 100U 1월 대응물량 X25076</t>
    <phoneticPr fontId="6" type="noConversion"/>
  </si>
  <si>
    <t>S</t>
    <phoneticPr fontId="6" type="noConversion"/>
  </si>
  <si>
    <t>○</t>
    <phoneticPr fontId="6" type="noConversion"/>
  </si>
  <si>
    <t>○</t>
    <phoneticPr fontId="6" type="noConversion"/>
  </si>
  <si>
    <t xml:space="preserve">도안 변경 (약가)_포장 계획 변경 </t>
    <phoneticPr fontId="6" type="noConversion"/>
  </si>
  <si>
    <t>이집트 100U (12월 대응 물량)</t>
    <phoneticPr fontId="6" type="noConversion"/>
  </si>
  <si>
    <t>X25071E → X25071M</t>
    <phoneticPr fontId="6" type="noConversion"/>
  </si>
  <si>
    <t>포장#  이집트 100 (12월 대응 물량) X25071M</t>
    <phoneticPr fontId="6" type="noConversion"/>
  </si>
  <si>
    <t>생산 #12-10 국내100U (중국 원액 W25005 - 2차)</t>
    <phoneticPr fontId="6" type="noConversion"/>
  </si>
  <si>
    <t>생산 #12- 14 국내100U (스케일업원액)</t>
    <phoneticPr fontId="6" type="noConversion"/>
  </si>
  <si>
    <t>X25103</t>
    <phoneticPr fontId="6" type="noConversion"/>
  </si>
  <si>
    <t>X25104</t>
    <phoneticPr fontId="6" type="noConversion"/>
  </si>
  <si>
    <t>X25106</t>
    <phoneticPr fontId="6" type="noConversion"/>
  </si>
  <si>
    <t>X25105</t>
    <phoneticPr fontId="6" type="noConversion"/>
  </si>
  <si>
    <t>X25107</t>
    <phoneticPr fontId="6" type="noConversion"/>
  </si>
  <si>
    <t>국내 200U (12월 생산분 1)</t>
    <phoneticPr fontId="6" type="noConversion"/>
  </si>
  <si>
    <t>국내100U  (중국 PV 2차)</t>
    <phoneticPr fontId="6" type="noConversion"/>
  </si>
  <si>
    <t>국내100U  (중국 PV 3차)</t>
    <phoneticPr fontId="6" type="noConversion"/>
  </si>
  <si>
    <t>1/27 포장</t>
    <phoneticPr fontId="6" type="noConversion"/>
  </si>
  <si>
    <t>1/28 포장</t>
    <phoneticPr fontId="6" type="noConversion"/>
  </si>
  <si>
    <t>1/30 포장</t>
    <phoneticPr fontId="6" type="noConversion"/>
  </si>
  <si>
    <t>포장# 국내100U  (11월 생산분 5) X25103</t>
    <phoneticPr fontId="6" type="noConversion"/>
  </si>
  <si>
    <t>포장#  아르헨티나 100U (1월 대응 물량) X25071F</t>
    <phoneticPr fontId="6" type="noConversion"/>
  </si>
  <si>
    <t>포장#  칠레 100U (2월 대응 물량) X25071H</t>
    <phoneticPr fontId="6" type="noConversion"/>
  </si>
  <si>
    <t>생산 #12-2 ROW100(브라질용) X25109</t>
    <phoneticPr fontId="6" type="noConversion"/>
  </si>
  <si>
    <t>생산 #12-3 ROW100U X25110</t>
    <phoneticPr fontId="6" type="noConversion"/>
  </si>
  <si>
    <t>국내100U  (11월 생산분 5)</t>
    <phoneticPr fontId="6" type="noConversion"/>
  </si>
  <si>
    <t>포장#국내 200U (11월 생산분 2) X25105</t>
    <phoneticPr fontId="6" type="noConversion"/>
  </si>
  <si>
    <t>포장#국내 200U (11월 생산분 3) X25107</t>
    <phoneticPr fontId="6" type="noConversion"/>
  </si>
  <si>
    <t>X25096</t>
    <phoneticPr fontId="6" type="noConversion"/>
  </si>
  <si>
    <t>X25092C</t>
    <phoneticPr fontId="6" type="noConversion"/>
  </si>
  <si>
    <t>X25075E</t>
    <phoneticPr fontId="6" type="noConversion"/>
  </si>
  <si>
    <t>포장# DE/AT 69701 (Multipack)(3월 대응 물량) X25075E</t>
    <phoneticPr fontId="6" type="noConversion"/>
  </si>
  <si>
    <t>생산 #12-4 국내200U (스케일업원액) X25111</t>
    <phoneticPr fontId="6" type="noConversion"/>
  </si>
  <si>
    <t>X25111</t>
    <phoneticPr fontId="6" type="noConversion"/>
  </si>
  <si>
    <t>포장# 국내 200U (12월 생산분 1) X25111</t>
    <phoneticPr fontId="6" type="noConversion"/>
  </si>
  <si>
    <t>포장# UK 50U (3월 대응 물량)  X25096</t>
    <phoneticPr fontId="6" type="noConversion"/>
  </si>
  <si>
    <t>포장# IE 69530 (Single) (3월 대응 물량) X25092C</t>
    <phoneticPr fontId="6" type="noConversion"/>
  </si>
  <si>
    <t>기존 자재</t>
    <phoneticPr fontId="6" type="noConversion"/>
  </si>
  <si>
    <t>포장# 브라질100 (3월 대응 물량) X25109</t>
    <phoneticPr fontId="6" type="noConversion"/>
  </si>
  <si>
    <t>X25109</t>
    <phoneticPr fontId="6" type="noConversion"/>
  </si>
  <si>
    <t>포장#  아르헨티나 100U (3월 대응 물량)</t>
    <phoneticPr fontId="6" type="noConversion"/>
  </si>
  <si>
    <t>Z25004</t>
    <phoneticPr fontId="6" type="noConversion"/>
  </si>
  <si>
    <t>Z25005</t>
    <phoneticPr fontId="6" type="noConversion"/>
  </si>
  <si>
    <t>Z26001</t>
    <phoneticPr fontId="6" type="noConversion"/>
  </si>
  <si>
    <t>포장# 국내100U  (중국 PV 2차) Z25005</t>
    <phoneticPr fontId="6" type="noConversion"/>
  </si>
  <si>
    <t>포장# 국내100U (중국 PV 3차) Z26001</t>
    <phoneticPr fontId="6" type="noConversion"/>
  </si>
  <si>
    <t>페루(3월 대응 물량)</t>
    <phoneticPr fontId="6" type="noConversion"/>
  </si>
  <si>
    <t>국내100U  (중국 PV 1차)</t>
    <phoneticPr fontId="6" type="noConversion"/>
  </si>
  <si>
    <t>국내 200U (11월 생산분 2)</t>
    <phoneticPr fontId="6" type="noConversion"/>
  </si>
  <si>
    <t>국내100</t>
    <phoneticPr fontId="6" type="noConversion"/>
  </si>
  <si>
    <t>포장# 국내100U  (중국 PV 1차) Z25004</t>
    <phoneticPr fontId="6" type="noConversion"/>
  </si>
  <si>
    <t>포장#  쿠웨이트  100U (2월 대응 물량)</t>
    <phoneticPr fontId="6" type="noConversion"/>
  </si>
  <si>
    <t>생산 #10-12 국내100U X25083</t>
    <phoneticPr fontId="6" type="noConversion"/>
  </si>
  <si>
    <t>생산 #12-1 국내100U  (스케일업원액) X25108</t>
    <phoneticPr fontId="6" type="noConversion"/>
  </si>
  <si>
    <t>Full</t>
    <phoneticPr fontId="6" type="noConversion"/>
  </si>
  <si>
    <t>Sub</t>
    <phoneticPr fontId="6" type="noConversion"/>
  </si>
  <si>
    <t>포장# ES (Multi) 50U (3월 대응 물량)  X25094A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</si>
</sst>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mmmm\ yyyy"/>
    <numFmt numFmtId="177" formatCode="mmmm"/>
    <numFmt numFmtId="178" formatCode="d"/>
    <numFmt numFmtId="179" formatCode="0_);[Red]\(0\)"/>
    <numFmt numFmtId="180" formatCode="0.0;[Red]0.0"/>
    <numFmt numFmtId="181" formatCode="mm&quot;월&quot;\ dd&quot;일&quot;"/>
    <numFmt numFmtId="182" formatCode="_-* #,##0.000_-;\-* #,##0.000_-;_-* &quot;-&quot;??_-;_-@_-"/>
  </numFmts>
  <fonts count="159">
    <font>
      <sz val="11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나눔고딕"/>
      <family val="2"/>
      <charset val="129"/>
    </font>
    <font>
      <sz val="12"/>
      <color rgb="FF000000"/>
      <name val="맑은 고딕"/>
      <family val="2"/>
    </font>
    <font>
      <sz val="11"/>
      <color rgb="FF000000"/>
      <name val="맑은 고딕"/>
      <family val="2"/>
    </font>
    <font>
      <sz val="40"/>
      <color rgb="FF4270C3"/>
      <name val="맑은 고딕"/>
      <family val="2"/>
    </font>
    <font>
      <sz val="10"/>
      <color rgb="FFFE0000"/>
      <name val="HY헤드라인M"/>
      <family val="2"/>
    </font>
    <font>
      <sz val="10"/>
      <color rgb="FF000000"/>
      <name val="HY헤드라인M"/>
      <family val="2"/>
    </font>
    <font>
      <sz val="10"/>
      <color rgb="FFFE0000"/>
      <name val="HY헤드라인M"/>
      <family val="2"/>
    </font>
    <font>
      <sz val="11"/>
      <color rgb="FF000000"/>
      <name val="맑은 고딕"/>
      <family val="2"/>
    </font>
    <font>
      <sz val="12"/>
      <color rgb="FF000000"/>
      <name val="맑은 고딕"/>
      <family val="2"/>
    </font>
    <font>
      <sz val="11"/>
      <color rgb="FF4270C3"/>
      <name val="맑은 고딕"/>
      <family val="2"/>
    </font>
    <font>
      <sz val="10"/>
      <color rgb="FF000000"/>
      <name val="맑은 고딕"/>
      <family val="2"/>
    </font>
    <font>
      <b/>
      <sz val="12"/>
      <color rgb="FF000000"/>
      <name val="맑은 고딕"/>
      <family val="2"/>
    </font>
    <font>
      <b/>
      <sz val="12"/>
      <color rgb="FF000000"/>
      <name val="맑은 고딕"/>
      <family val="2"/>
    </font>
    <font>
      <sz val="11"/>
      <color rgb="FF000000"/>
      <name val="맑은 고딕"/>
      <family val="2"/>
    </font>
    <font>
      <b/>
      <sz val="11"/>
      <color rgb="FFFE0000"/>
      <name val="맑은 고딕"/>
      <family val="2"/>
    </font>
    <font>
      <sz val="11"/>
      <color rgb="FF4270C3"/>
      <name val="맑은 고딕"/>
      <family val="2"/>
    </font>
    <font>
      <b/>
      <sz val="12"/>
      <color rgb="FF000000"/>
      <name val="맑은 고딕"/>
      <family val="2"/>
    </font>
    <font>
      <sz val="11"/>
      <color rgb="FF000000"/>
      <name val="맑은 고딕"/>
      <family val="2"/>
    </font>
    <font>
      <b/>
      <sz val="12"/>
      <color rgb="FF000000"/>
      <name val="맑은 고딕"/>
      <family val="2"/>
    </font>
    <font>
      <sz val="12"/>
      <color rgb="FF000000"/>
      <name val="맑은 고딕"/>
      <family val="2"/>
    </font>
    <font>
      <b/>
      <sz val="12"/>
      <color rgb="FF000000"/>
      <name val="맑은 고딕"/>
      <family val="2"/>
    </font>
    <font>
      <b/>
      <sz val="11"/>
      <color rgb="FFFE0000"/>
      <name val="맑은 고딕"/>
      <family val="2"/>
    </font>
    <font>
      <sz val="11"/>
      <color rgb="FF000000"/>
      <name val="맑은 고딕"/>
      <family val="2"/>
    </font>
    <font>
      <b/>
      <sz val="11"/>
      <color rgb="FFFE0000"/>
      <name val="맑은 고딕"/>
      <family val="2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</font>
    <font>
      <sz val="11"/>
      <color rgb="FFFF0000"/>
      <name val="맑은 고딕"/>
      <family val="2"/>
    </font>
    <font>
      <b/>
      <sz val="11"/>
      <color rgb="FF000000"/>
      <name val="맑은 고딕"/>
      <family val="3"/>
      <charset val="129"/>
    </font>
    <font>
      <sz val="15"/>
      <color theme="1" tint="4.9989318521683403E-2"/>
      <name val="맑은 고딕"/>
      <family val="2"/>
    </font>
    <font>
      <sz val="15"/>
      <color theme="1" tint="4.9989318521683403E-2"/>
      <name val="맑은 고딕"/>
      <family val="3"/>
      <charset val="129"/>
    </font>
    <font>
      <sz val="11"/>
      <color theme="4"/>
      <name val="맑은 고딕"/>
      <family val="2"/>
    </font>
    <font>
      <sz val="11"/>
      <name val="맑은 고딕"/>
      <family val="2"/>
    </font>
    <font>
      <b/>
      <sz val="11"/>
      <color rgb="FFFF0000"/>
      <name val="맑은 고딕"/>
      <family val="2"/>
    </font>
    <font>
      <sz val="11"/>
      <color theme="3"/>
      <name val="맑은 고딕"/>
      <family val="2"/>
    </font>
    <font>
      <b/>
      <sz val="11"/>
      <color theme="4"/>
      <name val="맑은 고딕"/>
      <family val="2"/>
    </font>
    <font>
      <sz val="11"/>
      <color rgb="FFFF0000"/>
      <name val="맑은 고딕"/>
      <family val="3"/>
      <charset val="129"/>
    </font>
    <font>
      <b/>
      <sz val="11"/>
      <color theme="3" tint="0.39997558519241921"/>
      <name val="맑은 고딕"/>
      <family val="2"/>
    </font>
    <font>
      <b/>
      <sz val="11"/>
      <color theme="1"/>
      <name val="나눔고딕"/>
      <family val="3"/>
      <charset val="129"/>
    </font>
    <font>
      <sz val="11"/>
      <color theme="1"/>
      <name val="돋움"/>
      <family val="3"/>
      <charset val="129"/>
    </font>
    <font>
      <sz val="11"/>
      <color theme="3" tint="0.39997558519241921"/>
      <name val="맑은 고딕"/>
      <family val="2"/>
    </font>
    <font>
      <i/>
      <sz val="11"/>
      <color rgb="FF7F7F7F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0"/>
      <name val="맑은 고딕"/>
      <family val="2"/>
    </font>
    <font>
      <b/>
      <sz val="10"/>
      <name val="맑은 고딕"/>
      <family val="3"/>
      <charset val="129"/>
    </font>
    <font>
      <b/>
      <sz val="11"/>
      <color rgb="FFFF9900"/>
      <name val="맑은 고딕"/>
      <family val="2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name val="맑은 고딕"/>
      <family val="2"/>
    </font>
    <font>
      <b/>
      <sz val="12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2"/>
    </font>
    <font>
      <b/>
      <strike/>
      <sz val="12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color rgb="FFFF0000"/>
      <name val="맑은 고딕"/>
      <family val="2"/>
    </font>
    <font>
      <b/>
      <sz val="12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theme="4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color rgb="FF000000"/>
      <name val="맑은 고딕"/>
      <family val="2"/>
    </font>
    <font>
      <b/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E0000"/>
      <name val="맑은 고딕"/>
      <family val="3"/>
      <charset val="129"/>
    </font>
    <font>
      <b/>
      <sz val="11"/>
      <color theme="3" tint="0.39997558519241921"/>
      <name val="맑은 고딕"/>
      <family val="3"/>
      <charset val="129"/>
    </font>
    <font>
      <sz val="11"/>
      <color rgb="FF4270C3"/>
      <name val="맑은 고딕"/>
      <family val="3"/>
      <charset val="129"/>
    </font>
    <font>
      <b/>
      <sz val="9"/>
      <color rgb="FF000000"/>
      <name val="맑은 고딕"/>
      <family val="2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theme="1"/>
      <name val="나눔고딕"/>
      <family val="2"/>
      <charset val="129"/>
    </font>
    <font>
      <b/>
      <strike/>
      <sz val="12"/>
      <color rgb="FFFF0000"/>
      <name val="맑은 고딕"/>
      <family val="3"/>
      <charset val="129"/>
    </font>
    <font>
      <sz val="11"/>
      <color indexed="81"/>
      <name val="Tahoma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b/>
      <sz val="10"/>
      <name val="맑은 고딕"/>
      <family val="2"/>
    </font>
    <font>
      <b/>
      <sz val="11"/>
      <color indexed="81"/>
      <name val="맑은 고딕"/>
      <family val="3"/>
      <charset val="129"/>
    </font>
    <font>
      <strike/>
      <sz val="11"/>
      <color indexed="81"/>
      <name val="맑은 고딕"/>
      <family val="3"/>
      <charset val="129"/>
    </font>
    <font>
      <sz val="11"/>
      <color indexed="81"/>
      <name val="돋움"/>
      <family val="3"/>
      <charset val="129"/>
    </font>
    <font>
      <b/>
      <sz val="12"/>
      <color indexed="81"/>
      <name val="돋움"/>
      <family val="3"/>
      <charset val="129"/>
    </font>
    <font>
      <sz val="14"/>
      <color indexed="81"/>
      <name val="돋움"/>
      <family val="3"/>
      <charset val="129"/>
    </font>
    <font>
      <sz val="14"/>
      <color indexed="81"/>
      <name val="Tahoma"/>
      <family val="2"/>
    </font>
    <font>
      <b/>
      <sz val="10"/>
      <color rgb="FFFF0000"/>
      <name val="맑은 고딕"/>
      <family val="2"/>
    </font>
    <font>
      <b/>
      <strike/>
      <sz val="10"/>
      <color rgb="FF000000"/>
      <name val="맑은 고딕"/>
      <family val="3"/>
      <charset val="129"/>
    </font>
    <font>
      <b/>
      <strike/>
      <sz val="10"/>
      <color rgb="FF000000"/>
      <name val="맑은 고딕"/>
      <family val="2"/>
    </font>
    <font>
      <b/>
      <sz val="11"/>
      <color rgb="FFFF0000"/>
      <name val="나눔고딕"/>
      <family val="3"/>
      <charset val="129"/>
    </font>
    <font>
      <b/>
      <sz val="11"/>
      <color rgb="FFFF0000"/>
      <name val="나눔고딕"/>
      <family val="2"/>
      <charset val="129"/>
    </font>
    <font>
      <sz val="11"/>
      <color rgb="FFFF0000"/>
      <name val="나눔고딕"/>
      <family val="2"/>
      <charset val="129"/>
    </font>
    <font>
      <sz val="15"/>
      <color rgb="FF000000"/>
      <name val="맑은 고딕"/>
      <family val="2"/>
    </font>
    <font>
      <sz val="15"/>
      <color rgb="FF000000"/>
      <name val="맑은 고딕"/>
      <family val="3"/>
      <charset val="129"/>
    </font>
    <font>
      <b/>
      <sz val="11"/>
      <color theme="1"/>
      <name val="나눔고딕"/>
      <family val="2"/>
      <charset val="129"/>
    </font>
    <font>
      <sz val="11"/>
      <color theme="1"/>
      <name val="나눔고딕"/>
      <family val="3"/>
      <charset val="129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2"/>
      <color rgb="FF000000"/>
      <name val="나눔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rgb="FF000000"/>
      <name val="나눔고딕"/>
      <family val="3"/>
      <charset val="129"/>
    </font>
    <font>
      <sz val="12"/>
      <color rgb="FFFE0000"/>
      <name val="나눔고딕"/>
      <family val="3"/>
      <charset val="129"/>
    </font>
    <font>
      <b/>
      <sz val="12"/>
      <color rgb="FFFE0000"/>
      <name val="나눔고딕"/>
      <family val="3"/>
      <charset val="129"/>
    </font>
    <font>
      <b/>
      <sz val="12"/>
      <name val="나눔고딕"/>
      <family val="3"/>
      <charset val="129"/>
    </font>
    <font>
      <sz val="12"/>
      <color theme="0"/>
      <name val="나눔고딕"/>
      <family val="3"/>
      <charset val="129"/>
    </font>
    <font>
      <sz val="12"/>
      <color theme="1"/>
      <name val="나눔고딕"/>
      <family val="2"/>
      <charset val="129"/>
    </font>
    <font>
      <sz val="12"/>
      <color rgb="FF000000"/>
      <name val="맑은 고딕"/>
      <family val="3"/>
      <charset val="129"/>
      <scheme val="minor"/>
    </font>
    <font>
      <sz val="12"/>
      <color rgb="FFFE0000"/>
      <name val="맑은 고딕"/>
      <family val="3"/>
      <charset val="129"/>
      <scheme val="minor"/>
    </font>
    <font>
      <b/>
      <sz val="12"/>
      <color rgb="FFFE0000"/>
      <name val="맑은 고딕"/>
      <family val="3"/>
      <charset val="129"/>
      <scheme val="minor"/>
    </font>
    <font>
      <sz val="12"/>
      <color rgb="FF4270C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rgb="FFFF0000"/>
      <name val="나눔고딕"/>
      <family val="3"/>
      <charset val="129"/>
    </font>
    <font>
      <sz val="12"/>
      <color rgb="FFFF0000"/>
      <name val="맑은 고딕"/>
      <family val="3"/>
      <charset val="129"/>
    </font>
    <font>
      <sz val="12"/>
      <name val="나눔고딕"/>
      <family val="3"/>
      <charset val="129"/>
    </font>
    <font>
      <sz val="40"/>
      <name val="맑은 고딕"/>
      <family val="2"/>
    </font>
    <font>
      <sz val="12"/>
      <color theme="1"/>
      <name val="맑은 고딕"/>
      <family val="3"/>
      <charset val="129"/>
    </font>
    <font>
      <sz val="40"/>
      <name val="맑은 고딕"/>
      <family val="3"/>
      <charset val="129"/>
    </font>
    <font>
      <sz val="12"/>
      <color rgb="FFFE0000"/>
      <name val="맑은 고딕"/>
      <family val="3"/>
      <charset val="129"/>
    </font>
    <font>
      <b/>
      <sz val="12"/>
      <color rgb="FFFE0000"/>
      <name val="맑은 고딕"/>
      <family val="3"/>
      <charset val="129"/>
    </font>
    <font>
      <sz val="12"/>
      <color rgb="FF4270C3"/>
      <name val="맑은 고딕"/>
      <family val="3"/>
      <charset val="129"/>
    </font>
    <font>
      <sz val="12"/>
      <color theme="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40"/>
      <name val="맑은 고딕"/>
      <family val="3"/>
      <charset val="129"/>
      <scheme val="minor"/>
    </font>
    <font>
      <sz val="12"/>
      <color theme="1" tint="4.9989318521683403E-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5"/>
      <color theme="1" tint="4.9989318521683403E-2"/>
      <name val="맑은 고딕"/>
      <family val="3"/>
      <charset val="129"/>
      <scheme val="minor"/>
    </font>
    <font>
      <sz val="12"/>
      <color rgb="FFFF0000"/>
      <name val="나눔고딕"/>
      <family val="2"/>
      <charset val="129"/>
    </font>
    <font>
      <sz val="11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1"/>
      <color rgb="FF000000"/>
      <name val="나눔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theme="4"/>
      <name val="나눔고딕"/>
      <family val="2"/>
      <charset val="129"/>
    </font>
    <font>
      <sz val="12"/>
      <name val="나눔고딕"/>
      <family val="2"/>
      <charset val="129"/>
    </font>
    <font>
      <sz val="11"/>
      <name val="나눔고딕"/>
      <family val="2"/>
      <charset val="129"/>
    </font>
    <font>
      <sz val="12"/>
      <name val="맑은 고딕"/>
      <family val="2"/>
    </font>
    <font>
      <b/>
      <sz val="12"/>
      <color theme="1"/>
      <name val="나눔고딕"/>
      <family val="2"/>
      <charset val="129"/>
    </font>
    <font>
      <b/>
      <sz val="12"/>
      <color rgb="FFFF0000"/>
      <name val="나눔고딕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rgb="FF8CA8D9"/>
        <bgColor indexed="64"/>
      </patternFill>
    </fill>
    <fill>
      <patternFill patternType="solid">
        <fgColor rgb="FFD6E0F1"/>
        <bgColor indexed="64"/>
      </patternFill>
    </fill>
    <fill>
      <patternFill patternType="solid">
        <fgColor rgb="FFA6CE8B"/>
        <bgColor indexed="64"/>
      </patternFill>
    </fill>
    <fill>
      <patternFill patternType="solid">
        <fgColor rgb="FF90CE4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1"/>
        <bgColor indexed="64"/>
      </patternFill>
    </fill>
    <fill>
      <patternFill patternType="darkUp">
        <fgColor theme="0" tint="-0.499984740745262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darkUp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</fills>
  <borders count="68">
    <border>
      <left/>
      <right/>
      <top/>
      <bottom/>
      <diagonal/>
    </border>
    <border>
      <left style="thin">
        <color rgb="FF416FC2"/>
      </left>
      <right/>
      <top style="thin">
        <color rgb="FF416FC2"/>
      </top>
      <bottom style="thin">
        <color rgb="FF416FC2"/>
      </bottom>
      <diagonal/>
    </border>
    <border>
      <left/>
      <right/>
      <top style="thin">
        <color rgb="FF416FC2"/>
      </top>
      <bottom style="thin">
        <color rgb="FF416FC2"/>
      </bottom>
      <diagonal/>
    </border>
    <border>
      <left/>
      <right style="thin">
        <color rgb="FF416FC2"/>
      </right>
      <top style="thin">
        <color rgb="FF416FC2"/>
      </top>
      <bottom style="thin">
        <color rgb="FF416FC2"/>
      </bottom>
      <diagonal/>
    </border>
    <border>
      <left style="thin">
        <color rgb="FF416FC2"/>
      </left>
      <right style="thin">
        <color rgb="FF416FC2"/>
      </right>
      <top style="thin">
        <color rgb="FF416FC2"/>
      </top>
      <bottom/>
      <diagonal/>
    </border>
    <border>
      <left style="thin">
        <color rgb="FF416FC2"/>
      </left>
      <right style="thin">
        <color rgb="FF416FC2"/>
      </right>
      <top/>
      <bottom/>
      <diagonal/>
    </border>
    <border>
      <left style="thin">
        <color rgb="FF416FC2"/>
      </left>
      <right/>
      <top/>
      <bottom/>
      <diagonal/>
    </border>
    <border>
      <left style="thin">
        <color rgb="FF416FC2"/>
      </left>
      <right style="thin">
        <color rgb="FF416FC2"/>
      </right>
      <top/>
      <bottom style="thin">
        <color rgb="FF416FC2"/>
      </bottom>
      <diagonal/>
    </border>
    <border>
      <left/>
      <right/>
      <top/>
      <bottom style="thin">
        <color rgb="FF416FC2"/>
      </bottom>
      <diagonal/>
    </border>
    <border>
      <left style="thin">
        <color rgb="FF416FC2"/>
      </left>
      <right style="thin">
        <color rgb="FF416FC2"/>
      </right>
      <top/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16FC2"/>
      </left>
      <right style="thin">
        <color rgb="FF416FC2"/>
      </right>
      <top style="thin">
        <color rgb="FF416FC2"/>
      </top>
      <bottom style="thin">
        <color theme="4" tint="0.79998168889431442"/>
      </bottom>
      <diagonal/>
    </border>
    <border>
      <left style="thin">
        <color rgb="FF416FC2"/>
      </left>
      <right style="thin">
        <color rgb="FF416FC2"/>
      </right>
      <top style="thin">
        <color theme="4" tint="0.79998168889431442"/>
      </top>
      <bottom style="thin">
        <color rgb="FF416FC2"/>
      </bottom>
      <diagonal/>
    </border>
    <border>
      <left style="thin">
        <color rgb="FF416FC2"/>
      </left>
      <right/>
      <top/>
      <bottom style="thin">
        <color rgb="FF416FC2"/>
      </bottom>
      <diagonal/>
    </border>
    <border>
      <left/>
      <right style="thin">
        <color rgb="FF416FC2"/>
      </right>
      <top/>
      <bottom style="thin">
        <color rgb="FF416FC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416FC2"/>
      </right>
      <top/>
      <bottom/>
      <diagonal/>
    </border>
    <border>
      <left style="thin">
        <color rgb="FF416FC2"/>
      </left>
      <right style="thin">
        <color rgb="FF416FC2"/>
      </right>
      <top style="thin">
        <color rgb="FF416FC2"/>
      </top>
      <bottom style="thin">
        <color rgb="FF416FC2"/>
      </bottom>
      <diagonal/>
    </border>
    <border>
      <left style="medium">
        <color rgb="FF416FC2"/>
      </left>
      <right/>
      <top style="medium">
        <color rgb="FF416FC2"/>
      </top>
      <bottom style="medium">
        <color rgb="FF416FC2"/>
      </bottom>
      <diagonal/>
    </border>
    <border>
      <left/>
      <right style="medium">
        <color rgb="FF416FC2"/>
      </right>
      <top style="medium">
        <color rgb="FF416FC2"/>
      </top>
      <bottom style="medium">
        <color rgb="FF416FC2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/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77111117893"/>
      </top>
      <bottom/>
      <diagonal/>
    </border>
    <border>
      <left style="thin">
        <color theme="0" tint="-0.24994659260841701"/>
      </left>
      <right/>
      <top style="thin">
        <color theme="0" tint="-0.249977111117893"/>
      </top>
      <bottom/>
      <diagonal/>
    </border>
  </borders>
  <cellStyleXfs count="24"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</cellStyleXfs>
  <cellXfs count="1811">
    <xf numFmtId="0" fontId="0" fillId="0" borderId="0" xfId="0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9" fillId="2" borderId="0" xfId="0" applyFont="1" applyFill="1" applyAlignment="1">
      <alignment vertical="center"/>
    </xf>
    <xf numFmtId="177" fontId="14" fillId="0" borderId="0" xfId="0" applyNumberFormat="1" applyFont="1" applyAlignment="1">
      <alignment vertical="center"/>
    </xf>
    <xf numFmtId="179" fontId="20" fillId="3" borderId="4" xfId="0" applyNumberFormat="1" applyFont="1" applyFill="1" applyBorder="1" applyAlignment="1">
      <alignment horizontal="left" vertical="center" wrapText="1"/>
    </xf>
    <xf numFmtId="179" fontId="21" fillId="3" borderId="4" xfId="0" applyNumberFormat="1" applyFont="1" applyFill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7" fillId="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78" fontId="23" fillId="3" borderId="5" xfId="0" applyNumberFormat="1" applyFont="1" applyFill="1" applyBorder="1" applyAlignment="1">
      <alignment horizontal="left" vertical="center" wrapText="1"/>
    </xf>
    <xf numFmtId="178" fontId="8" fillId="8" borderId="5" xfId="0" applyNumberFormat="1" applyFont="1" applyFill="1" applyBorder="1" applyAlignment="1">
      <alignment horizontal="left" vertical="center" wrapText="1"/>
    </xf>
    <xf numFmtId="0" fontId="22" fillId="5" borderId="0" xfId="0" applyFont="1" applyFill="1" applyAlignment="1">
      <alignment vertical="center"/>
    </xf>
    <xf numFmtId="0" fontId="24" fillId="6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178" fontId="27" fillId="0" borderId="4" xfId="0" applyNumberFormat="1" applyFont="1" applyBorder="1" applyAlignment="1">
      <alignment horizontal="left" vertical="center" wrapText="1"/>
    </xf>
    <xf numFmtId="178" fontId="28" fillId="0" borderId="5" xfId="0" applyNumberFormat="1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178" fontId="20" fillId="3" borderId="4" xfId="0" applyNumberFormat="1" applyFont="1" applyFill="1" applyBorder="1" applyAlignment="1">
      <alignment horizontal="left" vertical="center" wrapText="1"/>
    </xf>
    <xf numFmtId="178" fontId="21" fillId="3" borderId="4" xfId="0" applyNumberFormat="1" applyFont="1" applyFill="1" applyBorder="1" applyAlignment="1">
      <alignment horizontal="left" vertical="center" wrapText="1"/>
    </xf>
    <xf numFmtId="178" fontId="21" fillId="9" borderId="4" xfId="0" applyNumberFormat="1" applyFont="1" applyFill="1" applyBorder="1" applyAlignment="1">
      <alignment horizontal="left" vertical="center" wrapText="1"/>
    </xf>
    <xf numFmtId="0" fontId="25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178" fontId="29" fillId="3" borderId="5" xfId="0" applyNumberFormat="1" applyFont="1" applyFill="1" applyBorder="1" applyAlignment="1">
      <alignment horizontal="left" vertical="center" wrapText="1"/>
    </xf>
    <xf numFmtId="178" fontId="8" fillId="0" borderId="5" xfId="0" applyNumberFormat="1" applyFont="1" applyBorder="1" applyAlignment="1">
      <alignment horizontal="left" vertical="center" wrapText="1"/>
    </xf>
    <xf numFmtId="178" fontId="23" fillId="3" borderId="6" xfId="0" applyNumberFormat="1" applyFont="1" applyFill="1" applyBorder="1" applyAlignment="1">
      <alignment horizontal="left" vertical="center" wrapText="1"/>
    </xf>
    <xf numFmtId="178" fontId="28" fillId="0" borderId="7" xfId="0" applyNumberFormat="1" applyFont="1" applyBorder="1" applyAlignment="1">
      <alignment horizontal="left" vertical="center" wrapText="1"/>
    </xf>
    <xf numFmtId="179" fontId="32" fillId="3" borderId="4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36" fillId="0" borderId="4" xfId="0" applyNumberFormat="1" applyFont="1" applyBorder="1" applyAlignment="1">
      <alignment horizontal="left" vertical="center" wrapText="1"/>
    </xf>
    <xf numFmtId="49" fontId="8" fillId="3" borderId="5" xfId="0" applyNumberFormat="1" applyFont="1" applyFill="1" applyBorder="1" applyAlignment="1">
      <alignment horizontal="left" vertical="center" wrapText="1"/>
    </xf>
    <xf numFmtId="178" fontId="8" fillId="9" borderId="5" xfId="0" applyNumberFormat="1" applyFont="1" applyFill="1" applyBorder="1" applyAlignment="1">
      <alignment horizontal="left" vertical="center" wrapText="1"/>
    </xf>
    <xf numFmtId="179" fontId="15" fillId="3" borderId="4" xfId="0" applyNumberFormat="1" applyFont="1" applyFill="1" applyBorder="1" applyAlignment="1">
      <alignment horizontal="left" vertical="center" wrapText="1"/>
    </xf>
    <xf numFmtId="178" fontId="30" fillId="0" borderId="7" xfId="0" applyNumberFormat="1" applyFont="1" applyBorder="1" applyAlignment="1">
      <alignment horizontal="left" vertical="center" wrapText="1"/>
    </xf>
    <xf numFmtId="178" fontId="30" fillId="0" borderId="9" xfId="0" applyNumberFormat="1" applyFont="1" applyBorder="1" applyAlignment="1">
      <alignment horizontal="left" vertical="center" wrapText="1"/>
    </xf>
    <xf numFmtId="178" fontId="31" fillId="11" borderId="4" xfId="0" applyNumberFormat="1" applyFont="1" applyFill="1" applyBorder="1" applyAlignment="1">
      <alignment horizontal="left" vertical="center" wrapText="1"/>
    </xf>
    <xf numFmtId="178" fontId="33" fillId="7" borderId="5" xfId="0" applyNumberFormat="1" applyFont="1" applyFill="1" applyBorder="1" applyAlignment="1">
      <alignment horizontal="left" vertical="center" wrapText="1"/>
    </xf>
    <xf numFmtId="178" fontId="33" fillId="4" borderId="5" xfId="0" applyNumberFormat="1" applyFont="1" applyFill="1" applyBorder="1" applyAlignment="1">
      <alignment horizontal="left" vertical="center" wrapText="1"/>
    </xf>
    <xf numFmtId="178" fontId="33" fillId="12" borderId="5" xfId="0" applyNumberFormat="1" applyFont="1" applyFill="1" applyBorder="1" applyAlignment="1">
      <alignment horizontal="left" vertical="center" wrapText="1"/>
    </xf>
    <xf numFmtId="0" fontId="18" fillId="0" borderId="10" xfId="0" applyFont="1" applyBorder="1" applyAlignment="1">
      <alignment vertical="center"/>
    </xf>
    <xf numFmtId="178" fontId="28" fillId="0" borderId="9" xfId="0" applyNumberFormat="1" applyFont="1" applyBorder="1" applyAlignment="1">
      <alignment horizontal="left" vertical="center" wrapText="1"/>
    </xf>
    <xf numFmtId="0" fontId="13" fillId="0" borderId="11" xfId="0" applyFont="1" applyBorder="1" applyAlignment="1">
      <alignment vertical="center"/>
    </xf>
    <xf numFmtId="0" fontId="24" fillId="6" borderId="12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178" fontId="32" fillId="3" borderId="4" xfId="0" applyNumberFormat="1" applyFont="1" applyFill="1" applyBorder="1" applyAlignment="1">
      <alignment horizontal="left" vertical="center" wrapText="1"/>
    </xf>
    <xf numFmtId="178" fontId="38" fillId="0" borderId="4" xfId="0" applyNumberFormat="1" applyFont="1" applyBorder="1" applyAlignment="1">
      <alignment horizontal="left" vertical="center" wrapText="1"/>
    </xf>
    <xf numFmtId="178" fontId="32" fillId="0" borderId="4" xfId="0" applyNumberFormat="1" applyFont="1" applyBorder="1" applyAlignment="1">
      <alignment horizontal="left" vertical="center" wrapText="1"/>
    </xf>
    <xf numFmtId="178" fontId="33" fillId="13" borderId="5" xfId="0" applyNumberFormat="1" applyFont="1" applyFill="1" applyBorder="1" applyAlignment="1">
      <alignment horizontal="left" vertical="center" wrapText="1"/>
    </xf>
    <xf numFmtId="179" fontId="39" fillId="3" borderId="4" xfId="0" applyNumberFormat="1" applyFont="1" applyFill="1" applyBorder="1" applyAlignment="1">
      <alignment horizontal="left" vertical="center" wrapText="1"/>
    </xf>
    <xf numFmtId="178" fontId="39" fillId="11" borderId="4" xfId="0" applyNumberFormat="1" applyFont="1" applyFill="1" applyBorder="1" applyAlignment="1">
      <alignment horizontal="left" vertical="center" wrapText="1"/>
    </xf>
    <xf numFmtId="178" fontId="40" fillId="0" borderId="4" xfId="0" applyNumberFormat="1" applyFont="1" applyBorder="1" applyAlignment="1">
      <alignment horizontal="left" vertical="center" wrapText="1"/>
    </xf>
    <xf numFmtId="178" fontId="23" fillId="11" borderId="5" xfId="0" applyNumberFormat="1" applyFont="1" applyFill="1" applyBorder="1" applyAlignment="1">
      <alignment horizontal="left" vertical="center" wrapText="1"/>
    </xf>
    <xf numFmtId="179" fontId="40" fillId="3" borderId="4" xfId="0" applyNumberFormat="1" applyFont="1" applyFill="1" applyBorder="1" applyAlignment="1">
      <alignment horizontal="left" vertical="center" wrapText="1"/>
    </xf>
    <xf numFmtId="179" fontId="38" fillId="3" borderId="4" xfId="0" applyNumberFormat="1" applyFont="1" applyFill="1" applyBorder="1" applyAlignment="1">
      <alignment horizontal="left" vertical="center" wrapText="1"/>
    </xf>
    <xf numFmtId="178" fontId="32" fillId="3" borderId="5" xfId="0" applyNumberFormat="1" applyFont="1" applyFill="1" applyBorder="1" applyAlignment="1">
      <alignment horizontal="left" vertical="center" wrapText="1"/>
    </xf>
    <xf numFmtId="178" fontId="41" fillId="3" borderId="5" xfId="0" applyNumberFormat="1" applyFont="1" applyFill="1" applyBorder="1" applyAlignment="1">
      <alignment horizontal="left" vertical="center" wrapText="1"/>
    </xf>
    <xf numFmtId="179" fontId="42" fillId="3" borderId="4" xfId="0" applyNumberFormat="1" applyFont="1" applyFill="1" applyBorder="1" applyAlignment="1">
      <alignment horizontal="left" vertical="center" wrapText="1"/>
    </xf>
    <xf numFmtId="178" fontId="42" fillId="0" borderId="4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5" borderId="13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3" fillId="7" borderId="13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  <xf numFmtId="179" fontId="45" fillId="3" borderId="4" xfId="0" applyNumberFormat="1" applyFont="1" applyFill="1" applyBorder="1" applyAlignment="1">
      <alignment horizontal="left" vertical="center" wrapText="1"/>
    </xf>
    <xf numFmtId="178" fontId="37" fillId="11" borderId="14" xfId="0" applyNumberFormat="1" applyFont="1" applyFill="1" applyBorder="1" applyAlignment="1">
      <alignment horizontal="left" vertical="center" wrapText="1"/>
    </xf>
    <xf numFmtId="178" fontId="28" fillId="0" borderId="15" xfId="0" applyNumberFormat="1" applyFont="1" applyBorder="1" applyAlignment="1">
      <alignment horizontal="left" vertical="center" wrapText="1"/>
    </xf>
    <xf numFmtId="178" fontId="46" fillId="0" borderId="5" xfId="1" applyNumberFormat="1" applyFill="1" applyBorder="1" applyAlignment="1">
      <alignment horizontal="left" vertical="center" wrapText="1"/>
    </xf>
    <xf numFmtId="178" fontId="23" fillId="3" borderId="7" xfId="0" applyNumberFormat="1" applyFont="1" applyFill="1" applyBorder="1" applyAlignment="1">
      <alignment horizontal="left" vertical="center" wrapText="1"/>
    </xf>
    <xf numFmtId="178" fontId="33" fillId="16" borderId="5" xfId="0" applyNumberFormat="1" applyFont="1" applyFill="1" applyBorder="1" applyAlignment="1">
      <alignment horizontal="left" vertical="center" wrapText="1"/>
    </xf>
    <xf numFmtId="178" fontId="33" fillId="4" borderId="5" xfId="0" applyNumberFormat="1" applyFont="1" applyFill="1" applyBorder="1" applyAlignment="1">
      <alignment horizontal="left" vertical="center" wrapText="1"/>
    </xf>
    <xf numFmtId="178" fontId="33" fillId="4" borderId="5" xfId="0" applyNumberFormat="1" applyFont="1" applyFill="1" applyBorder="1" applyAlignment="1">
      <alignment horizontal="left" vertical="center" wrapText="1"/>
    </xf>
    <xf numFmtId="178" fontId="33" fillId="4" borderId="5" xfId="0" applyNumberFormat="1" applyFont="1" applyFill="1" applyBorder="1" applyAlignment="1">
      <alignment horizontal="left" vertical="center" wrapText="1"/>
    </xf>
    <xf numFmtId="178" fontId="33" fillId="4" borderId="5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78" fontId="33" fillId="4" borderId="5" xfId="0" applyNumberFormat="1" applyFont="1" applyFill="1" applyBorder="1" applyAlignment="1">
      <alignment horizontal="left" vertical="center" wrapText="1"/>
    </xf>
    <xf numFmtId="178" fontId="33" fillId="12" borderId="5" xfId="0" applyNumberFormat="1" applyFont="1" applyFill="1" applyBorder="1" applyAlignment="1">
      <alignment horizontal="left" vertical="center" wrapText="1"/>
    </xf>
    <xf numFmtId="178" fontId="8" fillId="8" borderId="5" xfId="0" applyNumberFormat="1" applyFont="1" applyFill="1" applyBorder="1" applyAlignment="1">
      <alignment horizontal="left" vertical="center" wrapText="1"/>
    </xf>
    <xf numFmtId="178" fontId="33" fillId="4" borderId="5" xfId="0" applyNumberFormat="1" applyFont="1" applyFill="1" applyBorder="1" applyAlignment="1">
      <alignment horizontal="left" vertical="center" wrapText="1"/>
    </xf>
    <xf numFmtId="178" fontId="33" fillId="7" borderId="5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178" fontId="33" fillId="17" borderId="5" xfId="0" applyNumberFormat="1" applyFont="1" applyFill="1" applyBorder="1" applyAlignment="1">
      <alignment horizontal="left" vertical="center" wrapText="1"/>
    </xf>
    <xf numFmtId="178" fontId="33" fillId="18" borderId="5" xfId="0" applyNumberFormat="1" applyFont="1" applyFill="1" applyBorder="1" applyAlignment="1">
      <alignment horizontal="left" vertical="center" wrapText="1"/>
    </xf>
    <xf numFmtId="178" fontId="47" fillId="14" borderId="5" xfId="0" applyNumberFormat="1" applyFont="1" applyFill="1" applyBorder="1" applyAlignment="1">
      <alignment horizontal="left" vertical="center" wrapText="1"/>
    </xf>
    <xf numFmtId="178" fontId="33" fillId="19" borderId="5" xfId="0" applyNumberFormat="1" applyFont="1" applyFill="1" applyBorder="1" applyAlignment="1">
      <alignment horizontal="left" vertical="center" wrapText="1"/>
    </xf>
    <xf numFmtId="178" fontId="37" fillId="3" borderId="5" xfId="0" applyNumberFormat="1" applyFont="1" applyFill="1" applyBorder="1" applyAlignment="1">
      <alignment vertical="center" wrapText="1"/>
    </xf>
    <xf numFmtId="178" fontId="48" fillId="4" borderId="5" xfId="0" applyNumberFormat="1" applyFont="1" applyFill="1" applyBorder="1" applyAlignment="1">
      <alignment horizontal="left" vertical="center" wrapText="1"/>
    </xf>
    <xf numFmtId="178" fontId="33" fillId="10" borderId="5" xfId="0" applyNumberFormat="1" applyFont="1" applyFill="1" applyBorder="1" applyAlignment="1">
      <alignment horizontal="left" vertical="center" wrapText="1"/>
    </xf>
    <xf numFmtId="178" fontId="8" fillId="6" borderId="5" xfId="0" applyNumberFormat="1" applyFont="1" applyFill="1" applyBorder="1" applyAlignment="1">
      <alignment horizontal="left" vertical="center" wrapText="1"/>
    </xf>
    <xf numFmtId="178" fontId="49" fillId="21" borderId="17" xfId="0" applyNumberFormat="1" applyFont="1" applyFill="1" applyBorder="1" applyAlignment="1">
      <alignment vertical="center" wrapText="1"/>
    </xf>
    <xf numFmtId="178" fontId="8" fillId="8" borderId="16" xfId="0" applyNumberFormat="1" applyFont="1" applyFill="1" applyBorder="1" applyAlignment="1">
      <alignment vertical="center" wrapText="1"/>
    </xf>
    <xf numFmtId="178" fontId="33" fillId="23" borderId="5" xfId="0" applyNumberFormat="1" applyFont="1" applyFill="1" applyBorder="1" applyAlignment="1">
      <alignment horizontal="left" vertical="center" wrapText="1"/>
    </xf>
    <xf numFmtId="178" fontId="47" fillId="23" borderId="5" xfId="0" applyNumberFormat="1" applyFont="1" applyFill="1" applyBorder="1" applyAlignment="1">
      <alignment horizontal="left" vertical="center" wrapText="1"/>
    </xf>
    <xf numFmtId="178" fontId="8" fillId="14" borderId="16" xfId="0" applyNumberFormat="1" applyFont="1" applyFill="1" applyBorder="1" applyAlignment="1">
      <alignment vertical="center" wrapText="1"/>
    </xf>
    <xf numFmtId="178" fontId="8" fillId="14" borderId="8" xfId="0" applyNumberFormat="1" applyFont="1" applyFill="1" applyBorder="1" applyAlignment="1">
      <alignment vertical="center" wrapText="1"/>
    </xf>
    <xf numFmtId="178" fontId="37" fillId="14" borderId="17" xfId="0" applyNumberFormat="1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0" fillId="0" borderId="13" xfId="0" applyBorder="1">
      <alignment vertical="center"/>
    </xf>
    <xf numFmtId="0" fontId="8" fillId="0" borderId="13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43" fillId="0" borderId="13" xfId="0" applyFont="1" applyBorder="1">
      <alignment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Font="1" applyBorder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0" fillId="0" borderId="0" xfId="0" quotePrefix="1">
      <alignment vertical="center"/>
    </xf>
    <xf numFmtId="178" fontId="33" fillId="24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47" fillId="1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49" fontId="32" fillId="3" borderId="5" xfId="0" applyNumberFormat="1" applyFont="1" applyFill="1" applyBorder="1" applyAlignment="1">
      <alignment horizontal="left" vertical="center" wrapText="1"/>
    </xf>
    <xf numFmtId="178" fontId="8" fillId="16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5" borderId="0" xfId="0" applyFont="1" applyFill="1" applyAlignment="1">
      <alignment vertical="center"/>
    </xf>
    <xf numFmtId="0" fontId="17" fillId="6" borderId="0" xfId="0" applyFont="1" applyFill="1" applyAlignment="1">
      <alignment vertical="center"/>
    </xf>
    <xf numFmtId="0" fontId="17" fillId="25" borderId="0" xfId="0" applyFont="1" applyFill="1" applyAlignment="1">
      <alignment vertical="center"/>
    </xf>
    <xf numFmtId="0" fontId="7" fillId="26" borderId="0" xfId="0" applyFont="1" applyFill="1" applyAlignment="1">
      <alignment vertical="center"/>
    </xf>
    <xf numFmtId="178" fontId="50" fillId="1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33" fillId="7" borderId="6" xfId="0" applyNumberFormat="1" applyFont="1" applyFill="1" applyBorder="1" applyAlignment="1">
      <alignment vertical="center" wrapText="1"/>
    </xf>
    <xf numFmtId="0" fontId="18" fillId="0" borderId="0" xfId="0" applyFont="1" applyBorder="1" applyAlignment="1">
      <alignment vertical="center"/>
    </xf>
    <xf numFmtId="179" fontId="51" fillId="3" borderId="4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26" borderId="0" xfId="0" applyFont="1" applyFill="1" applyAlignment="1">
      <alignment horizontal="left" vertical="center"/>
    </xf>
    <xf numFmtId="178" fontId="49" fillId="23" borderId="16" xfId="0" applyNumberFormat="1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0" borderId="5" xfId="0" applyNumberFormat="1" applyFont="1" applyBorder="1" applyAlignment="1">
      <alignment horizontal="center" vertical="center" wrapText="1"/>
    </xf>
    <xf numFmtId="178" fontId="28" fillId="0" borderId="5" xfId="0" applyNumberFormat="1" applyFont="1" applyBorder="1" applyAlignment="1">
      <alignment horizontal="center" vertical="center" wrapText="1"/>
    </xf>
    <xf numFmtId="178" fontId="30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22" borderId="5" xfId="0" applyNumberFormat="1" applyFont="1" applyFill="1" applyBorder="1" applyAlignment="1">
      <alignment horizontal="center" vertical="center" wrapText="1"/>
    </xf>
    <xf numFmtId="0" fontId="52" fillId="5" borderId="0" xfId="0" applyFont="1" applyFill="1" applyAlignment="1">
      <alignment horizontal="center" vertical="center"/>
    </xf>
    <xf numFmtId="178" fontId="52" fillId="10" borderId="6" xfId="0" applyNumberFormat="1" applyFont="1" applyFill="1" applyBorder="1" applyAlignment="1">
      <alignment horizontal="center" vertical="center" wrapText="1"/>
    </xf>
    <xf numFmtId="178" fontId="52" fillId="0" borderId="5" xfId="0" applyNumberFormat="1" applyFont="1" applyBorder="1" applyAlignment="1">
      <alignment horizontal="left" vertical="center" wrapText="1"/>
    </xf>
    <xf numFmtId="49" fontId="7" fillId="27" borderId="6" xfId="0" applyNumberFormat="1" applyFont="1" applyFill="1" applyBorder="1" applyAlignment="1">
      <alignment vertical="center" wrapText="1"/>
    </xf>
    <xf numFmtId="49" fontId="52" fillId="27" borderId="21" xfId="0" applyNumberFormat="1" applyFont="1" applyFill="1" applyBorder="1" applyAlignment="1">
      <alignment vertical="center" wrapText="1"/>
    </xf>
    <xf numFmtId="178" fontId="8" fillId="17" borderId="5" xfId="0" applyNumberFormat="1" applyFont="1" applyFill="1" applyBorder="1" applyAlignment="1">
      <alignment horizontal="left" vertical="center" wrapText="1"/>
    </xf>
    <xf numFmtId="178" fontId="23" fillId="3" borderId="5" xfId="0" applyNumberFormat="1" applyFont="1" applyFill="1" applyBorder="1" applyAlignment="1">
      <alignment horizontal="center" vertical="center" wrapText="1"/>
    </xf>
    <xf numFmtId="178" fontId="8" fillId="17" borderId="5" xfId="0" applyNumberFormat="1" applyFont="1" applyFill="1" applyBorder="1" applyAlignment="1">
      <alignment horizontal="center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49" fontId="20" fillId="3" borderId="4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23" borderId="5" xfId="0" applyNumberFormat="1" applyFont="1" applyFill="1" applyBorder="1" applyAlignment="1">
      <alignment horizontal="left" vertical="center" wrapText="1"/>
    </xf>
    <xf numFmtId="178" fontId="33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30" borderId="0" xfId="0" applyFont="1" applyFill="1" applyAlignment="1">
      <alignment vertical="center"/>
    </xf>
    <xf numFmtId="0" fontId="17" fillId="9" borderId="0" xfId="0" applyFont="1" applyFill="1" applyAlignment="1">
      <alignment vertical="center"/>
    </xf>
    <xf numFmtId="0" fontId="17" fillId="5" borderId="5" xfId="0" applyFont="1" applyFill="1" applyBorder="1" applyAlignment="1">
      <alignment vertical="center"/>
    </xf>
    <xf numFmtId="0" fontId="17" fillId="30" borderId="5" xfId="0" applyFont="1" applyFill="1" applyBorder="1" applyAlignment="1">
      <alignment vertical="center"/>
    </xf>
    <xf numFmtId="0" fontId="53" fillId="5" borderId="0" xfId="0" applyFont="1" applyFill="1" applyAlignment="1">
      <alignment vertical="center"/>
    </xf>
    <xf numFmtId="0" fontId="53" fillId="4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33" fillId="5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15" fillId="3" borderId="4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53" fillId="30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37" fillId="23" borderId="5" xfId="0" applyNumberFormat="1" applyFont="1" applyFill="1" applyBorder="1" applyAlignment="1">
      <alignment horizontal="left" vertical="center" wrapText="1"/>
    </xf>
    <xf numFmtId="178" fontId="37" fillId="23" borderId="5" xfId="0" applyNumberFormat="1" applyFont="1" applyFill="1" applyBorder="1" applyAlignment="1">
      <alignment horizontal="center" vertical="center" wrapText="1"/>
    </xf>
    <xf numFmtId="178" fontId="55" fillId="3" borderId="5" xfId="0" applyNumberFormat="1" applyFont="1" applyFill="1" applyBorder="1" applyAlignment="1">
      <alignment horizontal="left" vertical="center" wrapText="1"/>
    </xf>
    <xf numFmtId="178" fontId="41" fillId="3" borderId="4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23" fillId="3" borderId="0" xfId="0" applyNumberFormat="1" applyFont="1" applyFill="1" applyBorder="1" applyAlignment="1">
      <alignment horizontal="left" vertical="center" wrapText="1"/>
    </xf>
    <xf numFmtId="178" fontId="28" fillId="0" borderId="0" xfId="0" applyNumberFormat="1" applyFont="1" applyBorder="1" applyAlignment="1">
      <alignment horizontal="left" vertical="center" wrapText="1"/>
    </xf>
    <xf numFmtId="0" fontId="57" fillId="4" borderId="0" xfId="0" applyFont="1" applyFill="1" applyAlignment="1">
      <alignment vertical="center"/>
    </xf>
    <xf numFmtId="0" fontId="57" fillId="4" borderId="6" xfId="0" applyFont="1" applyFill="1" applyBorder="1" applyAlignment="1">
      <alignment vertical="center"/>
    </xf>
    <xf numFmtId="178" fontId="23" fillId="3" borderId="0" xfId="0" applyNumberFormat="1" applyFont="1" applyFill="1" applyBorder="1" applyAlignment="1">
      <alignment horizontal="center" vertical="center" wrapText="1"/>
    </xf>
    <xf numFmtId="0" fontId="17" fillId="7" borderId="0" xfId="0" applyFont="1" applyFill="1" applyAlignment="1">
      <alignment vertical="center"/>
    </xf>
    <xf numFmtId="0" fontId="57" fillId="7" borderId="5" xfId="0" applyFont="1" applyFill="1" applyBorder="1" applyAlignment="1">
      <alignment horizontal="center" vertical="center"/>
    </xf>
    <xf numFmtId="0" fontId="57" fillId="7" borderId="5" xfId="0" applyFont="1" applyFill="1" applyBorder="1" applyAlignment="1">
      <alignment vertical="center"/>
    </xf>
    <xf numFmtId="0" fontId="57" fillId="4" borderId="5" xfId="0" applyFont="1" applyFill="1" applyBorder="1" applyAlignment="1">
      <alignment vertical="center"/>
    </xf>
    <xf numFmtId="0" fontId="53" fillId="4" borderId="5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57" fillId="7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58" fillId="7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7" fillId="5" borderId="6" xfId="0" applyFont="1" applyFill="1" applyBorder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17" fillId="4" borderId="6" xfId="0" applyFont="1" applyFill="1" applyBorder="1" applyAlignment="1">
      <alignment vertical="center"/>
    </xf>
    <xf numFmtId="0" fontId="17" fillId="5" borderId="21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30" fillId="2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7" fillId="4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30" borderId="6" xfId="0" applyFont="1" applyFill="1" applyBorder="1" applyAlignment="1">
      <alignment vertical="center"/>
    </xf>
    <xf numFmtId="178" fontId="8" fillId="0" borderId="5" xfId="0" applyNumberFormat="1" applyFont="1" applyFill="1" applyBorder="1" applyAlignment="1">
      <alignment horizontal="left" vertical="center" wrapText="1"/>
    </xf>
    <xf numFmtId="0" fontId="59" fillId="4" borderId="0" xfId="0" applyFont="1" applyFill="1" applyAlignment="1">
      <alignment vertical="center"/>
    </xf>
    <xf numFmtId="178" fontId="61" fillId="0" borderId="5" xfId="0" applyNumberFormat="1" applyFont="1" applyBorder="1" applyAlignment="1">
      <alignment horizontal="left" vertical="center" wrapText="1"/>
    </xf>
    <xf numFmtId="0" fontId="59" fillId="30" borderId="0" xfId="0" applyFont="1" applyFill="1" applyAlignment="1">
      <alignment vertical="center"/>
    </xf>
    <xf numFmtId="178" fontId="61" fillId="0" borderId="7" xfId="0" applyNumberFormat="1" applyFont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8" fontId="28" fillId="8" borderId="5" xfId="0" applyNumberFormat="1" applyFont="1" applyFill="1" applyBorder="1" applyAlignment="1">
      <alignment horizontal="left" vertical="center" wrapText="1"/>
    </xf>
    <xf numFmtId="181" fontId="7" fillId="0" borderId="0" xfId="0" applyNumberFormat="1" applyFont="1" applyAlignment="1">
      <alignment vertical="center"/>
    </xf>
    <xf numFmtId="181" fontId="13" fillId="0" borderId="0" xfId="0" applyNumberFormat="1" applyFont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7" fillId="5" borderId="22" xfId="0" applyFont="1" applyFill="1" applyBorder="1" applyAlignment="1">
      <alignment vertical="center"/>
    </xf>
    <xf numFmtId="0" fontId="53" fillId="5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8" fontId="33" fillId="0" borderId="5" xfId="0" applyNumberFormat="1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/>
    </xf>
    <xf numFmtId="0" fontId="62" fillId="30" borderId="6" xfId="0" applyFont="1" applyFill="1" applyBorder="1" applyAlignment="1">
      <alignment vertical="center"/>
    </xf>
    <xf numFmtId="178" fontId="28" fillId="0" borderId="6" xfId="0" applyNumberFormat="1" applyFont="1" applyBorder="1" applyAlignment="1">
      <alignment horizontal="left" vertical="center" wrapText="1"/>
    </xf>
    <xf numFmtId="178" fontId="28" fillId="0" borderId="21" xfId="0" applyNumberFormat="1" applyFont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0" fillId="0" borderId="3" xfId="0" applyFont="1" applyBorder="1" applyAlignment="1">
      <alignment horizontal="center" vertical="center"/>
    </xf>
    <xf numFmtId="177" fontId="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78" fontId="20" fillId="0" borderId="4" xfId="0" applyNumberFormat="1" applyFont="1" applyBorder="1" applyAlignment="1">
      <alignment horizontal="left" vertical="center" wrapText="1"/>
    </xf>
    <xf numFmtId="178" fontId="8" fillId="0" borderId="6" xfId="0" applyNumberFormat="1" applyFont="1" applyBorder="1" applyAlignment="1">
      <alignment horizontal="left" vertical="center" wrapText="1"/>
    </xf>
    <xf numFmtId="178" fontId="8" fillId="0" borderId="21" xfId="0" applyNumberFormat="1" applyFont="1" applyBorder="1" applyAlignment="1">
      <alignment horizontal="left" vertical="center" wrapText="1"/>
    </xf>
    <xf numFmtId="0" fontId="17" fillId="0" borderId="0" xfId="0" applyFont="1" applyFill="1" applyAlignment="1">
      <alignment vertical="center"/>
    </xf>
    <xf numFmtId="178" fontId="20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59" fillId="4" borderId="6" xfId="0" applyFont="1" applyFill="1" applyBorder="1" applyAlignment="1">
      <alignment vertical="center"/>
    </xf>
    <xf numFmtId="181" fontId="17" fillId="4" borderId="0" xfId="0" quotePrefix="1" applyNumberFormat="1" applyFont="1" applyFill="1" applyAlignment="1">
      <alignment vertical="center"/>
    </xf>
    <xf numFmtId="0" fontId="17" fillId="30" borderId="0" xfId="0" quotePrefix="1" applyFont="1" applyFill="1" applyAlignment="1">
      <alignment vertical="center"/>
    </xf>
    <xf numFmtId="0" fontId="53" fillId="4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5" borderId="0" xfId="0" applyFont="1" applyFill="1" applyAlignment="1">
      <alignment vertical="center"/>
    </xf>
    <xf numFmtId="0" fontId="17" fillId="30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178" fontId="8" fillId="0" borderId="5" xfId="0" applyNumberFormat="1" applyFont="1" applyBorder="1" applyAlignment="1">
      <alignment horizontal="left" vertical="center" wrapText="1"/>
    </xf>
    <xf numFmtId="0" fontId="17" fillId="30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5" borderId="0" xfId="0" applyFont="1" applyFill="1" applyAlignment="1">
      <alignment vertical="center"/>
    </xf>
    <xf numFmtId="0" fontId="17" fillId="30" borderId="0" xfId="0" applyFont="1" applyFill="1" applyAlignment="1">
      <alignment vertical="center"/>
    </xf>
    <xf numFmtId="0" fontId="53" fillId="4" borderId="0" xfId="0" applyFont="1" applyFill="1" applyAlignment="1">
      <alignment vertical="center"/>
    </xf>
    <xf numFmtId="0" fontId="17" fillId="30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30" borderId="0" xfId="0" applyFont="1" applyFill="1" applyAlignment="1">
      <alignment vertical="center"/>
    </xf>
    <xf numFmtId="178" fontId="8" fillId="0" borderId="5" xfId="0" applyNumberFormat="1" applyFont="1" applyBorder="1" applyAlignment="1">
      <alignment horizontal="left" vertical="center" wrapText="1"/>
    </xf>
    <xf numFmtId="0" fontId="17" fillId="30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center" vertical="center" wrapText="1"/>
    </xf>
    <xf numFmtId="0" fontId="17" fillId="30" borderId="0" xfId="0" applyFont="1" applyFill="1" applyAlignment="1">
      <alignment vertical="center"/>
    </xf>
    <xf numFmtId="178" fontId="8" fillId="0" borderId="5" xfId="0" applyNumberFormat="1" applyFont="1" applyBorder="1" applyAlignment="1">
      <alignment horizontal="left" vertical="center" wrapText="1"/>
    </xf>
    <xf numFmtId="0" fontId="53" fillId="5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36" fillId="0" borderId="4" xfId="0" applyNumberFormat="1" applyFont="1" applyBorder="1" applyAlignment="1">
      <alignment horizontal="left" vertical="center" wrapText="1"/>
    </xf>
    <xf numFmtId="0" fontId="17" fillId="30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8" xfId="0" applyNumberFormat="1" applyFont="1" applyFill="1" applyBorder="1" applyAlignment="1">
      <alignment vertical="center" wrapText="1"/>
    </xf>
    <xf numFmtId="178" fontId="8" fillId="3" borderId="17" xfId="0" applyNumberFormat="1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0" borderId="16" xfId="0" applyNumberFormat="1" applyFont="1" applyBorder="1" applyAlignment="1">
      <alignment vertical="center" wrapText="1"/>
    </xf>
    <xf numFmtId="0" fontId="53" fillId="5" borderId="6" xfId="0" applyFont="1" applyFill="1" applyBorder="1" applyAlignment="1">
      <alignment horizontal="left" vertical="center"/>
    </xf>
    <xf numFmtId="0" fontId="53" fillId="5" borderId="21" xfId="0" applyFont="1" applyFill="1" applyBorder="1" applyAlignment="1">
      <alignment horizontal="left" vertical="center"/>
    </xf>
    <xf numFmtId="181" fontId="57" fillId="4" borderId="0" xfId="0" quotePrefix="1" applyNumberFormat="1" applyFont="1" applyFill="1" applyAlignment="1">
      <alignment vertical="center" wrapText="1"/>
    </xf>
    <xf numFmtId="181" fontId="53" fillId="4" borderId="0" xfId="0" quotePrefix="1" applyNumberFormat="1" applyFont="1" applyFill="1" applyAlignment="1">
      <alignment vertical="center"/>
    </xf>
    <xf numFmtId="178" fontId="33" fillId="3" borderId="6" xfId="0" applyNumberFormat="1" applyFont="1" applyFill="1" applyBorder="1" applyAlignment="1">
      <alignment horizontal="left" vertical="center" wrapText="1"/>
    </xf>
    <xf numFmtId="178" fontId="33" fillId="3" borderId="21" xfId="0" applyNumberFormat="1" applyFont="1" applyFill="1" applyBorder="1" applyAlignment="1">
      <alignment horizontal="left" vertical="center" wrapText="1"/>
    </xf>
    <xf numFmtId="178" fontId="33" fillId="3" borderId="5" xfId="0" applyNumberFormat="1" applyFont="1" applyFill="1" applyBorder="1" applyAlignment="1">
      <alignment horizontal="center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7" fillId="4" borderId="0" xfId="0" applyFont="1" applyFill="1" applyAlignment="1">
      <alignment vertical="center"/>
    </xf>
    <xf numFmtId="0" fontId="17" fillId="30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7" fillId="31" borderId="0" xfId="0" applyFont="1" applyFill="1" applyAlignment="1">
      <alignment vertical="center"/>
    </xf>
    <xf numFmtId="0" fontId="53" fillId="31" borderId="0" xfId="0" applyFont="1" applyFill="1" applyAlignment="1">
      <alignment vertical="center"/>
    </xf>
    <xf numFmtId="181" fontId="17" fillId="4" borderId="5" xfId="0" quotePrefix="1" applyNumberFormat="1" applyFont="1" applyFill="1" applyBorder="1" applyAlignment="1">
      <alignment vertical="center"/>
    </xf>
    <xf numFmtId="0" fontId="53" fillId="31" borderId="5" xfId="0" applyFont="1" applyFill="1" applyBorder="1" applyAlignment="1">
      <alignment vertical="center"/>
    </xf>
    <xf numFmtId="0" fontId="17" fillId="31" borderId="5" xfId="0" applyFont="1" applyFill="1" applyBorder="1" applyAlignment="1">
      <alignment vertical="center"/>
    </xf>
    <xf numFmtId="0" fontId="53" fillId="5" borderId="5" xfId="0" applyFont="1" applyFill="1" applyBorder="1" applyAlignment="1">
      <alignment vertical="center"/>
    </xf>
    <xf numFmtId="0" fontId="53" fillId="30" borderId="5" xfId="0" applyFont="1" applyFill="1" applyBorder="1" applyAlignment="1">
      <alignment vertical="center"/>
    </xf>
    <xf numFmtId="178" fontId="33" fillId="0" borderId="0" xfId="0" applyNumberFormat="1" applyFont="1" applyBorder="1" applyAlignment="1">
      <alignment horizontal="left" vertical="center" wrapText="1"/>
    </xf>
    <xf numFmtId="178" fontId="33" fillId="0" borderId="6" xfId="0" applyNumberFormat="1" applyFont="1" applyBorder="1" applyAlignment="1">
      <alignment horizontal="left" vertical="center" wrapText="1"/>
    </xf>
    <xf numFmtId="178" fontId="33" fillId="0" borderId="21" xfId="0" applyNumberFormat="1" applyFont="1" applyBorder="1" applyAlignment="1">
      <alignment horizontal="left" vertical="center" wrapText="1"/>
    </xf>
    <xf numFmtId="178" fontId="33" fillId="3" borderId="8" xfId="0" applyNumberFormat="1" applyFont="1" applyFill="1" applyBorder="1" applyAlignment="1">
      <alignment vertical="center" wrapText="1"/>
    </xf>
    <xf numFmtId="178" fontId="33" fillId="3" borderId="17" xfId="0" applyNumberFormat="1" applyFont="1" applyFill="1" applyBorder="1" applyAlignment="1">
      <alignment vertical="center" wrapText="1"/>
    </xf>
    <xf numFmtId="181" fontId="66" fillId="4" borderId="0" xfId="0" quotePrefix="1" applyNumberFormat="1" applyFont="1" applyFill="1" applyAlignment="1">
      <alignment vertical="center"/>
    </xf>
    <xf numFmtId="0" fontId="62" fillId="5" borderId="0" xfId="0" applyFont="1" applyFill="1" applyAlignment="1">
      <alignment vertical="center"/>
    </xf>
    <xf numFmtId="0" fontId="48" fillId="5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0" borderId="7" xfId="0" applyNumberFormat="1" applyFont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33" fillId="4" borderId="6" xfId="0" applyFont="1" applyFill="1" applyBorder="1" applyAlignment="1">
      <alignment vertical="center"/>
    </xf>
    <xf numFmtId="178" fontId="71" fillId="0" borderId="4" xfId="0" applyNumberFormat="1" applyFont="1" applyBorder="1" applyAlignment="1">
      <alignment horizontal="left" vertical="center" wrapText="1"/>
    </xf>
    <xf numFmtId="0" fontId="73" fillId="30" borderId="0" xfId="0" applyFont="1" applyFill="1" applyAlignment="1">
      <alignment vertical="center"/>
    </xf>
    <xf numFmtId="0" fontId="62" fillId="5" borderId="5" xfId="0" applyFont="1" applyFill="1" applyBorder="1" applyAlignment="1">
      <alignment vertical="center"/>
    </xf>
    <xf numFmtId="178" fontId="28" fillId="0" borderId="5" xfId="0" applyNumberFormat="1" applyFont="1" applyBorder="1" applyAlignment="1">
      <alignment horizontal="left" vertical="center"/>
    </xf>
    <xf numFmtId="0" fontId="74" fillId="4" borderId="6" xfId="0" applyFont="1" applyFill="1" applyBorder="1" applyAlignment="1">
      <alignment vertical="center"/>
    </xf>
    <xf numFmtId="0" fontId="55" fillId="4" borderId="6" xfId="0" applyFont="1" applyFill="1" applyBorder="1" applyAlignment="1">
      <alignment vertical="center"/>
    </xf>
    <xf numFmtId="0" fontId="48" fillId="4" borderId="6" xfId="0" applyFont="1" applyFill="1" applyBorder="1" applyAlignment="1">
      <alignment vertical="center"/>
    </xf>
    <xf numFmtId="0" fontId="62" fillId="30" borderId="0" xfId="0" applyFont="1" applyFill="1" applyAlignment="1">
      <alignment vertical="center"/>
    </xf>
    <xf numFmtId="0" fontId="33" fillId="5" borderId="6" xfId="0" applyFont="1" applyFill="1" applyBorder="1" applyAlignment="1">
      <alignment vertical="center"/>
    </xf>
    <xf numFmtId="0" fontId="73" fillId="5" borderId="0" xfId="0" applyFont="1" applyFill="1" applyAlignment="1">
      <alignment vertical="center"/>
    </xf>
    <xf numFmtId="178" fontId="16" fillId="3" borderId="5" xfId="0" applyNumberFormat="1" applyFont="1" applyFill="1" applyBorder="1" applyAlignment="1">
      <alignment horizontal="left" vertical="center" wrapText="1"/>
    </xf>
    <xf numFmtId="178" fontId="48" fillId="3" borderId="5" xfId="0" applyNumberFormat="1" applyFont="1" applyFill="1" applyBorder="1" applyAlignment="1">
      <alignment horizontal="left" vertical="center" wrapText="1"/>
    </xf>
    <xf numFmtId="0" fontId="48" fillId="5" borderId="6" xfId="0" applyFont="1" applyFill="1" applyBorder="1" applyAlignment="1">
      <alignment vertical="center"/>
    </xf>
    <xf numFmtId="0" fontId="48" fillId="30" borderId="0" xfId="0" applyFont="1" applyFill="1" applyAlignment="1">
      <alignment vertical="center"/>
    </xf>
    <xf numFmtId="178" fontId="16" fillId="0" borderId="5" xfId="0" applyNumberFormat="1" applyFont="1" applyBorder="1" applyAlignment="1">
      <alignment horizontal="left" vertical="center" wrapText="1"/>
    </xf>
    <xf numFmtId="178" fontId="75" fillId="0" borderId="5" xfId="0" applyNumberFormat="1" applyFont="1" applyBorder="1" applyAlignment="1">
      <alignment horizontal="left" vertical="center" wrapText="1"/>
    </xf>
    <xf numFmtId="178" fontId="75" fillId="0" borderId="5" xfId="0" applyNumberFormat="1" applyFont="1" applyBorder="1" applyAlignment="1">
      <alignment horizontal="center" vertical="center" wrapText="1"/>
    </xf>
    <xf numFmtId="0" fontId="73" fillId="4" borderId="0" xfId="0" applyFont="1" applyFill="1" applyAlignment="1">
      <alignment vertical="center"/>
    </xf>
    <xf numFmtId="178" fontId="75" fillId="3" borderId="5" xfId="0" applyNumberFormat="1" applyFont="1" applyFill="1" applyBorder="1" applyAlignment="1">
      <alignment horizontal="left" vertical="center" wrapText="1"/>
    </xf>
    <xf numFmtId="0" fontId="53" fillId="5" borderId="0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78" fontId="30" fillId="0" borderId="5" xfId="0" applyNumberFormat="1" applyFont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62" fillId="4" borderId="6" xfId="0" applyFont="1" applyFill="1" applyBorder="1" applyAlignment="1">
      <alignment vertical="center"/>
    </xf>
    <xf numFmtId="0" fontId="33" fillId="30" borderId="0" xfId="0" applyFont="1" applyFill="1" applyAlignment="1">
      <alignment vertical="center"/>
    </xf>
    <xf numFmtId="178" fontId="76" fillId="0" borderId="4" xfId="0" applyNumberFormat="1" applyFont="1" applyBorder="1" applyAlignment="1">
      <alignment horizontal="left" vertical="center" wrapText="1"/>
    </xf>
    <xf numFmtId="178" fontId="77" fillId="0" borderId="4" xfId="0" applyNumberFormat="1" applyFont="1" applyBorder="1" applyAlignment="1">
      <alignment horizontal="left" vertical="center" wrapText="1"/>
    </xf>
    <xf numFmtId="178" fontId="76" fillId="3" borderId="4" xfId="0" applyNumberFormat="1" applyFont="1" applyFill="1" applyBorder="1" applyAlignment="1">
      <alignment horizontal="left" vertical="center" wrapText="1"/>
    </xf>
    <xf numFmtId="178" fontId="78" fillId="3" borderId="4" xfId="0" applyNumberFormat="1" applyFont="1" applyFill="1" applyBorder="1" applyAlignment="1">
      <alignment horizontal="left" vertical="center" wrapText="1"/>
    </xf>
    <xf numFmtId="178" fontId="76" fillId="3" borderId="5" xfId="0" applyNumberFormat="1" applyFont="1" applyFill="1" applyBorder="1" applyAlignment="1">
      <alignment horizontal="left" vertical="center" wrapText="1"/>
    </xf>
    <xf numFmtId="0" fontId="30" fillId="0" borderId="0" xfId="0" applyFont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48" fillId="4" borderId="6" xfId="0" applyFont="1" applyFill="1" applyBorder="1" applyAlignment="1">
      <alignment horizontal="center" vertical="center"/>
    </xf>
    <xf numFmtId="0" fontId="79" fillId="4" borderId="6" xfId="0" applyFont="1" applyFill="1" applyBorder="1" applyAlignment="1">
      <alignment vertical="center"/>
    </xf>
    <xf numFmtId="0" fontId="38" fillId="4" borderId="6" xfId="0" applyFont="1" applyFill="1" applyBorder="1" applyAlignment="1">
      <alignment vertical="center"/>
    </xf>
    <xf numFmtId="0" fontId="53" fillId="6" borderId="0" xfId="0" applyFont="1" applyFill="1" applyAlignment="1">
      <alignment vertical="center"/>
    </xf>
    <xf numFmtId="49" fontId="15" fillId="23" borderId="4" xfId="0" applyNumberFormat="1" applyFont="1" applyFill="1" applyBorder="1" applyAlignment="1">
      <alignment horizontal="left" vertical="center" wrapText="1"/>
    </xf>
    <xf numFmtId="0" fontId="74" fillId="5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80" fillId="4" borderId="6" xfId="0" applyFont="1" applyFill="1" applyBorder="1" applyAlignment="1">
      <alignment vertical="center"/>
    </xf>
    <xf numFmtId="0" fontId="48" fillId="5" borderId="5" xfId="0" applyFont="1" applyFill="1" applyBorder="1" applyAlignment="1">
      <alignment vertical="center"/>
    </xf>
    <xf numFmtId="0" fontId="73" fillId="4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48" fillId="5" borderId="21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9" fillId="4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6" xfId="0" applyNumberFormat="1" applyFont="1" applyFill="1" applyBorder="1" applyAlignment="1">
      <alignment horizontal="left" vertical="center" wrapText="1"/>
    </xf>
    <xf numFmtId="0" fontId="79" fillId="5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1" fillId="0" borderId="5" xfId="0" applyNumberFormat="1" applyFont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9" fillId="5" borderId="0" xfId="0" applyFont="1" applyFill="1" applyAlignment="1">
      <alignment vertical="center" wrapText="1"/>
    </xf>
    <xf numFmtId="0" fontId="48" fillId="5" borderId="6" xfId="0" applyFont="1" applyFill="1" applyBorder="1" applyAlignment="1">
      <alignment vertical="center" wrapText="1"/>
    </xf>
    <xf numFmtId="0" fontId="48" fillId="5" borderId="21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48" fillId="5" borderId="0" xfId="0" applyFont="1" applyFill="1" applyAlignment="1">
      <alignment vertical="center" wrapText="1"/>
    </xf>
    <xf numFmtId="0" fontId="48" fillId="5" borderId="5" xfId="0" applyFont="1" applyFill="1" applyBorder="1" applyAlignment="1">
      <alignment vertical="center" wrapText="1"/>
    </xf>
    <xf numFmtId="0" fontId="73" fillId="5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48" fillId="4" borderId="6" xfId="0" applyFont="1" applyFill="1" applyBorder="1" applyAlignment="1">
      <alignment vertical="center" wrapText="1"/>
    </xf>
    <xf numFmtId="0" fontId="84" fillId="4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33" fillId="5" borderId="6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53" fillId="5" borderId="6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53" fillId="5" borderId="5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0" fillId="5" borderId="6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48" fillId="5" borderId="6" xfId="0" applyFont="1" applyFill="1" applyBorder="1" applyAlignment="1">
      <alignment horizontal="center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3" fillId="5" borderId="5" xfId="0" applyFont="1" applyFill="1" applyBorder="1" applyAlignment="1">
      <alignment vertical="center" wrapText="1"/>
    </xf>
    <xf numFmtId="0" fontId="17" fillId="4" borderId="0" xfId="0" applyFont="1" applyFill="1" applyAlignment="1">
      <alignment horizontal="left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62" fillId="5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53" fillId="5" borderId="21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3" fillId="5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55" fillId="4" borderId="5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4" fillId="5" borderId="21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3" fillId="30" borderId="5" xfId="0" applyFont="1" applyFill="1" applyBorder="1" applyAlignment="1">
      <alignment vertical="center"/>
    </xf>
    <xf numFmtId="0" fontId="73" fillId="30" borderId="0" xfId="0" applyFont="1" applyFill="1" applyAlignment="1">
      <alignment vertical="center" wrapText="1"/>
    </xf>
    <xf numFmtId="0" fontId="48" fillId="30" borderId="0" xfId="0" applyFont="1" applyFill="1" applyAlignment="1">
      <alignment vertical="center" wrapText="1"/>
    </xf>
    <xf numFmtId="178" fontId="8" fillId="3" borderId="0" xfId="0" applyNumberFormat="1" applyFont="1" applyFill="1" applyBorder="1" applyAlignment="1">
      <alignment horizontal="left" vertical="center" wrapText="1"/>
    </xf>
    <xf numFmtId="178" fontId="8" fillId="0" borderId="0" xfId="0" applyNumberFormat="1" applyFont="1" applyBorder="1" applyAlignment="1">
      <alignment horizontal="left" vertical="center" wrapText="1"/>
    </xf>
    <xf numFmtId="178" fontId="20" fillId="0" borderId="22" xfId="0" applyNumberFormat="1" applyFont="1" applyBorder="1" applyAlignment="1">
      <alignment horizontal="left" vertical="center" wrapText="1"/>
    </xf>
    <xf numFmtId="178" fontId="36" fillId="0" borderId="22" xfId="0" applyNumberFormat="1" applyFont="1" applyBorder="1" applyAlignment="1">
      <alignment horizontal="left" vertical="center" wrapText="1"/>
    </xf>
    <xf numFmtId="178" fontId="42" fillId="0" borderId="22" xfId="0" applyNumberFormat="1" applyFont="1" applyBorder="1" applyAlignment="1">
      <alignment horizontal="left" vertical="center" wrapText="1"/>
    </xf>
    <xf numFmtId="178" fontId="8" fillId="0" borderId="22" xfId="0" applyNumberFormat="1" applyFont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48" fillId="5" borderId="0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81" fontId="8" fillId="0" borderId="0" xfId="0" applyNumberFormat="1" applyFont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62" fillId="4" borderId="0" xfId="0" applyFont="1" applyFill="1" applyAlignment="1">
      <alignment vertical="center"/>
    </xf>
    <xf numFmtId="0" fontId="73" fillId="4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50" fillId="4" borderId="6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91" fillId="4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47" fillId="4" borderId="0" xfId="0" applyFont="1" applyFill="1" applyAlignment="1">
      <alignment vertical="center" wrapText="1"/>
    </xf>
    <xf numFmtId="0" fontId="62" fillId="4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30" fillId="0" borderId="18" xfId="0" applyFont="1" applyBorder="1" applyAlignment="1">
      <alignment vertical="center"/>
    </xf>
    <xf numFmtId="0" fontId="33" fillId="5" borderId="13" xfId="0" applyFont="1" applyFill="1" applyBorder="1" applyAlignment="1">
      <alignment vertical="center" wrapText="1"/>
    </xf>
    <xf numFmtId="0" fontId="33" fillId="5" borderId="13" xfId="0" applyFont="1" applyFill="1" applyBorder="1" applyAlignment="1">
      <alignment vertical="center"/>
    </xf>
    <xf numFmtId="0" fontId="30" fillId="28" borderId="18" xfId="0" applyFont="1" applyFill="1" applyBorder="1" applyAlignment="1">
      <alignment vertical="center"/>
    </xf>
    <xf numFmtId="0" fontId="30" fillId="0" borderId="20" xfId="0" applyFont="1" applyBorder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98" fillId="5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9" fillId="4" borderId="0" xfId="0" applyFont="1" applyFill="1" applyAlignment="1">
      <alignment vertical="center" wrapText="1"/>
    </xf>
    <xf numFmtId="0" fontId="74" fillId="4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48" fillId="4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5" fillId="28" borderId="20" xfId="0" applyFont="1" applyFill="1" applyBorder="1" applyAlignment="1">
      <alignment horizontal="center" vertical="center"/>
    </xf>
    <xf numFmtId="0" fontId="75" fillId="28" borderId="18" xfId="0" applyFont="1" applyFill="1" applyBorder="1" applyAlignment="1">
      <alignment horizontal="center" vertical="center"/>
    </xf>
    <xf numFmtId="0" fontId="75" fillId="0" borderId="20" xfId="0" applyFont="1" applyBorder="1" applyAlignment="1">
      <alignment horizontal="center" vertical="center"/>
    </xf>
    <xf numFmtId="0" fontId="75" fillId="0" borderId="18" xfId="0" applyFont="1" applyBorder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99" fillId="4" borderId="0" xfId="0" applyFont="1" applyFill="1" applyAlignment="1">
      <alignment vertical="center" wrapText="1"/>
    </xf>
    <xf numFmtId="0" fontId="100" fillId="4" borderId="0" xfId="0" applyFont="1" applyFill="1" applyAlignment="1">
      <alignment vertical="center" wrapText="1"/>
    </xf>
    <xf numFmtId="0" fontId="74" fillId="5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18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84" fillId="0" borderId="18" xfId="0" applyFont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103" fillId="0" borderId="18" xfId="0" applyFont="1" applyBorder="1" applyAlignment="1">
      <alignment vertical="center"/>
    </xf>
    <xf numFmtId="0" fontId="32" fillId="0" borderId="18" xfId="0" applyFont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53" fillId="5" borderId="0" xfId="0" applyFont="1" applyFill="1" applyBorder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53" fillId="5" borderId="0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1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3" fillId="5" borderId="21" xfId="0" applyFont="1" applyFill="1" applyBorder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4" fontId="10" fillId="0" borderId="1" xfId="0" applyNumberFormat="1" applyFont="1" applyBorder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57" fillId="5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41" fontId="8" fillId="0" borderId="13" xfId="23" applyFont="1" applyBorder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75" fillId="28" borderId="19" xfId="0" applyFont="1" applyFill="1" applyBorder="1" applyAlignment="1">
      <alignment horizontal="center" vertical="center"/>
    </xf>
    <xf numFmtId="0" fontId="53" fillId="0" borderId="0" xfId="0" applyFont="1" applyAlignment="1">
      <alignment vertical="center"/>
    </xf>
    <xf numFmtId="41" fontId="8" fillId="0" borderId="18" xfId="0" applyNumberFormat="1" applyFont="1" applyBorder="1" applyAlignment="1">
      <alignment horizontal="center" vertical="center"/>
    </xf>
    <xf numFmtId="41" fontId="8" fillId="0" borderId="20" xfId="23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53" fillId="5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53" fillId="5" borderId="0" xfId="0" applyFont="1" applyFill="1" applyBorder="1" applyAlignment="1">
      <alignment horizontal="left" vertical="center"/>
    </xf>
    <xf numFmtId="0" fontId="104" fillId="0" borderId="20" xfId="0" applyFont="1" applyBorder="1" applyAlignment="1">
      <alignment horizontal="center" vertical="center"/>
    </xf>
    <xf numFmtId="0" fontId="105" fillId="0" borderId="13" xfId="0" applyFont="1" applyBorder="1" applyAlignment="1">
      <alignment horizontal="center" vertical="center"/>
    </xf>
    <xf numFmtId="0" fontId="105" fillId="0" borderId="18" xfId="0" applyFont="1" applyBorder="1" applyAlignment="1">
      <alignment horizontal="center" vertical="center"/>
    </xf>
    <xf numFmtId="41" fontId="105" fillId="0" borderId="20" xfId="23" applyFont="1" applyBorder="1" applyAlignment="1">
      <alignment horizontal="center" vertical="center"/>
    </xf>
    <xf numFmtId="41" fontId="105" fillId="0" borderId="13" xfId="23" applyFont="1" applyBorder="1" applyAlignment="1">
      <alignment horizontal="center" vertical="center"/>
    </xf>
    <xf numFmtId="41" fontId="105" fillId="0" borderId="18" xfId="0" applyNumberFormat="1" applyFont="1" applyBorder="1" applyAlignment="1">
      <alignment horizontal="center" vertical="center"/>
    </xf>
    <xf numFmtId="0" fontId="105" fillId="0" borderId="20" xfId="0" applyFont="1" applyBorder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8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0" xfId="0" applyFont="1" applyFill="1" applyAlignment="1">
      <alignment vertical="center"/>
    </xf>
    <xf numFmtId="0" fontId="53" fillId="34" borderId="0" xfId="0" applyFont="1" applyFill="1" applyBorder="1" applyAlignment="1">
      <alignment horizontal="left" vertical="center"/>
    </xf>
    <xf numFmtId="0" fontId="53" fillId="34" borderId="0" xfId="0" applyFont="1" applyFill="1" applyBorder="1" applyAlignment="1">
      <alignment vertical="center"/>
    </xf>
    <xf numFmtId="178" fontId="56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14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/>
    </xf>
    <xf numFmtId="0" fontId="72" fillId="5" borderId="0" xfId="0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53" fillId="14" borderId="0" xfId="0" applyFont="1" applyFill="1" applyBorder="1" applyAlignment="1">
      <alignment vertical="center"/>
    </xf>
    <xf numFmtId="0" fontId="53" fillId="14" borderId="0" xfId="0" applyFont="1" applyFill="1" applyBorder="1" applyAlignment="1">
      <alignment horizontal="left" vertical="center"/>
    </xf>
    <xf numFmtId="0" fontId="53" fillId="14" borderId="6" xfId="0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53" fillId="14" borderId="6" xfId="0" applyFont="1" applyFill="1" applyBorder="1" applyAlignment="1">
      <alignment horizontal="left" vertical="center"/>
    </xf>
    <xf numFmtId="0" fontId="53" fillId="31" borderId="6" xfId="0" applyFont="1" applyFill="1" applyBorder="1" applyAlignment="1">
      <alignment vertical="center"/>
    </xf>
    <xf numFmtId="0" fontId="72" fillId="31" borderId="6" xfId="0" applyFont="1" applyFill="1" applyBorder="1" applyAlignment="1">
      <alignment vertical="center"/>
    </xf>
    <xf numFmtId="0" fontId="72" fillId="31" borderId="21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53" fillId="5" borderId="0" xfId="0" applyFont="1" applyFill="1" applyBorder="1" applyAlignment="1">
      <alignment horizontal="left" vertical="center"/>
    </xf>
    <xf numFmtId="0" fontId="53" fillId="5" borderId="21" xfId="0" applyFont="1" applyFill="1" applyBorder="1" applyAlignment="1">
      <alignment horizontal="left" vertical="center"/>
    </xf>
    <xf numFmtId="0" fontId="53" fillId="5" borderId="6" xfId="0" applyFont="1" applyFill="1" applyBorder="1" applyAlignment="1">
      <alignment horizontal="left" vertical="center"/>
    </xf>
    <xf numFmtId="0" fontId="53" fillId="5" borderId="0" xfId="0" applyFont="1" applyFill="1" applyBorder="1" applyAlignment="1">
      <alignment horizontal="left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2" fillId="14" borderId="6" xfId="0" applyFont="1" applyFill="1" applyBorder="1" applyAlignment="1">
      <alignment vertical="center"/>
    </xf>
    <xf numFmtId="178" fontId="8" fillId="23" borderId="5" xfId="0" applyNumberFormat="1" applyFont="1" applyFill="1" applyBorder="1" applyAlignment="1">
      <alignment horizontal="center" vertical="center" wrapText="1"/>
    </xf>
    <xf numFmtId="0" fontId="53" fillId="4" borderId="0" xfId="0" applyFont="1" applyFill="1" applyBorder="1" applyAlignment="1">
      <alignment vertical="center"/>
    </xf>
    <xf numFmtId="0" fontId="53" fillId="14" borderId="0" xfId="0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75" fillId="28" borderId="19" xfId="0" applyFont="1" applyFill="1" applyBorder="1" applyAlignment="1">
      <alignment horizontal="center" vertical="center"/>
    </xf>
    <xf numFmtId="0" fontId="0" fillId="14" borderId="0" xfId="0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33" fillId="14" borderId="0" xfId="0" applyFont="1" applyFill="1" applyAlignment="1">
      <alignment vertical="center"/>
    </xf>
    <xf numFmtId="0" fontId="43" fillId="14" borderId="0" xfId="0" applyFont="1" applyFill="1" applyAlignment="1">
      <alignment vertical="center"/>
    </xf>
    <xf numFmtId="0" fontId="106" fillId="14" borderId="0" xfId="0" applyFont="1" applyFill="1" applyAlignment="1">
      <alignment vertical="center"/>
    </xf>
    <xf numFmtId="178" fontId="62" fillId="0" borderId="5" xfId="0" applyNumberFormat="1" applyFont="1" applyBorder="1" applyAlignment="1">
      <alignment horizontal="left" vertical="center" wrapText="1"/>
    </xf>
    <xf numFmtId="0" fontId="62" fillId="14" borderId="0" xfId="0" applyFont="1" applyFill="1" applyAlignment="1">
      <alignment vertical="center"/>
    </xf>
    <xf numFmtId="41" fontId="53" fillId="0" borderId="0" xfId="23" applyFont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62" fillId="14" borderId="0" xfId="0" applyFont="1" applyFill="1" applyAlignment="1">
      <alignment vertical="center" wrapText="1"/>
    </xf>
    <xf numFmtId="0" fontId="33" fillId="14" borderId="0" xfId="0" applyFont="1" applyFill="1" applyAlignment="1">
      <alignment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5" fillId="28" borderId="19" xfId="0" applyFont="1" applyFill="1" applyBorder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43" fillId="14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5" fillId="28" borderId="19" xfId="0" applyFont="1" applyFill="1" applyBorder="1" applyAlignment="1">
      <alignment horizontal="center" vertical="center"/>
    </xf>
    <xf numFmtId="41" fontId="7" fillId="0" borderId="0" xfId="23" applyFont="1" applyAlignment="1">
      <alignment vertical="center"/>
    </xf>
    <xf numFmtId="0" fontId="107" fillId="14" borderId="0" xfId="0" applyFont="1" applyFill="1" applyAlignment="1">
      <alignment horizontal="left" vertical="center"/>
    </xf>
    <xf numFmtId="41" fontId="0" fillId="0" borderId="0" xfId="23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41" fontId="8" fillId="0" borderId="0" xfId="23" applyFont="1" applyBorder="1" applyAlignment="1">
      <alignment horizontal="center" vertical="center"/>
    </xf>
    <xf numFmtId="41" fontId="8" fillId="0" borderId="0" xfId="23" applyFont="1" applyFill="1" applyAlignment="1">
      <alignment vertical="center"/>
    </xf>
    <xf numFmtId="41" fontId="7" fillId="0" borderId="0" xfId="23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106" fillId="14" borderId="6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75" fillId="28" borderId="19" xfId="0" applyFont="1" applyFill="1" applyBorder="1" applyAlignment="1">
      <alignment horizontal="center" vertical="center"/>
    </xf>
    <xf numFmtId="41" fontId="8" fillId="0" borderId="20" xfId="23" applyFont="1" applyBorder="1" applyAlignment="1">
      <alignment horizontal="center" vertical="center"/>
    </xf>
    <xf numFmtId="0" fontId="0" fillId="14" borderId="6" xfId="0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41" fontId="0" fillId="0" borderId="0" xfId="23" applyFont="1" applyAlignment="1">
      <alignment vertical="center"/>
    </xf>
    <xf numFmtId="41" fontId="8" fillId="0" borderId="0" xfId="23" applyFont="1" applyAlignment="1">
      <alignment vertical="center"/>
    </xf>
    <xf numFmtId="0" fontId="75" fillId="28" borderId="19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5" borderId="6" xfId="0" applyNumberFormat="1" applyFont="1" applyFill="1" applyBorder="1" applyAlignment="1">
      <alignment horizontal="center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5" fillId="28" borderId="19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07" fillId="14" borderId="6" xfId="0" applyFont="1" applyFill="1" applyBorder="1" applyAlignment="1">
      <alignment vertical="center"/>
    </xf>
    <xf numFmtId="0" fontId="0" fillId="14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8" fillId="14" borderId="6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1" fillId="14" borderId="6" xfId="0" applyFont="1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110" fillId="0" borderId="0" xfId="0" applyFont="1" applyAlignment="1">
      <alignment horizontal="center" vertical="center"/>
    </xf>
    <xf numFmtId="0" fontId="110" fillId="0" borderId="0" xfId="0" applyFont="1" applyFill="1" applyAlignment="1">
      <alignment horizontal="center" vertical="center"/>
    </xf>
    <xf numFmtId="0" fontId="31" fillId="14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0" fillId="14" borderId="0" xfId="0" applyFill="1" applyBorder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3" fontId="8" fillId="0" borderId="0" xfId="23" applyNumberFormat="1" applyFont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5" fillId="28" borderId="19" xfId="0" applyFont="1" applyFill="1" applyBorder="1" applyAlignment="1">
      <alignment horizontal="center" vertical="center"/>
    </xf>
    <xf numFmtId="41" fontId="30" fillId="0" borderId="20" xfId="23" applyFont="1" applyBorder="1" applyAlignment="1">
      <alignment horizontal="center" vertical="center"/>
    </xf>
    <xf numFmtId="0" fontId="75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111" fillId="14" borderId="0" xfId="0" applyFont="1" applyFill="1" applyAlignment="1">
      <alignment horizontal="left" vertical="center"/>
    </xf>
    <xf numFmtId="41" fontId="30" fillId="0" borderId="0" xfId="23" applyFont="1" applyAlignment="1">
      <alignment vertical="center"/>
    </xf>
    <xf numFmtId="0" fontId="52" fillId="0" borderId="0" xfId="0" applyFont="1" applyAlignment="1">
      <alignment horizontal="center" vertical="center"/>
    </xf>
    <xf numFmtId="0" fontId="30" fillId="14" borderId="0" xfId="0" applyFont="1" applyFill="1" applyAlignment="1">
      <alignment vertical="center"/>
    </xf>
    <xf numFmtId="0" fontId="111" fillId="14" borderId="0" xfId="0" applyFont="1" applyFill="1" applyBorder="1" applyAlignment="1">
      <alignment vertical="center"/>
    </xf>
    <xf numFmtId="41" fontId="111" fillId="0" borderId="0" xfId="23" applyFont="1" applyAlignment="1">
      <alignment vertical="center"/>
    </xf>
    <xf numFmtId="0" fontId="30" fillId="0" borderId="0" xfId="0" applyFont="1" applyAlignment="1">
      <alignment horizontal="center" vertical="center"/>
    </xf>
    <xf numFmtId="0" fontId="111" fillId="0" borderId="0" xfId="0" applyFont="1" applyAlignment="1">
      <alignment vertical="center"/>
    </xf>
    <xf numFmtId="0" fontId="111" fillId="14" borderId="0" xfId="0" applyFont="1" applyFill="1" applyAlignment="1">
      <alignment vertical="center"/>
    </xf>
    <xf numFmtId="0" fontId="111" fillId="23" borderId="0" xfId="0" applyFont="1" applyFill="1" applyAlignment="1">
      <alignment vertical="center"/>
    </xf>
    <xf numFmtId="0" fontId="111" fillId="14" borderId="6" xfId="0" applyFont="1" applyFill="1" applyBorder="1" applyAlignment="1">
      <alignment vertical="center"/>
    </xf>
    <xf numFmtId="41" fontId="111" fillId="0" borderId="0" xfId="23" applyFont="1" applyFill="1" applyAlignment="1">
      <alignment vertical="center"/>
    </xf>
    <xf numFmtId="0" fontId="52" fillId="0" borderId="0" xfId="0" applyFont="1" applyAlignment="1">
      <alignment horizontal="left" vertical="center"/>
    </xf>
    <xf numFmtId="0" fontId="17" fillId="14" borderId="0" xfId="0" applyFont="1" applyFill="1" applyAlignment="1">
      <alignment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0" fillId="37" borderId="21" xfId="0" applyFill="1" applyBorder="1" applyAlignment="1">
      <alignment horizontal="center" vertical="center"/>
    </xf>
    <xf numFmtId="178" fontId="8" fillId="3" borderId="5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7" fillId="11" borderId="0" xfId="0" applyFont="1" applyFill="1" applyAlignment="1">
      <alignment vertical="center"/>
    </xf>
    <xf numFmtId="0" fontId="113" fillId="0" borderId="31" xfId="0" applyFont="1" applyBorder="1" applyAlignment="1">
      <alignment horizontal="center" vertical="center"/>
    </xf>
    <xf numFmtId="0" fontId="110" fillId="0" borderId="32" xfId="0" applyFont="1" applyBorder="1" applyAlignment="1">
      <alignment horizontal="center" vertical="center"/>
    </xf>
    <xf numFmtId="0" fontId="113" fillId="0" borderId="33" xfId="0" applyFont="1" applyBorder="1" applyAlignment="1">
      <alignment horizontal="center" vertical="center"/>
    </xf>
    <xf numFmtId="178" fontId="114" fillId="28" borderId="34" xfId="0" applyNumberFormat="1" applyFont="1" applyFill="1" applyBorder="1" applyAlignment="1">
      <alignment horizontal="left" vertical="center" wrapText="1"/>
    </xf>
    <xf numFmtId="178" fontId="110" fillId="28" borderId="36" xfId="0" applyNumberFormat="1" applyFont="1" applyFill="1" applyBorder="1" applyAlignment="1">
      <alignment horizontal="left" vertical="center" wrapText="1"/>
    </xf>
    <xf numFmtId="178" fontId="110" fillId="28" borderId="29" xfId="0" applyNumberFormat="1" applyFont="1" applyFill="1" applyBorder="1" applyAlignment="1">
      <alignment horizontal="left" vertical="center" wrapText="1"/>
    </xf>
    <xf numFmtId="178" fontId="110" fillId="0" borderId="47" xfId="0" applyNumberFormat="1" applyFont="1" applyBorder="1" applyAlignment="1">
      <alignment horizontal="left" vertical="center" wrapText="1"/>
    </xf>
    <xf numFmtId="178" fontId="110" fillId="0" borderId="48" xfId="0" applyNumberFormat="1" applyFont="1" applyBorder="1" applyAlignment="1">
      <alignment horizontal="left" vertical="center" wrapText="1"/>
    </xf>
    <xf numFmtId="178" fontId="110" fillId="28" borderId="47" xfId="0" applyNumberFormat="1" applyFont="1" applyFill="1" applyBorder="1" applyAlignment="1">
      <alignment horizontal="left" vertical="center" wrapText="1"/>
    </xf>
    <xf numFmtId="178" fontId="110" fillId="28" borderId="48" xfId="0" applyNumberFormat="1" applyFont="1" applyFill="1" applyBorder="1" applyAlignment="1">
      <alignment horizontal="left" vertical="center" wrapText="1"/>
    </xf>
    <xf numFmtId="0" fontId="52" fillId="13" borderId="0" xfId="0" applyFont="1" applyFill="1" applyAlignment="1">
      <alignment horizontal="center" vertical="center"/>
    </xf>
    <xf numFmtId="178" fontId="110" fillId="28" borderId="51" xfId="0" applyNumberFormat="1" applyFont="1" applyFill="1" applyBorder="1" applyAlignment="1">
      <alignment horizontal="left" vertical="center" wrapText="1"/>
    </xf>
    <xf numFmtId="0" fontId="117" fillId="0" borderId="0" xfId="0" applyFont="1" applyAlignment="1">
      <alignment horizontal="center" vertical="center"/>
    </xf>
    <xf numFmtId="178" fontId="115" fillId="0" borderId="46" xfId="0" applyNumberFormat="1" applyFont="1" applyBorder="1" applyAlignment="1">
      <alignment horizontal="left" vertical="center" wrapText="1"/>
    </xf>
    <xf numFmtId="178" fontId="115" fillId="0" borderId="44" xfId="0" applyNumberFormat="1" applyFont="1" applyBorder="1" applyAlignment="1">
      <alignment horizontal="left" vertical="center" wrapText="1"/>
    </xf>
    <xf numFmtId="0" fontId="110" fillId="0" borderId="0" xfId="0" applyFont="1" applyAlignment="1">
      <alignment vertical="center"/>
    </xf>
    <xf numFmtId="0" fontId="112" fillId="14" borderId="0" xfId="0" applyFont="1" applyFill="1" applyAlignment="1">
      <alignment horizontal="right" vertical="center"/>
    </xf>
    <xf numFmtId="0" fontId="112" fillId="13" borderId="0" xfId="0" applyFont="1" applyFill="1" applyAlignment="1">
      <alignment horizontal="right" vertical="center"/>
    </xf>
    <xf numFmtId="0" fontId="112" fillId="28" borderId="0" xfId="0" applyFont="1" applyFill="1" applyAlignment="1">
      <alignment horizontal="right" vertical="center"/>
    </xf>
    <xf numFmtId="0" fontId="118" fillId="0" borderId="0" xfId="0" applyFont="1" applyAlignment="1">
      <alignment vertical="center"/>
    </xf>
    <xf numFmtId="0" fontId="119" fillId="0" borderId="31" xfId="0" applyFont="1" applyBorder="1" applyAlignment="1">
      <alignment horizontal="center" vertical="center"/>
    </xf>
    <xf numFmtId="0" fontId="118" fillId="0" borderId="32" xfId="0" applyFont="1" applyBorder="1" applyAlignment="1">
      <alignment horizontal="center" vertical="center"/>
    </xf>
    <xf numFmtId="0" fontId="119" fillId="0" borderId="33" xfId="0" applyFont="1" applyBorder="1" applyAlignment="1">
      <alignment horizontal="center" vertical="center"/>
    </xf>
    <xf numFmtId="178" fontId="120" fillId="28" borderId="34" xfId="0" applyNumberFormat="1" applyFont="1" applyFill="1" applyBorder="1" applyAlignment="1">
      <alignment horizontal="left" vertical="center" wrapText="1"/>
    </xf>
    <xf numFmtId="178" fontId="121" fillId="28" borderId="28" xfId="0" applyNumberFormat="1" applyFont="1" applyFill="1" applyBorder="1" applyAlignment="1">
      <alignment horizontal="left" vertical="center" wrapText="1"/>
    </xf>
    <xf numFmtId="0" fontId="123" fillId="14" borderId="0" xfId="0" applyFont="1" applyFill="1" applyAlignment="1">
      <alignment horizontal="right" vertical="center"/>
    </xf>
    <xf numFmtId="0" fontId="123" fillId="0" borderId="0" xfId="0" applyFont="1" applyAlignment="1">
      <alignment vertical="center"/>
    </xf>
    <xf numFmtId="178" fontId="118" fillId="28" borderId="36" xfId="0" applyNumberFormat="1" applyFont="1" applyFill="1" applyBorder="1" applyAlignment="1">
      <alignment horizontal="left" vertical="center" wrapText="1"/>
    </xf>
    <xf numFmtId="178" fontId="118" fillId="28" borderId="29" xfId="0" applyNumberFormat="1" applyFont="1" applyFill="1" applyBorder="1" applyAlignment="1">
      <alignment horizontal="left" vertical="center" wrapText="1"/>
    </xf>
    <xf numFmtId="178" fontId="118" fillId="28" borderId="51" xfId="0" applyNumberFormat="1" applyFont="1" applyFill="1" applyBorder="1" applyAlignment="1">
      <alignment horizontal="left" vertical="center" wrapText="1"/>
    </xf>
    <xf numFmtId="178" fontId="118" fillId="28" borderId="39" xfId="0" applyNumberFormat="1" applyFont="1" applyFill="1" applyBorder="1" applyAlignment="1">
      <alignment horizontal="left" vertical="center" wrapText="1"/>
    </xf>
    <xf numFmtId="0" fontId="123" fillId="13" borderId="0" xfId="0" applyFont="1" applyFill="1" applyAlignment="1">
      <alignment horizontal="right" vertical="center"/>
    </xf>
    <xf numFmtId="178" fontId="118" fillId="28" borderId="37" xfId="0" applyNumberFormat="1" applyFont="1" applyFill="1" applyBorder="1" applyAlignment="1">
      <alignment horizontal="left" vertical="center" wrapText="1"/>
    </xf>
    <xf numFmtId="0" fontId="123" fillId="28" borderId="0" xfId="0" applyFont="1" applyFill="1" applyAlignment="1">
      <alignment horizontal="right" vertical="center"/>
    </xf>
    <xf numFmtId="0" fontId="124" fillId="0" borderId="0" xfId="0" applyFont="1" applyAlignment="1">
      <alignment horizontal="center" vertical="center"/>
    </xf>
    <xf numFmtId="178" fontId="120" fillId="0" borderId="43" xfId="0" applyNumberFormat="1" applyFont="1" applyBorder="1" applyAlignment="1">
      <alignment horizontal="left" vertical="center" wrapText="1"/>
    </xf>
    <xf numFmtId="178" fontId="122" fillId="0" borderId="46" xfId="0" applyNumberFormat="1" applyFont="1" applyBorder="1" applyAlignment="1">
      <alignment horizontal="left" vertical="center" wrapText="1"/>
    </xf>
    <xf numFmtId="178" fontId="122" fillId="0" borderId="44" xfId="0" applyNumberFormat="1" applyFont="1" applyBorder="1" applyAlignment="1">
      <alignment horizontal="left" vertical="center" wrapText="1"/>
    </xf>
    <xf numFmtId="178" fontId="118" fillId="0" borderId="38" xfId="0" applyNumberFormat="1" applyFont="1" applyBorder="1" applyAlignment="1">
      <alignment horizontal="left" vertical="center" wrapText="1"/>
    </xf>
    <xf numFmtId="178" fontId="118" fillId="0" borderId="47" xfId="0" applyNumberFormat="1" applyFont="1" applyBorder="1" applyAlignment="1">
      <alignment horizontal="left" vertical="center" wrapText="1"/>
    </xf>
    <xf numFmtId="178" fontId="118" fillId="0" borderId="39" xfId="0" applyNumberFormat="1" applyFont="1" applyBorder="1" applyAlignment="1">
      <alignment horizontal="left" vertical="center" wrapText="1"/>
    </xf>
    <xf numFmtId="178" fontId="118" fillId="0" borderId="0" xfId="0" applyNumberFormat="1" applyFont="1" applyBorder="1" applyAlignment="1">
      <alignment horizontal="left" vertical="center" wrapText="1"/>
    </xf>
    <xf numFmtId="178" fontId="118" fillId="0" borderId="40" xfId="0" applyNumberFormat="1" applyFont="1" applyBorder="1" applyAlignment="1">
      <alignment horizontal="left" vertical="center" wrapText="1"/>
    </xf>
    <xf numFmtId="178" fontId="118" fillId="0" borderId="48" xfId="0" applyNumberFormat="1" applyFont="1" applyBorder="1" applyAlignment="1">
      <alignment horizontal="left" vertical="center" wrapText="1"/>
    </xf>
    <xf numFmtId="178" fontId="120" fillId="28" borderId="43" xfId="0" applyNumberFormat="1" applyFont="1" applyFill="1" applyBorder="1" applyAlignment="1">
      <alignment horizontal="left" vertical="center" wrapText="1"/>
    </xf>
    <xf numFmtId="178" fontId="118" fillId="28" borderId="38" xfId="0" applyNumberFormat="1" applyFont="1" applyFill="1" applyBorder="1" applyAlignment="1">
      <alignment horizontal="left" vertical="center" wrapText="1"/>
    </xf>
    <xf numFmtId="178" fontId="118" fillId="28" borderId="47" xfId="0" applyNumberFormat="1" applyFont="1" applyFill="1" applyBorder="1" applyAlignment="1">
      <alignment horizontal="left" vertical="center" wrapText="1"/>
    </xf>
    <xf numFmtId="178" fontId="118" fillId="28" borderId="0" xfId="0" applyNumberFormat="1" applyFont="1" applyFill="1" applyBorder="1" applyAlignment="1">
      <alignment horizontal="left" vertical="center" wrapText="1"/>
    </xf>
    <xf numFmtId="178" fontId="118" fillId="28" borderId="40" xfId="0" applyNumberFormat="1" applyFont="1" applyFill="1" applyBorder="1" applyAlignment="1">
      <alignment horizontal="left" vertical="center" wrapText="1"/>
    </xf>
    <xf numFmtId="178" fontId="120" fillId="28" borderId="38" xfId="0" applyNumberFormat="1" applyFont="1" applyFill="1" applyBorder="1" applyAlignment="1">
      <alignment horizontal="left" vertical="center" wrapText="1"/>
    </xf>
    <xf numFmtId="0" fontId="125" fillId="38" borderId="0" xfId="0" applyFont="1" applyFill="1" applyBorder="1" applyAlignment="1">
      <alignment horizontal="center" vertical="center"/>
    </xf>
    <xf numFmtId="177" fontId="118" fillId="0" borderId="0" xfId="0" applyNumberFormat="1" applyFont="1" applyAlignment="1">
      <alignment vertical="center"/>
    </xf>
    <xf numFmtId="0" fontId="118" fillId="13" borderId="0" xfId="0" applyFont="1" applyFill="1" applyAlignment="1">
      <alignment horizontal="left" vertical="center"/>
    </xf>
    <xf numFmtId="0" fontId="124" fillId="0" borderId="0" xfId="0" applyFont="1" applyAlignment="1">
      <alignment vertical="center"/>
    </xf>
    <xf numFmtId="41" fontId="118" fillId="0" borderId="0" xfId="23" applyFont="1" applyAlignment="1">
      <alignment vertical="center"/>
    </xf>
    <xf numFmtId="0" fontId="117" fillId="0" borderId="0" xfId="0" applyFont="1" applyAlignment="1">
      <alignment vertical="center"/>
    </xf>
    <xf numFmtId="178" fontId="129" fillId="28" borderId="35" xfId="0" applyNumberFormat="1" applyFont="1" applyFill="1" applyBorder="1" applyAlignment="1">
      <alignment horizontal="left" vertical="center" wrapText="1"/>
    </xf>
    <xf numFmtId="0" fontId="52" fillId="28" borderId="19" xfId="0" applyFont="1" applyFill="1" applyBorder="1" applyAlignment="1">
      <alignment horizontal="center" vertical="center"/>
    </xf>
    <xf numFmtId="0" fontId="130" fillId="8" borderId="0" xfId="0" applyFont="1" applyFill="1" applyAlignment="1">
      <alignment horizontal="center" vertical="center"/>
    </xf>
    <xf numFmtId="178" fontId="131" fillId="28" borderId="46" xfId="0" applyNumberFormat="1" applyFont="1" applyFill="1" applyBorder="1" applyAlignment="1">
      <alignment horizontal="left" vertical="center" wrapText="1"/>
    </xf>
    <xf numFmtId="178" fontId="131" fillId="0" borderId="46" xfId="0" applyNumberFormat="1" applyFont="1" applyBorder="1" applyAlignment="1">
      <alignment horizontal="left" vertical="center" wrapText="1"/>
    </xf>
    <xf numFmtId="178" fontId="131" fillId="0" borderId="44" xfId="0" applyNumberFormat="1" applyFont="1" applyBorder="1" applyAlignment="1">
      <alignment horizontal="left" vertical="center" wrapText="1"/>
    </xf>
    <xf numFmtId="178" fontId="129" fillId="0" borderId="46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78" fontId="110" fillId="11" borderId="48" xfId="0" applyNumberFormat="1" applyFont="1" applyFill="1" applyBorder="1" applyAlignment="1">
      <alignment horizontal="left" vertical="center" wrapText="1"/>
    </xf>
    <xf numFmtId="178" fontId="131" fillId="28" borderId="47" xfId="0" applyNumberFormat="1" applyFont="1" applyFill="1" applyBorder="1" applyAlignment="1">
      <alignment horizontal="left" vertical="center" wrapText="1"/>
    </xf>
    <xf numFmtId="0" fontId="129" fillId="8" borderId="0" xfId="0" applyFont="1" applyFill="1" applyAlignment="1">
      <alignment horizontal="center" vertical="center"/>
    </xf>
    <xf numFmtId="0" fontId="112" fillId="0" borderId="0" xfId="0" applyFont="1" applyFill="1" applyAlignment="1">
      <alignment vertical="center"/>
    </xf>
    <xf numFmtId="0" fontId="110" fillId="14" borderId="0" xfId="0" applyFont="1" applyFill="1" applyAlignment="1">
      <alignment horizontal="center" vertical="center"/>
    </xf>
    <xf numFmtId="0" fontId="110" fillId="31" borderId="0" xfId="0" applyFont="1" applyFill="1" applyAlignment="1">
      <alignment horizontal="center" vertical="center"/>
    </xf>
    <xf numFmtId="0" fontId="112" fillId="13" borderId="0" xfId="0" applyFont="1" applyFill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178" fontId="114" fillId="0" borderId="46" xfId="0" applyNumberFormat="1" applyFont="1" applyBorder="1" applyAlignment="1">
      <alignment horizontal="left" vertical="center" wrapText="1"/>
    </xf>
    <xf numFmtId="178" fontId="131" fillId="0" borderId="0" xfId="0" applyNumberFormat="1" applyFont="1" applyBorder="1" applyAlignment="1">
      <alignment horizontal="left" vertical="center" wrapText="1"/>
    </xf>
    <xf numFmtId="178" fontId="131" fillId="0" borderId="47" xfId="0" applyNumberFormat="1" applyFont="1" applyBorder="1" applyAlignment="1">
      <alignment horizontal="left" vertical="center" wrapText="1"/>
    </xf>
    <xf numFmtId="178" fontId="131" fillId="0" borderId="48" xfId="0" applyNumberFormat="1" applyFont="1" applyBorder="1" applyAlignment="1">
      <alignment horizontal="left" vertical="center" wrapText="1"/>
    </xf>
    <xf numFmtId="178" fontId="114" fillId="28" borderId="53" xfId="0" applyNumberFormat="1" applyFont="1" applyFill="1" applyBorder="1" applyAlignment="1">
      <alignment horizontal="left" vertical="center" wrapText="1"/>
    </xf>
    <xf numFmtId="178" fontId="131" fillId="28" borderId="50" xfId="0" applyNumberFormat="1" applyFont="1" applyFill="1" applyBorder="1" applyAlignment="1">
      <alignment horizontal="left" vertical="center" wrapText="1"/>
    </xf>
    <xf numFmtId="178" fontId="131" fillId="28" borderId="29" xfId="0" applyNumberFormat="1" applyFont="1" applyFill="1" applyBorder="1" applyAlignment="1">
      <alignment horizontal="left" vertical="center" wrapText="1"/>
    </xf>
    <xf numFmtId="178" fontId="131" fillId="28" borderId="49" xfId="0" applyNumberFormat="1" applyFont="1" applyFill="1" applyBorder="1" applyAlignment="1">
      <alignment horizontal="left" vertical="center" wrapText="1"/>
    </xf>
    <xf numFmtId="178" fontId="131" fillId="28" borderId="53" xfId="0" applyNumberFormat="1" applyFont="1" applyFill="1" applyBorder="1" applyAlignment="1">
      <alignment horizontal="left" vertical="center" wrapText="1"/>
    </xf>
    <xf numFmtId="178" fontId="110" fillId="28" borderId="52" xfId="0" applyNumberFormat="1" applyFont="1" applyFill="1" applyBorder="1" applyAlignment="1">
      <alignment horizontal="left" vertical="center" wrapText="1"/>
    </xf>
    <xf numFmtId="178" fontId="131" fillId="0" borderId="41" xfId="0" applyNumberFormat="1" applyFont="1" applyBorder="1" applyAlignment="1">
      <alignment horizontal="left" vertical="center" wrapText="1"/>
    </xf>
    <xf numFmtId="178" fontId="114" fillId="28" borderId="47" xfId="0" applyNumberFormat="1" applyFont="1" applyFill="1" applyBorder="1" applyAlignment="1">
      <alignment horizontal="left" vertical="center" wrapText="1"/>
    </xf>
    <xf numFmtId="178" fontId="131" fillId="28" borderId="52" xfId="0" applyNumberFormat="1" applyFont="1" applyFill="1" applyBorder="1" applyAlignment="1">
      <alignment horizontal="left" vertical="center" wrapText="1"/>
    </xf>
    <xf numFmtId="178" fontId="127" fillId="0" borderId="39" xfId="0" applyNumberFormat="1" applyFont="1" applyBorder="1" applyAlignment="1">
      <alignment horizontal="left" vertical="center" wrapText="1"/>
    </xf>
    <xf numFmtId="178" fontId="127" fillId="0" borderId="47" xfId="0" applyNumberFormat="1" applyFont="1" applyBorder="1" applyAlignment="1">
      <alignment horizontal="left" vertical="center" wrapText="1"/>
    </xf>
    <xf numFmtId="0" fontId="127" fillId="0" borderId="0" xfId="0" applyFont="1" applyBorder="1" applyAlignment="1">
      <alignment vertical="center"/>
    </xf>
    <xf numFmtId="178" fontId="127" fillId="28" borderId="39" xfId="0" applyNumberFormat="1" applyFont="1" applyFill="1" applyBorder="1" applyAlignment="1">
      <alignment horizontal="left" vertical="center" wrapText="1"/>
    </xf>
    <xf numFmtId="178" fontId="127" fillId="28" borderId="48" xfId="0" applyNumberFormat="1" applyFont="1" applyFill="1" applyBorder="1" applyAlignment="1">
      <alignment horizontal="left" vertical="center" wrapText="1"/>
    </xf>
    <xf numFmtId="178" fontId="127" fillId="28" borderId="42" xfId="0" applyNumberFormat="1" applyFont="1" applyFill="1" applyBorder="1" applyAlignment="1">
      <alignment horizontal="left" vertical="center" wrapText="1"/>
    </xf>
    <xf numFmtId="178" fontId="127" fillId="0" borderId="48" xfId="0" applyNumberFormat="1" applyFont="1" applyBorder="1" applyAlignment="1">
      <alignment horizontal="left" vertical="center" wrapText="1"/>
    </xf>
    <xf numFmtId="178" fontId="127" fillId="0" borderId="41" xfId="0" applyNumberFormat="1" applyFont="1" applyBorder="1" applyAlignment="1">
      <alignment horizontal="left" vertical="center" wrapText="1"/>
    </xf>
    <xf numFmtId="178" fontId="127" fillId="0" borderId="42" xfId="0" applyNumberFormat="1" applyFont="1" applyBorder="1" applyAlignment="1">
      <alignment horizontal="left" vertical="center" wrapText="1"/>
    </xf>
    <xf numFmtId="178" fontId="129" fillId="28" borderId="37" xfId="0" applyNumberFormat="1" applyFont="1" applyFill="1" applyBorder="1" applyAlignment="1">
      <alignment horizontal="left" vertical="center" wrapText="1"/>
    </xf>
    <xf numFmtId="178" fontId="129" fillId="0" borderId="47" xfId="0" applyNumberFormat="1" applyFont="1" applyBorder="1" applyAlignment="1">
      <alignment horizontal="left" vertical="center" wrapText="1"/>
    </xf>
    <xf numFmtId="178" fontId="129" fillId="28" borderId="53" xfId="0" applyNumberFormat="1" applyFont="1" applyFill="1" applyBorder="1" applyAlignment="1">
      <alignment horizontal="left" vertical="center" wrapText="1"/>
    </xf>
    <xf numFmtId="178" fontId="129" fillId="28" borderId="47" xfId="0" applyNumberFormat="1" applyFont="1" applyFill="1" applyBorder="1" applyAlignment="1">
      <alignment horizontal="left" vertical="center" wrapText="1"/>
    </xf>
    <xf numFmtId="178" fontId="129" fillId="0" borderId="48" xfId="0" applyNumberFormat="1" applyFont="1" applyBorder="1" applyAlignment="1">
      <alignment horizontal="left" vertical="center" wrapText="1"/>
    </xf>
    <xf numFmtId="0" fontId="112" fillId="0" borderId="0" xfId="0" applyFont="1" applyAlignment="1">
      <alignment horizontal="right" vertical="center"/>
    </xf>
    <xf numFmtId="178" fontId="110" fillId="28" borderId="54" xfId="0" applyNumberFormat="1" applyFont="1" applyFill="1" applyBorder="1" applyAlignment="1">
      <alignment horizontal="left" vertical="center" wrapText="1"/>
    </xf>
    <xf numFmtId="178" fontId="110" fillId="28" borderId="55" xfId="0" applyNumberFormat="1" applyFont="1" applyFill="1" applyBorder="1" applyAlignment="1">
      <alignment horizontal="left" vertical="center" wrapText="1"/>
    </xf>
    <xf numFmtId="178" fontId="110" fillId="28" borderId="56" xfId="0" applyNumberFormat="1" applyFont="1" applyFill="1" applyBorder="1" applyAlignment="1">
      <alignment horizontal="left" vertical="center" wrapText="1"/>
    </xf>
    <xf numFmtId="178" fontId="129" fillId="28" borderId="48" xfId="0" applyNumberFormat="1" applyFont="1" applyFill="1" applyBorder="1" applyAlignment="1">
      <alignment horizontal="left" vertical="center" wrapText="1"/>
    </xf>
    <xf numFmtId="0" fontId="117" fillId="11" borderId="0" xfId="0" applyFont="1" applyFill="1" applyAlignment="1">
      <alignment vertical="center"/>
    </xf>
    <xf numFmtId="0" fontId="117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vertical="center"/>
    </xf>
    <xf numFmtId="178" fontId="131" fillId="28" borderId="28" xfId="0" applyNumberFormat="1" applyFont="1" applyFill="1" applyBorder="1" applyAlignment="1">
      <alignment horizontal="left" vertical="center" wrapText="1"/>
    </xf>
    <xf numFmtId="178" fontId="110" fillId="39" borderId="39" xfId="0" applyNumberFormat="1" applyFont="1" applyFill="1" applyBorder="1" applyAlignment="1">
      <alignment horizontal="center" vertical="center" wrapText="1"/>
    </xf>
    <xf numFmtId="178" fontId="114" fillId="28" borderId="36" xfId="0" applyNumberFormat="1" applyFont="1" applyFill="1" applyBorder="1" applyAlignment="1">
      <alignment horizontal="left" vertical="center" wrapText="1"/>
    </xf>
    <xf numFmtId="0" fontId="113" fillId="0" borderId="57" xfId="0" applyFont="1" applyBorder="1" applyAlignment="1">
      <alignment horizontal="center" vertical="center"/>
    </xf>
    <xf numFmtId="0" fontId="110" fillId="0" borderId="58" xfId="0" applyFont="1" applyBorder="1" applyAlignment="1">
      <alignment horizontal="center" vertical="center"/>
    </xf>
    <xf numFmtId="0" fontId="113" fillId="0" borderId="59" xfId="0" applyFont="1" applyBorder="1" applyAlignment="1">
      <alignment horizontal="center" vertical="center"/>
    </xf>
    <xf numFmtId="178" fontId="114" fillId="11" borderId="47" xfId="0" applyNumberFormat="1" applyFont="1" applyFill="1" applyBorder="1" applyAlignment="1">
      <alignment horizontal="left" vertical="center" wrapText="1"/>
    </xf>
    <xf numFmtId="178" fontId="110" fillId="11" borderId="47" xfId="0" applyNumberFormat="1" applyFont="1" applyFill="1" applyBorder="1" applyAlignment="1">
      <alignment horizontal="left" vertical="center" wrapText="1"/>
    </xf>
    <xf numFmtId="178" fontId="110" fillId="11" borderId="29" xfId="0" applyNumberFormat="1" applyFont="1" applyFill="1" applyBorder="1" applyAlignment="1">
      <alignment horizontal="left" vertical="center" wrapText="1"/>
    </xf>
    <xf numFmtId="178" fontId="129" fillId="11" borderId="47" xfId="0" applyNumberFormat="1" applyFont="1" applyFill="1" applyBorder="1" applyAlignment="1">
      <alignment horizontal="left" vertical="center" wrapText="1"/>
    </xf>
    <xf numFmtId="178" fontId="110" fillId="11" borderId="54" xfId="0" applyNumberFormat="1" applyFont="1" applyFill="1" applyBorder="1" applyAlignment="1">
      <alignment horizontal="left" vertical="center" wrapText="1"/>
    </xf>
    <xf numFmtId="178" fontId="110" fillId="11" borderId="55" xfId="0" applyNumberFormat="1" applyFont="1" applyFill="1" applyBorder="1" applyAlignment="1">
      <alignment horizontal="left" vertical="center" wrapText="1"/>
    </xf>
    <xf numFmtId="178" fontId="129" fillId="11" borderId="48" xfId="0" applyNumberFormat="1" applyFont="1" applyFill="1" applyBorder="1" applyAlignment="1">
      <alignment horizontal="left" vertical="center" wrapText="1"/>
    </xf>
    <xf numFmtId="178" fontId="129" fillId="28" borderId="52" xfId="0" applyNumberFormat="1" applyFont="1" applyFill="1" applyBorder="1" applyAlignment="1">
      <alignment horizontal="left" vertical="center" wrapText="1"/>
    </xf>
    <xf numFmtId="0" fontId="8" fillId="36" borderId="0" xfId="0" applyFont="1" applyFill="1" applyAlignment="1">
      <alignment vertical="center"/>
    </xf>
    <xf numFmtId="0" fontId="30" fillId="36" borderId="0" xfId="0" applyFont="1" applyFill="1" applyAlignment="1">
      <alignment vertical="center"/>
    </xf>
    <xf numFmtId="0" fontId="52" fillId="0" borderId="20" xfId="0" applyFont="1" applyBorder="1" applyAlignment="1">
      <alignment horizontal="center" vertical="center"/>
    </xf>
    <xf numFmtId="0" fontId="133" fillId="0" borderId="0" xfId="0" applyFont="1" applyAlignment="1">
      <alignment vertical="center"/>
    </xf>
    <xf numFmtId="41" fontId="52" fillId="0" borderId="20" xfId="23" applyFont="1" applyBorder="1" applyAlignment="1">
      <alignment horizontal="center" vertical="center"/>
    </xf>
    <xf numFmtId="0" fontId="135" fillId="0" borderId="31" xfId="0" applyFont="1" applyBorder="1" applyAlignment="1">
      <alignment horizontal="center" vertical="center"/>
    </xf>
    <xf numFmtId="0" fontId="52" fillId="0" borderId="32" xfId="0" applyFont="1" applyBorder="1" applyAlignment="1">
      <alignment horizontal="center" vertical="center"/>
    </xf>
    <xf numFmtId="0" fontId="135" fillId="0" borderId="33" xfId="0" applyFont="1" applyBorder="1" applyAlignment="1">
      <alignment horizontal="center" vertical="center"/>
    </xf>
    <xf numFmtId="177" fontId="52" fillId="0" borderId="0" xfId="0" applyNumberFormat="1" applyFont="1" applyAlignment="1">
      <alignment vertical="center"/>
    </xf>
    <xf numFmtId="178" fontId="136" fillId="28" borderId="34" xfId="0" applyNumberFormat="1" applyFont="1" applyFill="1" applyBorder="1" applyAlignment="1">
      <alignment horizontal="left" vertical="center" wrapText="1"/>
    </xf>
    <xf numFmtId="178" fontId="137" fillId="28" borderId="28" xfId="0" applyNumberFormat="1" applyFont="1" applyFill="1" applyBorder="1" applyAlignment="1">
      <alignment horizontal="left" vertical="center" wrapText="1"/>
    </xf>
    <xf numFmtId="0" fontId="53" fillId="14" borderId="0" xfId="0" applyFont="1" applyFill="1" applyAlignment="1">
      <alignment horizontal="right" vertical="center"/>
    </xf>
    <xf numFmtId="178" fontId="52" fillId="28" borderId="36" xfId="0" applyNumberFormat="1" applyFont="1" applyFill="1" applyBorder="1" applyAlignment="1">
      <alignment horizontal="left" vertical="center" wrapText="1"/>
    </xf>
    <xf numFmtId="178" fontId="52" fillId="28" borderId="29" xfId="0" applyNumberFormat="1" applyFont="1" applyFill="1" applyBorder="1" applyAlignment="1">
      <alignment horizontal="left" vertical="center" wrapText="1"/>
    </xf>
    <xf numFmtId="178" fontId="52" fillId="28" borderId="37" xfId="0" applyNumberFormat="1" applyFont="1" applyFill="1" applyBorder="1" applyAlignment="1">
      <alignment horizontal="left" vertical="center" wrapText="1"/>
    </xf>
    <xf numFmtId="0" fontId="53" fillId="13" borderId="0" xfId="0" applyFont="1" applyFill="1" applyAlignment="1">
      <alignment horizontal="right" vertical="center"/>
    </xf>
    <xf numFmtId="0" fontId="53" fillId="28" borderId="0" xfId="0" applyFont="1" applyFill="1" applyAlignment="1">
      <alignment horizontal="right" vertical="center"/>
    </xf>
    <xf numFmtId="0" fontId="133" fillId="0" borderId="0" xfId="0" applyFont="1" applyAlignment="1">
      <alignment horizontal="center" vertical="center"/>
    </xf>
    <xf numFmtId="178" fontId="136" fillId="0" borderId="43" xfId="0" applyNumberFormat="1" applyFont="1" applyBorder="1" applyAlignment="1">
      <alignment horizontal="left" vertical="center" wrapText="1"/>
    </xf>
    <xf numFmtId="178" fontId="72" fillId="0" borderId="46" xfId="0" applyNumberFormat="1" applyFont="1" applyBorder="1" applyAlignment="1">
      <alignment horizontal="left" vertical="center" wrapText="1"/>
    </xf>
    <xf numFmtId="178" fontId="72" fillId="0" borderId="44" xfId="0" applyNumberFormat="1" applyFont="1" applyBorder="1" applyAlignment="1">
      <alignment horizontal="left" vertical="center" wrapText="1"/>
    </xf>
    <xf numFmtId="178" fontId="52" fillId="0" borderId="38" xfId="0" applyNumberFormat="1" applyFont="1" applyBorder="1" applyAlignment="1">
      <alignment horizontal="left" vertical="center" wrapText="1"/>
    </xf>
    <xf numFmtId="178" fontId="52" fillId="0" borderId="47" xfId="0" applyNumberFormat="1" applyFont="1" applyBorder="1" applyAlignment="1">
      <alignment horizontal="left" vertical="center" wrapText="1"/>
    </xf>
    <xf numFmtId="178" fontId="52" fillId="0" borderId="39" xfId="0" applyNumberFormat="1" applyFont="1" applyBorder="1" applyAlignment="1">
      <alignment horizontal="left" vertical="center" wrapText="1"/>
    </xf>
    <xf numFmtId="178" fontId="52" fillId="0" borderId="0" xfId="0" applyNumberFormat="1" applyFont="1" applyBorder="1" applyAlignment="1">
      <alignment horizontal="left" vertical="center" wrapText="1"/>
    </xf>
    <xf numFmtId="178" fontId="30" fillId="0" borderId="47" xfId="0" applyNumberFormat="1" applyFont="1" applyBorder="1" applyAlignment="1">
      <alignment horizontal="left" vertical="center" wrapText="1"/>
    </xf>
    <xf numFmtId="178" fontId="30" fillId="0" borderId="39" xfId="0" applyNumberFormat="1" applyFont="1" applyBorder="1" applyAlignment="1">
      <alignment horizontal="left" vertical="center" wrapText="1"/>
    </xf>
    <xf numFmtId="0" fontId="30" fillId="0" borderId="0" xfId="0" applyFont="1" applyBorder="1" applyAlignment="1">
      <alignment vertical="center"/>
    </xf>
    <xf numFmtId="178" fontId="52" fillId="0" borderId="40" xfId="0" applyNumberFormat="1" applyFont="1" applyBorder="1" applyAlignment="1">
      <alignment horizontal="left" vertical="center" wrapText="1"/>
    </xf>
    <xf numFmtId="178" fontId="30" fillId="0" borderId="48" xfId="0" applyNumberFormat="1" applyFont="1" applyBorder="1" applyAlignment="1">
      <alignment horizontal="left" vertical="center" wrapText="1"/>
    </xf>
    <xf numFmtId="178" fontId="30" fillId="0" borderId="41" xfId="0" applyNumberFormat="1" applyFont="1" applyBorder="1" applyAlignment="1">
      <alignment horizontal="left" vertical="center" wrapText="1"/>
    </xf>
    <xf numFmtId="178" fontId="30" fillId="0" borderId="42" xfId="0" applyNumberFormat="1" applyFont="1" applyBorder="1" applyAlignment="1">
      <alignment horizontal="left" vertical="center" wrapText="1"/>
    </xf>
    <xf numFmtId="178" fontId="136" fillId="28" borderId="43" xfId="0" applyNumberFormat="1" applyFont="1" applyFill="1" applyBorder="1" applyAlignment="1">
      <alignment horizontal="left" vertical="center" wrapText="1"/>
    </xf>
    <xf numFmtId="178" fontId="52" fillId="28" borderId="38" xfId="0" applyNumberFormat="1" applyFont="1" applyFill="1" applyBorder="1" applyAlignment="1">
      <alignment horizontal="left" vertical="center" wrapText="1"/>
    </xf>
    <xf numFmtId="178" fontId="52" fillId="28" borderId="39" xfId="0" applyNumberFormat="1" applyFont="1" applyFill="1" applyBorder="1" applyAlignment="1">
      <alignment horizontal="left" vertical="center" wrapText="1"/>
    </xf>
    <xf numFmtId="178" fontId="30" fillId="28" borderId="47" xfId="0" applyNumberFormat="1" applyFont="1" applyFill="1" applyBorder="1" applyAlignment="1">
      <alignment horizontal="left" vertical="center" wrapText="1"/>
    </xf>
    <xf numFmtId="178" fontId="30" fillId="28" borderId="39" xfId="0" applyNumberFormat="1" applyFont="1" applyFill="1" applyBorder="1" applyAlignment="1">
      <alignment horizontal="left" vertical="center" wrapText="1"/>
    </xf>
    <xf numFmtId="178" fontId="52" fillId="28" borderId="40" xfId="0" applyNumberFormat="1" applyFont="1" applyFill="1" applyBorder="1" applyAlignment="1">
      <alignment horizontal="left" vertical="center" wrapText="1"/>
    </xf>
    <xf numFmtId="178" fontId="30" fillId="28" borderId="48" xfId="0" applyNumberFormat="1" applyFont="1" applyFill="1" applyBorder="1" applyAlignment="1">
      <alignment horizontal="left" vertical="center" wrapText="1"/>
    </xf>
    <xf numFmtId="178" fontId="30" fillId="28" borderId="41" xfId="0" applyNumberFormat="1" applyFont="1" applyFill="1" applyBorder="1" applyAlignment="1">
      <alignment horizontal="left" vertical="center" wrapText="1"/>
    </xf>
    <xf numFmtId="178" fontId="30" fillId="28" borderId="42" xfId="0" applyNumberFormat="1" applyFont="1" applyFill="1" applyBorder="1" applyAlignment="1">
      <alignment horizontal="left" vertical="center" wrapText="1"/>
    </xf>
    <xf numFmtId="178" fontId="136" fillId="28" borderId="38" xfId="0" applyNumberFormat="1" applyFont="1" applyFill="1" applyBorder="1" applyAlignment="1">
      <alignment horizontal="left" vertical="center" wrapText="1"/>
    </xf>
    <xf numFmtId="178" fontId="52" fillId="28" borderId="47" xfId="0" applyNumberFormat="1" applyFont="1" applyFill="1" applyBorder="1" applyAlignment="1">
      <alignment horizontal="left" vertical="center" wrapText="1"/>
    </xf>
    <xf numFmtId="178" fontId="52" fillId="28" borderId="0" xfId="0" applyNumberFormat="1" applyFont="1" applyFill="1" applyBorder="1" applyAlignment="1">
      <alignment horizontal="left" vertical="center" wrapText="1"/>
    </xf>
    <xf numFmtId="0" fontId="53" fillId="0" borderId="0" xfId="0" applyFont="1" applyAlignment="1">
      <alignment horizontal="right" vertical="center"/>
    </xf>
    <xf numFmtId="0" fontId="52" fillId="14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0" fontId="138" fillId="38" borderId="0" xfId="0" applyFont="1" applyFill="1" applyAlignment="1">
      <alignment horizontal="center" vertical="center"/>
    </xf>
    <xf numFmtId="0" fontId="52" fillId="31" borderId="0" xfId="0" applyFont="1" applyFill="1" applyAlignment="1">
      <alignment horizontal="center" vertical="center"/>
    </xf>
    <xf numFmtId="178" fontId="52" fillId="39" borderId="39" xfId="0" applyNumberFormat="1" applyFont="1" applyFill="1" applyBorder="1" applyAlignment="1">
      <alignment horizontal="center" vertical="center" wrapText="1"/>
    </xf>
    <xf numFmtId="0" fontId="111" fillId="0" borderId="0" xfId="0" applyFont="1" applyAlignment="1">
      <alignment horizontal="center" vertical="center"/>
    </xf>
    <xf numFmtId="178" fontId="72" fillId="28" borderId="28" xfId="0" applyNumberFormat="1" applyFont="1" applyFill="1" applyBorder="1" applyAlignment="1">
      <alignment horizontal="left" vertical="center" wrapText="1"/>
    </xf>
    <xf numFmtId="178" fontId="57" fillId="28" borderId="35" xfId="0" applyNumberFormat="1" applyFont="1" applyFill="1" applyBorder="1" applyAlignment="1">
      <alignment horizontal="left" vertical="center" wrapText="1"/>
    </xf>
    <xf numFmtId="178" fontId="52" fillId="28" borderId="51" xfId="0" applyNumberFormat="1" applyFont="1" applyFill="1" applyBorder="1" applyAlignment="1">
      <alignment horizontal="left" vertical="center" wrapText="1"/>
    </xf>
    <xf numFmtId="0" fontId="139" fillId="38" borderId="29" xfId="0" applyFont="1" applyFill="1" applyBorder="1" applyAlignment="1">
      <alignment horizontal="center" vertical="center"/>
    </xf>
    <xf numFmtId="0" fontId="52" fillId="0" borderId="0" xfId="0" applyFont="1" applyAlignment="1">
      <alignment horizontal="right" vertical="center"/>
    </xf>
    <xf numFmtId="178" fontId="57" fillId="0" borderId="45" xfId="0" applyNumberFormat="1" applyFont="1" applyBorder="1" applyAlignment="1">
      <alignment horizontal="left" vertical="center" wrapText="1"/>
    </xf>
    <xf numFmtId="0" fontId="30" fillId="0" borderId="47" xfId="0" applyFont="1" applyBorder="1" applyAlignment="1">
      <alignment vertical="center"/>
    </xf>
    <xf numFmtId="0" fontId="30" fillId="13" borderId="0" xfId="0" applyFont="1" applyFill="1" applyBorder="1" applyAlignment="1">
      <alignment vertical="center"/>
    </xf>
    <xf numFmtId="0" fontId="111" fillId="13" borderId="47" xfId="0" applyFont="1" applyFill="1" applyBorder="1" applyAlignment="1">
      <alignment vertical="center"/>
    </xf>
    <xf numFmtId="178" fontId="30" fillId="0" borderId="0" xfId="0" applyNumberFormat="1" applyFont="1" applyBorder="1" applyAlignment="1">
      <alignment horizontal="left" vertical="center" wrapText="1"/>
    </xf>
    <xf numFmtId="178" fontId="52" fillId="0" borderId="48" xfId="0" applyNumberFormat="1" applyFont="1" applyBorder="1" applyAlignment="1">
      <alignment horizontal="left" vertical="center" wrapText="1"/>
    </xf>
    <xf numFmtId="178" fontId="52" fillId="0" borderId="41" xfId="0" applyNumberFormat="1" applyFont="1" applyBorder="1" applyAlignment="1">
      <alignment horizontal="left" vertical="center" wrapText="1"/>
    </xf>
    <xf numFmtId="178" fontId="52" fillId="0" borderId="42" xfId="0" applyNumberFormat="1" applyFont="1" applyBorder="1" applyAlignment="1">
      <alignment horizontal="left" vertical="center" wrapText="1"/>
    </xf>
    <xf numFmtId="178" fontId="72" fillId="28" borderId="46" xfId="0" applyNumberFormat="1" applyFont="1" applyFill="1" applyBorder="1" applyAlignment="1">
      <alignment horizontal="left" vertical="center" wrapText="1"/>
    </xf>
    <xf numFmtId="178" fontId="72" fillId="28" borderId="44" xfId="0" applyNumberFormat="1" applyFont="1" applyFill="1" applyBorder="1" applyAlignment="1">
      <alignment horizontal="left" vertical="center" wrapText="1"/>
    </xf>
    <xf numFmtId="178" fontId="57" fillId="28" borderId="45" xfId="0" applyNumberFormat="1" applyFont="1" applyFill="1" applyBorder="1" applyAlignment="1">
      <alignment horizontal="left" vertical="center" wrapText="1"/>
    </xf>
    <xf numFmtId="0" fontId="53" fillId="0" borderId="0" xfId="0" applyFont="1" applyFill="1" applyAlignment="1">
      <alignment horizontal="right" vertical="center"/>
    </xf>
    <xf numFmtId="178" fontId="47" fillId="28" borderId="46" xfId="0" applyNumberFormat="1" applyFont="1" applyFill="1" applyBorder="1" applyAlignment="1">
      <alignment horizontal="left" vertical="center" wrapText="1"/>
    </xf>
    <xf numFmtId="178" fontId="47" fillId="28" borderId="44" xfId="0" applyNumberFormat="1" applyFont="1" applyFill="1" applyBorder="1" applyAlignment="1">
      <alignment horizontal="left" vertical="center" wrapText="1"/>
    </xf>
    <xf numFmtId="178" fontId="47" fillId="28" borderId="45" xfId="0" applyNumberFormat="1" applyFont="1" applyFill="1" applyBorder="1" applyAlignment="1">
      <alignment horizontal="left" vertical="center" wrapText="1"/>
    </xf>
    <xf numFmtId="0" fontId="111" fillId="0" borderId="0" xfId="0" applyFont="1" applyAlignment="1">
      <alignment horizontal="right" vertical="center"/>
    </xf>
    <xf numFmtId="178" fontId="138" fillId="38" borderId="47" xfId="0" applyNumberFormat="1" applyFont="1" applyFill="1" applyBorder="1" applyAlignment="1">
      <alignment horizontal="center" vertical="center" wrapText="1"/>
    </xf>
    <xf numFmtId="0" fontId="139" fillId="38" borderId="0" xfId="0" applyFont="1" applyFill="1" applyBorder="1" applyAlignment="1">
      <alignment horizontal="center" vertical="center"/>
    </xf>
    <xf numFmtId="0" fontId="139" fillId="38" borderId="47" xfId="0" applyFont="1" applyFill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128" fillId="0" borderId="0" xfId="0" applyFont="1" applyAlignment="1">
      <alignment vertical="center"/>
    </xf>
    <xf numFmtId="0" fontId="127" fillId="0" borderId="0" xfId="0" applyFont="1" applyAlignment="1">
      <alignment vertical="center"/>
    </xf>
    <xf numFmtId="0" fontId="127" fillId="36" borderId="0" xfId="0" applyFont="1" applyFill="1" applyAlignment="1">
      <alignment vertical="center"/>
    </xf>
    <xf numFmtId="178" fontId="142" fillId="28" borderId="35" xfId="0" applyNumberFormat="1" applyFont="1" applyFill="1" applyBorder="1" applyAlignment="1">
      <alignment horizontal="left" vertical="center" wrapText="1"/>
    </xf>
    <xf numFmtId="178" fontId="142" fillId="0" borderId="45" xfId="0" applyNumberFormat="1" applyFont="1" applyBorder="1" applyAlignment="1">
      <alignment horizontal="left" vertical="center" wrapText="1"/>
    </xf>
    <xf numFmtId="0" fontId="118" fillId="0" borderId="0" xfId="0" applyFont="1" applyBorder="1" applyAlignment="1">
      <alignment vertical="center"/>
    </xf>
    <xf numFmtId="178" fontId="143" fillId="28" borderId="46" xfId="0" applyNumberFormat="1" applyFont="1" applyFill="1" applyBorder="1" applyAlignment="1">
      <alignment horizontal="left" vertical="center" wrapText="1"/>
    </xf>
    <xf numFmtId="178" fontId="143" fillId="28" borderId="44" xfId="0" applyNumberFormat="1" applyFont="1" applyFill="1" applyBorder="1" applyAlignment="1">
      <alignment horizontal="left" vertical="center" wrapText="1"/>
    </xf>
    <xf numFmtId="178" fontId="142" fillId="28" borderId="45" xfId="0" applyNumberFormat="1" applyFont="1" applyFill="1" applyBorder="1" applyAlignment="1">
      <alignment horizontal="left" vertical="center" wrapText="1"/>
    </xf>
    <xf numFmtId="0" fontId="128" fillId="13" borderId="29" xfId="0" applyFont="1" applyFill="1" applyBorder="1" applyAlignment="1">
      <alignment vertical="center"/>
    </xf>
    <xf numFmtId="178" fontId="143" fillId="0" borderId="43" xfId="0" applyNumberFormat="1" applyFont="1" applyBorder="1" applyAlignment="1">
      <alignment horizontal="left" vertical="center" wrapText="1"/>
    </xf>
    <xf numFmtId="178" fontId="143" fillId="0" borderId="46" xfId="0" applyNumberFormat="1" applyFont="1" applyBorder="1" applyAlignment="1">
      <alignment horizontal="left" vertical="center" wrapText="1"/>
    </xf>
    <xf numFmtId="178" fontId="143" fillId="0" borderId="45" xfId="0" applyNumberFormat="1" applyFont="1" applyBorder="1" applyAlignment="1">
      <alignment horizontal="left" vertical="center" wrapText="1"/>
    </xf>
    <xf numFmtId="178" fontId="143" fillId="0" borderId="44" xfId="0" applyNumberFormat="1" applyFont="1" applyBorder="1" applyAlignment="1">
      <alignment horizontal="left" vertical="center" wrapText="1"/>
    </xf>
    <xf numFmtId="178" fontId="142" fillId="0" borderId="46" xfId="0" applyNumberFormat="1" applyFont="1" applyBorder="1" applyAlignment="1">
      <alignment horizontal="left" vertical="center" wrapText="1"/>
    </xf>
    <xf numFmtId="0" fontId="118" fillId="0" borderId="0" xfId="0" applyFont="1" applyAlignment="1">
      <alignment vertical="center" wrapText="1"/>
    </xf>
    <xf numFmtId="178" fontId="118" fillId="11" borderId="38" xfId="0" applyNumberFormat="1" applyFont="1" applyFill="1" applyBorder="1" applyAlignment="1">
      <alignment horizontal="left" vertical="center" wrapText="1"/>
    </xf>
    <xf numFmtId="0" fontId="123" fillId="11" borderId="47" xfId="0" applyFont="1" applyFill="1" applyBorder="1" applyAlignment="1">
      <alignment vertical="center"/>
    </xf>
    <xf numFmtId="0" fontId="123" fillId="11" borderId="39" xfId="0" applyFont="1" applyFill="1" applyBorder="1" applyAlignment="1">
      <alignment vertical="center"/>
    </xf>
    <xf numFmtId="0" fontId="123" fillId="0" borderId="0" xfId="0" applyFont="1" applyFill="1" applyAlignment="1">
      <alignment vertical="center"/>
    </xf>
    <xf numFmtId="178" fontId="143" fillId="28" borderId="47" xfId="0" applyNumberFormat="1" applyFont="1" applyFill="1" applyBorder="1" applyAlignment="1">
      <alignment horizontal="left" vertical="center" wrapText="1"/>
    </xf>
    <xf numFmtId="178" fontId="143" fillId="28" borderId="0" xfId="0" applyNumberFormat="1" applyFont="1" applyFill="1" applyBorder="1" applyAlignment="1">
      <alignment horizontal="left" vertical="center" wrapText="1"/>
    </xf>
    <xf numFmtId="178" fontId="143" fillId="28" borderId="39" xfId="0" applyNumberFormat="1" applyFont="1" applyFill="1" applyBorder="1" applyAlignment="1">
      <alignment horizontal="left" vertical="center" wrapText="1"/>
    </xf>
    <xf numFmtId="0" fontId="123" fillId="0" borderId="0" xfId="0" applyFont="1" applyAlignment="1">
      <alignment horizontal="right" vertical="center"/>
    </xf>
    <xf numFmtId="0" fontId="118" fillId="14" borderId="0" xfId="0" applyFont="1" applyFill="1" applyAlignment="1">
      <alignment horizontal="center" vertical="center"/>
    </xf>
    <xf numFmtId="0" fontId="123" fillId="13" borderId="0" xfId="0" applyFont="1" applyFill="1" applyAlignment="1">
      <alignment horizontal="center" vertical="center"/>
    </xf>
    <xf numFmtId="0" fontId="126" fillId="38" borderId="0" xfId="0" applyFont="1" applyFill="1" applyAlignment="1">
      <alignment horizontal="center" vertical="center"/>
    </xf>
    <xf numFmtId="0" fontId="118" fillId="31" borderId="0" xfId="0" applyFont="1" applyFill="1" applyAlignment="1">
      <alignment horizontal="center" vertical="center"/>
    </xf>
    <xf numFmtId="178" fontId="118" fillId="39" borderId="39" xfId="0" applyNumberFormat="1" applyFont="1" applyFill="1" applyBorder="1" applyAlignment="1">
      <alignment horizontal="center" vertical="center" wrapText="1"/>
    </xf>
    <xf numFmtId="178" fontId="142" fillId="28" borderId="37" xfId="0" applyNumberFormat="1" applyFont="1" applyFill="1" applyBorder="1" applyAlignment="1">
      <alignment horizontal="left" vertical="center" wrapText="1"/>
    </xf>
    <xf numFmtId="178" fontId="120" fillId="0" borderId="46" xfId="0" applyNumberFormat="1" applyFont="1" applyBorder="1" applyAlignment="1">
      <alignment horizontal="left" vertical="center" wrapText="1"/>
    </xf>
    <xf numFmtId="178" fontId="142" fillId="0" borderId="47" xfId="0" applyNumberFormat="1" applyFont="1" applyBorder="1" applyAlignment="1">
      <alignment horizontal="left" vertical="center" wrapText="1"/>
    </xf>
    <xf numFmtId="178" fontId="143" fillId="0" borderId="0" xfId="0" applyNumberFormat="1" applyFont="1" applyBorder="1" applyAlignment="1">
      <alignment horizontal="left" vertical="center" wrapText="1"/>
    </xf>
    <xf numFmtId="178" fontId="143" fillId="0" borderId="47" xfId="0" applyNumberFormat="1" applyFont="1" applyBorder="1" applyAlignment="1">
      <alignment horizontal="left" vertical="center" wrapText="1"/>
    </xf>
    <xf numFmtId="178" fontId="143" fillId="0" borderId="48" xfId="0" applyNumberFormat="1" applyFont="1" applyBorder="1" applyAlignment="1">
      <alignment horizontal="left" vertical="center" wrapText="1"/>
    </xf>
    <xf numFmtId="178" fontId="120" fillId="28" borderId="53" xfId="0" applyNumberFormat="1" applyFont="1" applyFill="1" applyBorder="1" applyAlignment="1">
      <alignment horizontal="left" vertical="center" wrapText="1"/>
    </xf>
    <xf numFmtId="178" fontId="143" fillId="28" borderId="50" xfId="0" applyNumberFormat="1" applyFont="1" applyFill="1" applyBorder="1" applyAlignment="1">
      <alignment horizontal="left" vertical="center" wrapText="1"/>
    </xf>
    <xf numFmtId="178" fontId="143" fillId="28" borderId="29" xfId="0" applyNumberFormat="1" applyFont="1" applyFill="1" applyBorder="1" applyAlignment="1">
      <alignment horizontal="left" vertical="center" wrapText="1"/>
    </xf>
    <xf numFmtId="178" fontId="143" fillId="28" borderId="49" xfId="0" applyNumberFormat="1" applyFont="1" applyFill="1" applyBorder="1" applyAlignment="1">
      <alignment horizontal="left" vertical="center" wrapText="1"/>
    </xf>
    <xf numFmtId="178" fontId="143" fillId="28" borderId="53" xfId="0" applyNumberFormat="1" applyFont="1" applyFill="1" applyBorder="1" applyAlignment="1">
      <alignment horizontal="left" vertical="center" wrapText="1"/>
    </xf>
    <xf numFmtId="178" fontId="142" fillId="28" borderId="53" xfId="0" applyNumberFormat="1" applyFont="1" applyFill="1" applyBorder="1" applyAlignment="1">
      <alignment horizontal="left" vertical="center" wrapText="1"/>
    </xf>
    <xf numFmtId="178" fontId="118" fillId="28" borderId="52" xfId="0" applyNumberFormat="1" applyFont="1" applyFill="1" applyBorder="1" applyAlignment="1">
      <alignment horizontal="left" vertical="center" wrapText="1"/>
    </xf>
    <xf numFmtId="178" fontId="142" fillId="28" borderId="47" xfId="0" applyNumberFormat="1" applyFont="1" applyFill="1" applyBorder="1" applyAlignment="1">
      <alignment horizontal="left" vertical="center" wrapText="1"/>
    </xf>
    <xf numFmtId="178" fontId="143" fillId="0" borderId="41" xfId="0" applyNumberFormat="1" applyFont="1" applyBorder="1" applyAlignment="1">
      <alignment horizontal="left" vertical="center" wrapText="1"/>
    </xf>
    <xf numFmtId="178" fontId="120" fillId="28" borderId="47" xfId="0" applyNumberFormat="1" applyFont="1" applyFill="1" applyBorder="1" applyAlignment="1">
      <alignment horizontal="left" vertical="center" wrapText="1"/>
    </xf>
    <xf numFmtId="178" fontId="143" fillId="28" borderId="52" xfId="0" applyNumberFormat="1" applyFont="1" applyFill="1" applyBorder="1" applyAlignment="1">
      <alignment horizontal="left" vertical="center" wrapText="1"/>
    </xf>
    <xf numFmtId="0" fontId="111" fillId="13" borderId="29" xfId="0" applyFont="1" applyFill="1" applyBorder="1" applyAlignment="1">
      <alignment vertical="center"/>
    </xf>
    <xf numFmtId="0" fontId="124" fillId="0" borderId="0" xfId="0" quotePrefix="1" applyFont="1" applyAlignment="1">
      <alignment vertical="center"/>
    </xf>
    <xf numFmtId="41" fontId="118" fillId="0" borderId="0" xfId="23" applyFont="1" applyAlignment="1">
      <alignment horizontal="center" vertical="center"/>
    </xf>
    <xf numFmtId="41" fontId="117" fillId="0" borderId="0" xfId="23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13" borderId="0" xfId="0" applyFont="1" applyFill="1" applyAlignment="1">
      <alignment horizontal="center" vertical="center"/>
    </xf>
    <xf numFmtId="0" fontId="142" fillId="0" borderId="0" xfId="0" applyFont="1" applyAlignment="1">
      <alignment vertical="center"/>
    </xf>
    <xf numFmtId="0" fontId="52" fillId="13" borderId="0" xfId="0" applyFont="1" applyFill="1" applyAlignment="1">
      <alignment vertical="center"/>
    </xf>
    <xf numFmtId="0" fontId="118" fillId="13" borderId="0" xfId="0" applyFont="1" applyFill="1" applyAlignment="1">
      <alignment vertical="center"/>
    </xf>
    <xf numFmtId="178" fontId="118" fillId="11" borderId="47" xfId="0" applyNumberFormat="1" applyFont="1" applyFill="1" applyBorder="1" applyAlignment="1">
      <alignment horizontal="left" vertical="center" wrapText="1"/>
    </xf>
    <xf numFmtId="0" fontId="127" fillId="0" borderId="39" xfId="0" applyFont="1" applyBorder="1" applyAlignment="1">
      <alignment vertical="center"/>
    </xf>
    <xf numFmtId="0" fontId="128" fillId="13" borderId="37" xfId="0" applyFont="1" applyFill="1" applyBorder="1" applyAlignment="1">
      <alignment vertical="center"/>
    </xf>
    <xf numFmtId="0" fontId="127" fillId="0" borderId="41" xfId="0" applyFont="1" applyBorder="1" applyAlignment="1">
      <alignment vertical="center"/>
    </xf>
    <xf numFmtId="0" fontId="142" fillId="8" borderId="0" xfId="0" applyFont="1" applyFill="1" applyAlignment="1">
      <alignment horizontal="center" vertical="center"/>
    </xf>
    <xf numFmtId="0" fontId="118" fillId="13" borderId="0" xfId="0" applyFont="1" applyFill="1" applyAlignment="1">
      <alignment horizontal="center" vertical="center"/>
    </xf>
    <xf numFmtId="0" fontId="143" fillId="40" borderId="0" xfId="0" applyFont="1" applyFill="1" applyAlignment="1">
      <alignment horizontal="left" vertical="center"/>
    </xf>
    <xf numFmtId="0" fontId="143" fillId="40" borderId="0" xfId="0" applyFont="1" applyFill="1" applyAlignment="1">
      <alignment horizontal="center" vertical="center"/>
    </xf>
    <xf numFmtId="0" fontId="52" fillId="0" borderId="0" xfId="0" applyFont="1" applyBorder="1" applyAlignment="1">
      <alignment horizontal="center" vertical="center"/>
    </xf>
    <xf numFmtId="41" fontId="52" fillId="0" borderId="0" xfId="0" applyNumberFormat="1" applyFont="1" applyBorder="1" applyAlignment="1">
      <alignment horizontal="center" vertical="center"/>
    </xf>
    <xf numFmtId="0" fontId="118" fillId="13" borderId="38" xfId="0" applyFont="1" applyFill="1" applyBorder="1" applyAlignment="1">
      <alignment vertical="center"/>
    </xf>
    <xf numFmtId="0" fontId="118" fillId="0" borderId="0" xfId="0" applyFont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4" fillId="0" borderId="0" xfId="0" applyFont="1" applyAlignment="1">
      <alignment horizontal="left" vertical="center"/>
    </xf>
    <xf numFmtId="0" fontId="52" fillId="28" borderId="19" xfId="0" applyFont="1" applyFill="1" applyBorder="1" applyAlignment="1">
      <alignment horizontal="left" vertical="center"/>
    </xf>
    <xf numFmtId="0" fontId="52" fillId="28" borderId="19" xfId="0" applyFont="1" applyFill="1" applyBorder="1" applyAlignment="1">
      <alignment horizontal="center" vertical="center" wrapText="1"/>
    </xf>
    <xf numFmtId="0" fontId="127" fillId="13" borderId="38" xfId="0" applyFont="1" applyFill="1" applyBorder="1" applyAlignment="1">
      <alignment horizontal="right" vertical="center"/>
    </xf>
    <xf numFmtId="0" fontId="128" fillId="13" borderId="29" xfId="0" applyFont="1" applyFill="1" applyBorder="1" applyAlignment="1">
      <alignment horizontal="right" vertical="center"/>
    </xf>
    <xf numFmtId="0" fontId="118" fillId="13" borderId="0" xfId="0" applyFont="1" applyFill="1" applyBorder="1" applyAlignment="1">
      <alignment horizontal="right" vertical="center"/>
    </xf>
    <xf numFmtId="178" fontId="118" fillId="28" borderId="48" xfId="0" applyNumberFormat="1" applyFont="1" applyFill="1" applyBorder="1" applyAlignment="1">
      <alignment horizontal="left" vertical="center" wrapText="1"/>
    </xf>
    <xf numFmtId="0" fontId="118" fillId="0" borderId="0" xfId="0" applyFont="1" applyAlignment="1">
      <alignment horizontal="center" vertical="center"/>
    </xf>
    <xf numFmtId="178" fontId="118" fillId="28" borderId="41" xfId="0" applyNumberFormat="1" applyFont="1" applyFill="1" applyBorder="1" applyAlignment="1">
      <alignment horizontal="left" vertical="center" wrapText="1"/>
    </xf>
    <xf numFmtId="0" fontId="127" fillId="40" borderId="0" xfId="0" applyFont="1" applyFill="1" applyAlignment="1">
      <alignment horizontal="center" vertical="center"/>
    </xf>
    <xf numFmtId="178" fontId="143" fillId="28" borderId="38" xfId="0" applyNumberFormat="1" applyFont="1" applyFill="1" applyBorder="1" applyAlignment="1">
      <alignment horizontal="left" vertical="center" wrapText="1"/>
    </xf>
    <xf numFmtId="178" fontId="147" fillId="28" borderId="39" xfId="0" applyNumberFormat="1" applyFont="1" applyFill="1" applyBorder="1" applyAlignment="1">
      <alignment horizontal="left" vertical="center" wrapText="1"/>
    </xf>
    <xf numFmtId="0" fontId="128" fillId="13" borderId="38" xfId="0" applyFont="1" applyFill="1" applyBorder="1" applyAlignment="1">
      <alignment horizontal="right" vertical="center"/>
    </xf>
    <xf numFmtId="0" fontId="118" fillId="13" borderId="0" xfId="0" applyFont="1" applyFill="1" applyBorder="1" applyAlignment="1">
      <alignment horizontal="center" vertical="center"/>
    </xf>
    <xf numFmtId="0" fontId="8" fillId="11" borderId="0" xfId="0" applyFont="1" applyFill="1" applyAlignment="1">
      <alignment vertical="center"/>
    </xf>
    <xf numFmtId="41" fontId="52" fillId="0" borderId="0" xfId="23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2" fillId="8" borderId="0" xfId="0" applyFont="1" applyFill="1" applyAlignment="1">
      <alignment horizontal="center" vertical="center"/>
    </xf>
    <xf numFmtId="0" fontId="128" fillId="13" borderId="0" xfId="0" applyFont="1" applyFill="1" applyBorder="1" applyAlignment="1">
      <alignment horizontal="left" vertical="center"/>
    </xf>
    <xf numFmtId="0" fontId="143" fillId="13" borderId="0" xfId="0" applyFont="1" applyFill="1" applyAlignment="1">
      <alignment vertical="center"/>
    </xf>
    <xf numFmtId="0" fontId="143" fillId="13" borderId="51" xfId="0" applyFont="1" applyFill="1" applyBorder="1" applyAlignment="1">
      <alignment vertical="center"/>
    </xf>
    <xf numFmtId="0" fontId="143" fillId="13" borderId="0" xfId="0" applyFont="1" applyFill="1" applyAlignment="1">
      <alignment horizontal="left" vertical="center"/>
    </xf>
    <xf numFmtId="0" fontId="147" fillId="13" borderId="38" xfId="0" applyFont="1" applyFill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27" fillId="0" borderId="29" xfId="0" applyFont="1" applyBorder="1" applyAlignment="1">
      <alignment vertical="center"/>
    </xf>
    <xf numFmtId="0" fontId="147" fillId="13" borderId="29" xfId="0" applyFont="1" applyFill="1" applyBorder="1" applyAlignment="1">
      <alignment horizontal="right" vertical="center"/>
    </xf>
    <xf numFmtId="0" fontId="147" fillId="13" borderId="51" xfId="0" applyFont="1" applyFill="1" applyBorder="1" applyAlignment="1">
      <alignment horizontal="right" vertical="center"/>
    </xf>
    <xf numFmtId="178" fontId="127" fillId="28" borderId="47" xfId="0" applyNumberFormat="1" applyFont="1" applyFill="1" applyBorder="1" applyAlignment="1">
      <alignment horizontal="left" vertical="center" wrapText="1"/>
    </xf>
    <xf numFmtId="178" fontId="127" fillId="28" borderId="51" xfId="0" applyNumberFormat="1" applyFont="1" applyFill="1" applyBorder="1" applyAlignment="1">
      <alignment horizontal="left" vertical="center" wrapText="1"/>
    </xf>
    <xf numFmtId="178" fontId="127" fillId="0" borderId="38" xfId="0" applyNumberFormat="1" applyFont="1" applyBorder="1" applyAlignment="1">
      <alignment horizontal="left" vertical="center" wrapText="1"/>
    </xf>
    <xf numFmtId="0" fontId="118" fillId="0" borderId="0" xfId="0" applyFont="1" applyAlignment="1">
      <alignment horizontal="center" vertical="center"/>
    </xf>
    <xf numFmtId="178" fontId="142" fillId="28" borderId="39" xfId="0" applyNumberFormat="1" applyFont="1" applyFill="1" applyBorder="1" applyAlignment="1">
      <alignment horizontal="left" vertical="center" wrapText="1"/>
    </xf>
    <xf numFmtId="0" fontId="128" fillId="9" borderId="38" xfId="0" applyFont="1" applyFill="1" applyBorder="1" applyAlignment="1">
      <alignment horizontal="center" vertical="center"/>
    </xf>
    <xf numFmtId="0" fontId="128" fillId="13" borderId="38" xfId="0" applyFont="1" applyFill="1" applyBorder="1" applyAlignment="1">
      <alignment horizontal="left" vertical="center"/>
    </xf>
    <xf numFmtId="0" fontId="118" fillId="13" borderId="38" xfId="0" applyFont="1" applyFill="1" applyBorder="1" applyAlignment="1">
      <alignment horizontal="left" vertical="center"/>
    </xf>
    <xf numFmtId="0" fontId="127" fillId="13" borderId="38" xfId="0" applyFont="1" applyFill="1" applyBorder="1" applyAlignment="1">
      <alignment horizontal="left" vertical="center"/>
    </xf>
    <xf numFmtId="0" fontId="112" fillId="0" borderId="0" xfId="0" applyFont="1" applyAlignment="1">
      <alignment vertical="center"/>
    </xf>
    <xf numFmtId="0" fontId="148" fillId="0" borderId="0" xfId="0" applyFont="1" applyAlignment="1">
      <alignment vertical="center"/>
    </xf>
    <xf numFmtId="0" fontId="110" fillId="0" borderId="20" xfId="0" applyFont="1" applyBorder="1" applyAlignment="1">
      <alignment horizontal="center" vertical="center"/>
    </xf>
    <xf numFmtId="41" fontId="110" fillId="0" borderId="20" xfId="23" applyFont="1" applyBorder="1" applyAlignment="1">
      <alignment horizontal="center" vertical="center"/>
    </xf>
    <xf numFmtId="177" fontId="110" fillId="0" borderId="0" xfId="0" applyNumberFormat="1" applyFont="1" applyAlignment="1">
      <alignment vertical="center"/>
    </xf>
    <xf numFmtId="0" fontId="110" fillId="28" borderId="19" xfId="0" applyFont="1" applyFill="1" applyBorder="1" applyAlignment="1">
      <alignment horizontal="center" vertical="center"/>
    </xf>
    <xf numFmtId="0" fontId="110" fillId="28" borderId="19" xfId="0" applyFont="1" applyFill="1" applyBorder="1" applyAlignment="1">
      <alignment horizontal="center" vertical="center" wrapText="1"/>
    </xf>
    <xf numFmtId="0" fontId="110" fillId="28" borderId="19" xfId="0" applyFont="1" applyFill="1" applyBorder="1" applyAlignment="1">
      <alignment horizontal="left" vertical="center"/>
    </xf>
    <xf numFmtId="0" fontId="107" fillId="0" borderId="0" xfId="0" applyFont="1" applyAlignment="1">
      <alignment vertical="center"/>
    </xf>
    <xf numFmtId="0" fontId="151" fillId="0" borderId="0" xfId="0" applyFont="1" applyAlignment="1">
      <alignment vertical="center"/>
    </xf>
    <xf numFmtId="0" fontId="151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143" fillId="40" borderId="0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0" fontId="143" fillId="40" borderId="0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29" fillId="8" borderId="0" xfId="0" applyFont="1" applyFill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0" fontId="129" fillId="8" borderId="0" xfId="0" applyFont="1" applyFill="1" applyAlignment="1">
      <alignment horizontal="center" vertical="center"/>
    </xf>
    <xf numFmtId="0" fontId="143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11" borderId="0" xfId="0" applyFont="1" applyFill="1" applyAlignment="1">
      <alignment vertical="center"/>
    </xf>
    <xf numFmtId="41" fontId="117" fillId="11" borderId="0" xfId="23" applyFont="1" applyFill="1" applyAlignment="1">
      <alignment vertical="center"/>
    </xf>
    <xf numFmtId="41" fontId="7" fillId="11" borderId="0" xfId="23" applyFont="1" applyFill="1" applyAlignment="1">
      <alignment vertical="center"/>
    </xf>
    <xf numFmtId="41" fontId="117" fillId="11" borderId="0" xfId="23" applyFont="1" applyFill="1" applyBorder="1" applyAlignment="1">
      <alignment horizontal="center" vertical="center"/>
    </xf>
    <xf numFmtId="0" fontId="150" fillId="40" borderId="0" xfId="0" applyFont="1" applyFill="1" applyAlignment="1">
      <alignment horizontal="left" vertical="center"/>
    </xf>
    <xf numFmtId="0" fontId="118" fillId="0" borderId="0" xfId="0" applyFont="1" applyAlignment="1">
      <alignment horizontal="center" vertical="center"/>
    </xf>
    <xf numFmtId="41" fontId="117" fillId="0" borderId="0" xfId="23" applyFont="1" applyBorder="1" applyAlignment="1">
      <alignment horizontal="center" vertical="center"/>
    </xf>
    <xf numFmtId="0" fontId="131" fillId="40" borderId="3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0" fontId="148" fillId="11" borderId="0" xfId="0" applyFont="1" applyFill="1" applyAlignment="1">
      <alignment vertical="center"/>
    </xf>
    <xf numFmtId="41" fontId="124" fillId="0" borderId="0" xfId="23" applyFont="1" applyAlignment="1">
      <alignment horizontal="center" vertical="center"/>
    </xf>
    <xf numFmtId="0" fontId="124" fillId="11" borderId="0" xfId="0" applyFont="1" applyFill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3" fillId="13" borderId="0" xfId="0" applyFont="1" applyFill="1" applyAlignment="1">
      <alignment horizontal="center" vertical="center"/>
    </xf>
    <xf numFmtId="178" fontId="143" fillId="28" borderId="28" xfId="0" applyNumberFormat="1" applyFont="1" applyFill="1" applyBorder="1" applyAlignment="1">
      <alignment horizontal="left" vertical="center" wrapText="1"/>
    </xf>
    <xf numFmtId="0" fontId="126" fillId="38" borderId="0" xfId="0" applyFont="1" applyFill="1" applyBorder="1" applyAlignment="1">
      <alignment horizontal="center" vertical="center"/>
    </xf>
    <xf numFmtId="0" fontId="143" fillId="40" borderId="51" xfId="0" applyFont="1" applyFill="1" applyBorder="1" applyAlignment="1">
      <alignment vertical="center"/>
    </xf>
    <xf numFmtId="178" fontId="142" fillId="0" borderId="48" xfId="0" applyNumberFormat="1" applyFont="1" applyBorder="1" applyAlignment="1">
      <alignment horizontal="left" vertical="center" wrapText="1"/>
    </xf>
    <xf numFmtId="178" fontId="143" fillId="28" borderId="51" xfId="0" applyNumberFormat="1" applyFont="1" applyFill="1" applyBorder="1" applyAlignment="1">
      <alignment horizontal="left" vertical="center" wrapText="1"/>
    </xf>
    <xf numFmtId="178" fontId="118" fillId="28" borderId="54" xfId="0" applyNumberFormat="1" applyFont="1" applyFill="1" applyBorder="1" applyAlignment="1">
      <alignment horizontal="left" vertical="center" wrapText="1"/>
    </xf>
    <xf numFmtId="178" fontId="142" fillId="28" borderId="48" xfId="0" applyNumberFormat="1" applyFont="1" applyFill="1" applyBorder="1" applyAlignment="1">
      <alignment horizontal="left" vertical="center" wrapText="1"/>
    </xf>
    <xf numFmtId="178" fontId="142" fillId="28" borderId="28" xfId="0" applyNumberFormat="1" applyFont="1" applyFill="1" applyBorder="1" applyAlignment="1">
      <alignment horizontal="left" vertical="center" wrapText="1"/>
    </xf>
    <xf numFmtId="178" fontId="142" fillId="28" borderId="29" xfId="0" applyNumberFormat="1" applyFont="1" applyFill="1" applyBorder="1" applyAlignment="1">
      <alignment horizontal="left" vertical="center" wrapText="1"/>
    </xf>
    <xf numFmtId="0" fontId="143" fillId="40" borderId="38" xfId="0" applyFont="1" applyFill="1" applyBorder="1" applyAlignment="1">
      <alignment horizontal="right" vertical="center"/>
    </xf>
    <xf numFmtId="178" fontId="142" fillId="0" borderId="61" xfId="0" applyNumberFormat="1" applyFont="1" applyBorder="1" applyAlignment="1">
      <alignment horizontal="left" vertical="center" wrapText="1"/>
    </xf>
    <xf numFmtId="0" fontId="143" fillId="40" borderId="38" xfId="0" applyFont="1" applyFill="1" applyBorder="1" applyAlignment="1">
      <alignment vertical="center"/>
    </xf>
    <xf numFmtId="178" fontId="142" fillId="0" borderId="36" xfId="0" applyNumberFormat="1" applyFont="1" applyBorder="1" applyAlignment="1">
      <alignment horizontal="left" vertical="center" wrapText="1"/>
    </xf>
    <xf numFmtId="178" fontId="142" fillId="28" borderId="34" xfId="0" applyNumberFormat="1" applyFont="1" applyFill="1" applyBorder="1" applyAlignment="1">
      <alignment horizontal="left" vertical="center" wrapText="1"/>
    </xf>
    <xf numFmtId="178" fontId="142" fillId="28" borderId="36" xfId="0" applyNumberFormat="1" applyFont="1" applyFill="1" applyBorder="1" applyAlignment="1">
      <alignment horizontal="left" vertical="center" wrapText="1"/>
    </xf>
    <xf numFmtId="0" fontId="143" fillId="40" borderId="38" xfId="0" applyFont="1" applyFill="1" applyBorder="1" applyAlignment="1">
      <alignment horizontal="left" vertical="center"/>
    </xf>
    <xf numFmtId="178" fontId="143" fillId="28" borderId="35" xfId="0" applyNumberFormat="1" applyFont="1" applyFill="1" applyBorder="1" applyAlignment="1">
      <alignment horizontal="left" vertical="center" wrapText="1"/>
    </xf>
    <xf numFmtId="178" fontId="118" fillId="28" borderId="55" xfId="0" applyNumberFormat="1" applyFont="1" applyFill="1" applyBorder="1" applyAlignment="1">
      <alignment horizontal="left" vertical="center" wrapText="1"/>
    </xf>
    <xf numFmtId="178" fontId="118" fillId="28" borderId="56" xfId="0" applyNumberFormat="1" applyFont="1" applyFill="1" applyBorder="1" applyAlignment="1">
      <alignment horizontal="left" vertical="center" wrapText="1"/>
    </xf>
    <xf numFmtId="178" fontId="142" fillId="28" borderId="62" xfId="0" applyNumberFormat="1" applyFont="1" applyFill="1" applyBorder="1" applyAlignment="1">
      <alignment horizontal="left" vertical="center" wrapText="1"/>
    </xf>
    <xf numFmtId="0" fontId="147" fillId="13" borderId="29" xfId="0" applyFont="1" applyFill="1" applyBorder="1" applyAlignment="1">
      <alignment vertical="center"/>
    </xf>
    <xf numFmtId="178" fontId="127" fillId="28" borderId="52" xfId="0" applyNumberFormat="1" applyFont="1" applyFill="1" applyBorder="1" applyAlignment="1">
      <alignment horizontal="left" vertical="center" wrapText="1"/>
    </xf>
    <xf numFmtId="178" fontId="127" fillId="28" borderId="60" xfId="0" applyNumberFormat="1" applyFont="1" applyFill="1" applyBorder="1" applyAlignment="1">
      <alignment horizontal="center" vertical="center" wrapText="1"/>
    </xf>
    <xf numFmtId="178" fontId="143" fillId="13" borderId="47" xfId="0" applyNumberFormat="1" applyFont="1" applyFill="1" applyBorder="1" applyAlignment="1">
      <alignment vertical="center"/>
    </xf>
    <xf numFmtId="178" fontId="143" fillId="13" borderId="47" xfId="0" applyNumberFormat="1" applyFont="1" applyFill="1" applyBorder="1" applyAlignment="1">
      <alignment horizontal="left" vertical="center"/>
    </xf>
    <xf numFmtId="0" fontId="124" fillId="13" borderId="38" xfId="0" applyFont="1" applyFill="1" applyBorder="1" applyAlignment="1">
      <alignment horizontal="right" vertical="center"/>
    </xf>
    <xf numFmtId="41" fontId="124" fillId="0" borderId="0" xfId="23" applyFont="1" applyAlignment="1">
      <alignment vertical="center"/>
    </xf>
    <xf numFmtId="0" fontId="127" fillId="0" borderId="0" xfId="0" applyFont="1" applyAlignment="1">
      <alignment horizontal="center" vertical="center"/>
    </xf>
    <xf numFmtId="41" fontId="143" fillId="0" borderId="0" xfId="23" applyFont="1" applyAlignment="1">
      <alignment vertical="center"/>
    </xf>
    <xf numFmtId="0" fontId="143" fillId="0" borderId="0" xfId="0" applyFont="1" applyAlignment="1">
      <alignment vertical="center"/>
    </xf>
    <xf numFmtId="0" fontId="147" fillId="40" borderId="38" xfId="0" applyFont="1" applyFill="1" applyBorder="1" applyAlignment="1">
      <alignment horizontal="right" vertical="center"/>
    </xf>
    <xf numFmtId="41" fontId="7" fillId="0" borderId="0" xfId="0" applyNumberFormat="1" applyFont="1" applyAlignment="1">
      <alignment vertical="center"/>
    </xf>
    <xf numFmtId="0" fontId="118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3" fillId="13" borderId="0" xfId="0" applyFont="1" applyFill="1" applyAlignment="1">
      <alignment horizontal="center" vertical="center"/>
    </xf>
    <xf numFmtId="41" fontId="118" fillId="11" borderId="0" xfId="23" applyFont="1" applyFill="1" applyAlignment="1">
      <alignment horizontal="center" vertical="center"/>
    </xf>
    <xf numFmtId="0" fontId="131" fillId="40" borderId="38" xfId="0" applyFont="1" applyFill="1" applyBorder="1" applyAlignment="1">
      <alignment horizontal="right" vertical="center"/>
    </xf>
    <xf numFmtId="0" fontId="152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8" fillId="0" borderId="0" xfId="0" applyFont="1" applyAlignment="1">
      <alignment horizontal="center" vertical="center"/>
    </xf>
    <xf numFmtId="0" fontId="143" fillId="13" borderId="0" xfId="0" applyFont="1" applyFill="1" applyAlignment="1">
      <alignment horizontal="center" vertical="center"/>
    </xf>
    <xf numFmtId="0" fontId="143" fillId="40" borderId="0" xfId="0" applyFont="1" applyFill="1" applyBorder="1" applyAlignment="1">
      <alignment horizontal="center" vertical="center"/>
    </xf>
    <xf numFmtId="41" fontId="117" fillId="0" borderId="0" xfId="23" applyFont="1" applyAlignment="1">
      <alignment vertical="center"/>
    </xf>
    <xf numFmtId="0" fontId="84" fillId="0" borderId="0" xfId="0" applyFont="1" applyAlignment="1">
      <alignment vertical="center"/>
    </xf>
    <xf numFmtId="0" fontId="118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3" fillId="13" borderId="0" xfId="0" applyFont="1" applyFill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3" fillId="40" borderId="0" xfId="0" applyFont="1" applyFill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18" fillId="0" borderId="0" xfId="0" applyFont="1" applyAlignment="1">
      <alignment horizontal="center" vertical="center"/>
    </xf>
    <xf numFmtId="0" fontId="131" fillId="40" borderId="38" xfId="0" applyFont="1" applyFill="1" applyBorder="1" applyAlignment="1">
      <alignment horizontal="left" vertical="center"/>
    </xf>
    <xf numFmtId="0" fontId="8" fillId="0" borderId="29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143" fillId="40" borderId="0" xfId="0" applyFont="1" applyFill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3" fillId="13" borderId="38" xfId="0" applyFont="1" applyFill="1" applyBorder="1" applyAlignment="1">
      <alignment horizontal="left" vertical="center"/>
    </xf>
    <xf numFmtId="178" fontId="110" fillId="11" borderId="39" xfId="0" applyNumberFormat="1" applyFont="1" applyFill="1" applyBorder="1" applyAlignment="1">
      <alignment horizontal="left" vertical="center" wrapText="1"/>
    </xf>
    <xf numFmtId="178" fontId="110" fillId="11" borderId="42" xfId="0" applyNumberFormat="1" applyFont="1" applyFill="1" applyBorder="1" applyAlignment="1">
      <alignment horizontal="left" vertical="center" wrapText="1"/>
    </xf>
    <xf numFmtId="0" fontId="118" fillId="0" borderId="0" xfId="0" applyFont="1" applyAlignment="1">
      <alignment horizontal="center" vertical="center"/>
    </xf>
    <xf numFmtId="0" fontId="143" fillId="40" borderId="0" xfId="0" applyFont="1" applyFill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118" fillId="0" borderId="0" xfId="0" applyFont="1" applyAlignment="1">
      <alignment horizontal="center" vertical="center"/>
    </xf>
    <xf numFmtId="178" fontId="131" fillId="28" borderId="61" xfId="0" applyNumberFormat="1" applyFont="1" applyFill="1" applyBorder="1" applyAlignment="1">
      <alignment horizontal="left" vertical="center" wrapText="1"/>
    </xf>
    <xf numFmtId="178" fontId="131" fillId="28" borderId="63" xfId="0" applyNumberFormat="1" applyFont="1" applyFill="1" applyBorder="1" applyAlignment="1">
      <alignment horizontal="left" vertical="center" wrapText="1"/>
    </xf>
    <xf numFmtId="178" fontId="131" fillId="28" borderId="64" xfId="0" applyNumberFormat="1" applyFont="1" applyFill="1" applyBorder="1" applyAlignment="1">
      <alignment horizontal="left" vertical="center" wrapText="1"/>
    </xf>
    <xf numFmtId="178" fontId="129" fillId="0" borderId="39" xfId="0" applyNumberFormat="1" applyFont="1" applyBorder="1" applyAlignment="1">
      <alignment horizontal="left" vertical="center" wrapText="1"/>
    </xf>
    <xf numFmtId="178" fontId="131" fillId="0" borderId="29" xfId="0" applyNumberFormat="1" applyFont="1" applyBorder="1" applyAlignment="1">
      <alignment horizontal="left" vertical="center" wrapText="1"/>
    </xf>
    <xf numFmtId="0" fontId="153" fillId="0" borderId="0" xfId="0" applyFont="1" applyAlignment="1">
      <alignment vertical="center"/>
    </xf>
    <xf numFmtId="41" fontId="154" fillId="11" borderId="0" xfId="23" applyFont="1" applyFill="1" applyBorder="1" applyAlignment="1">
      <alignment horizontal="center" vertical="center"/>
    </xf>
    <xf numFmtId="0" fontId="155" fillId="0" borderId="0" xfId="0" applyFont="1" applyAlignment="1">
      <alignment vertical="center"/>
    </xf>
    <xf numFmtId="0" fontId="118" fillId="0" borderId="0" xfId="0" applyFont="1" applyAlignment="1">
      <alignment horizontal="center" vertical="center"/>
    </xf>
    <xf numFmtId="0" fontId="143" fillId="4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6" fillId="40" borderId="0" xfId="0" applyFont="1" applyFill="1" applyAlignment="1">
      <alignment horizontal="left" vertical="center"/>
    </xf>
    <xf numFmtId="0" fontId="154" fillId="40" borderId="0" xfId="0" applyFont="1" applyFill="1" applyAlignment="1">
      <alignment horizontal="center" vertical="center"/>
    </xf>
    <xf numFmtId="0" fontId="154" fillId="11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41" fontId="117" fillId="0" borderId="0" xfId="23" applyFont="1" applyFill="1" applyBorder="1" applyAlignment="1">
      <alignment horizontal="center" vertical="center"/>
    </xf>
    <xf numFmtId="0" fontId="117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52" fillId="0" borderId="0" xfId="0" applyFont="1" applyFill="1" applyAlignment="1">
      <alignment horizontal="center" vertical="center"/>
    </xf>
    <xf numFmtId="178" fontId="0" fillId="28" borderId="36" xfId="0" applyNumberFormat="1" applyFont="1" applyFill="1" applyBorder="1" applyAlignment="1">
      <alignment horizontal="left" vertical="center" wrapText="1"/>
    </xf>
    <xf numFmtId="0" fontId="1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4" fillId="39" borderId="38" xfId="0" applyFont="1" applyFill="1" applyBorder="1" applyAlignment="1">
      <alignment horizontal="center" vertical="center"/>
    </xf>
    <xf numFmtId="0" fontId="143" fillId="13" borderId="0" xfId="0" applyFont="1" applyFill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3" fillId="13" borderId="0" xfId="0" applyFont="1" applyFill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0" fontId="131" fillId="41" borderId="38" xfId="0" applyFont="1" applyFill="1" applyBorder="1" applyAlignment="1">
      <alignment horizontal="center" vertical="center"/>
    </xf>
    <xf numFmtId="0" fontId="150" fillId="40" borderId="0" xfId="0" applyFont="1" applyFill="1" applyAlignment="1">
      <alignment horizontal="right" vertical="center"/>
    </xf>
    <xf numFmtId="0" fontId="86" fillId="0" borderId="0" xfId="0" applyFont="1" applyAlignment="1">
      <alignment vertical="center"/>
    </xf>
    <xf numFmtId="0" fontId="118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31" fillId="40" borderId="0" xfId="0" applyFont="1" applyFill="1" applyBorder="1" applyAlignment="1">
      <alignment vertical="center"/>
    </xf>
    <xf numFmtId="0" fontId="118" fillId="0" borderId="0" xfId="0" applyFont="1" applyAlignment="1">
      <alignment horizontal="center" vertical="center"/>
    </xf>
    <xf numFmtId="178" fontId="110" fillId="11" borderId="35" xfId="0" applyNumberFormat="1" applyFont="1" applyFill="1" applyBorder="1" applyAlignment="1">
      <alignment horizontal="left" vertical="center" wrapText="1"/>
    </xf>
    <xf numFmtId="178" fontId="110" fillId="11" borderId="65" xfId="0" applyNumberFormat="1" applyFont="1" applyFill="1" applyBorder="1" applyAlignment="1">
      <alignment horizontal="left" vertical="center" wrapText="1"/>
    </xf>
    <xf numFmtId="0" fontId="129" fillId="8" borderId="38" xfId="0" applyFont="1" applyFill="1" applyBorder="1" applyAlignment="1">
      <alignment horizontal="left" vertical="center"/>
    </xf>
    <xf numFmtId="0" fontId="131" fillId="13" borderId="51" xfId="0" applyFont="1" applyFill="1" applyBorder="1" applyAlignment="1">
      <alignment horizontal="right" vertical="center"/>
    </xf>
    <xf numFmtId="0" fontId="131" fillId="13" borderId="51" xfId="0" applyFont="1" applyFill="1" applyBorder="1" applyAlignment="1">
      <alignment horizontal="left" vertical="center"/>
    </xf>
    <xf numFmtId="0" fontId="118" fillId="0" borderId="0" xfId="0" applyFont="1" applyAlignment="1">
      <alignment horizontal="center" vertical="center"/>
    </xf>
    <xf numFmtId="178" fontId="131" fillId="11" borderId="44" xfId="0" applyNumberFormat="1" applyFont="1" applyFill="1" applyBorder="1" applyAlignment="1">
      <alignment horizontal="left" vertical="center" wrapText="1"/>
    </xf>
    <xf numFmtId="178" fontId="131" fillId="11" borderId="46" xfId="0" applyNumberFormat="1" applyFont="1" applyFill="1" applyBorder="1" applyAlignment="1">
      <alignment horizontal="left" vertical="center" wrapText="1"/>
    </xf>
    <xf numFmtId="0" fontId="118" fillId="0" borderId="0" xfId="0" applyFont="1" applyAlignment="1">
      <alignment horizontal="center" vertical="center"/>
    </xf>
    <xf numFmtId="14" fontId="143" fillId="40" borderId="0" xfId="0" quotePrefix="1" applyNumberFormat="1" applyFont="1" applyFill="1" applyBorder="1" applyAlignment="1">
      <alignment horizontal="center" vertical="center"/>
    </xf>
    <xf numFmtId="181" fontId="143" fillId="40" borderId="0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178" fontId="131" fillId="28" borderId="37" xfId="0" applyNumberFormat="1" applyFont="1" applyFill="1" applyBorder="1" applyAlignment="1">
      <alignment horizontal="left" vertical="center" wrapText="1"/>
    </xf>
    <xf numFmtId="178" fontId="131" fillId="11" borderId="47" xfId="0" applyNumberFormat="1" applyFont="1" applyFill="1" applyBorder="1" applyAlignment="1">
      <alignment horizontal="left" vertical="center" wrapText="1"/>
    </xf>
    <xf numFmtId="0" fontId="118" fillId="0" borderId="0" xfId="0" applyFont="1" applyAlignment="1">
      <alignment horizontal="center" vertical="center"/>
    </xf>
    <xf numFmtId="41" fontId="148" fillId="11" borderId="0" xfId="23" applyFont="1" applyFill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31" fillId="40" borderId="51" xfId="0" applyFont="1" applyFill="1" applyBorder="1" applyAlignment="1">
      <alignment vertical="center"/>
    </xf>
    <xf numFmtId="0" fontId="116" fillId="41" borderId="0" xfId="0" applyFont="1" applyFill="1" applyAlignment="1">
      <alignment horizontal="center" vertical="center"/>
    </xf>
    <xf numFmtId="178" fontId="131" fillId="28" borderId="0" xfId="0" applyNumberFormat="1" applyFont="1" applyFill="1" applyBorder="1" applyAlignment="1">
      <alignment horizontal="left" vertical="center" wrapText="1"/>
    </xf>
    <xf numFmtId="178" fontId="110" fillId="11" borderId="46" xfId="0" applyNumberFormat="1" applyFont="1" applyFill="1" applyBorder="1" applyAlignment="1">
      <alignment horizontal="left" vertical="center" wrapText="1"/>
    </xf>
    <xf numFmtId="0" fontId="8" fillId="11" borderId="0" xfId="0" applyFont="1" applyFill="1" applyBorder="1" applyAlignment="1">
      <alignment vertical="center"/>
    </xf>
    <xf numFmtId="0" fontId="131" fillId="4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178" fontId="114" fillId="28" borderId="46" xfId="0" applyNumberFormat="1" applyFont="1" applyFill="1" applyBorder="1" applyAlignment="1">
      <alignment horizontal="left" vertical="center" wrapText="1"/>
    </xf>
    <xf numFmtId="178" fontId="131" fillId="28" borderId="66" xfId="0" applyNumberFormat="1" applyFont="1" applyFill="1" applyBorder="1" applyAlignment="1">
      <alignment horizontal="left" vertical="center" wrapText="1"/>
    </xf>
    <xf numFmtId="178" fontId="131" fillId="28" borderId="67" xfId="0" applyNumberFormat="1" applyFont="1" applyFill="1" applyBorder="1" applyAlignment="1">
      <alignment horizontal="left" vertical="center" wrapText="1"/>
    </xf>
    <xf numFmtId="178" fontId="129" fillId="28" borderId="46" xfId="0" applyNumberFormat="1" applyFont="1" applyFill="1" applyBorder="1" applyAlignment="1">
      <alignment horizontal="left" vertical="center" wrapText="1"/>
    </xf>
    <xf numFmtId="178" fontId="131" fillId="0" borderId="43" xfId="0" applyNumberFormat="1" applyFont="1" applyBorder="1" applyAlignment="1">
      <alignment horizontal="left" vertical="center" wrapText="1"/>
    </xf>
    <xf numFmtId="178" fontId="131" fillId="0" borderId="38" xfId="0" applyNumberFormat="1" applyFont="1" applyBorder="1" applyAlignment="1">
      <alignment horizontal="left" vertical="center" wrapText="1"/>
    </xf>
    <xf numFmtId="0" fontId="116" fillId="38" borderId="40" xfId="0" applyFont="1" applyFill="1" applyBorder="1" applyAlignment="1">
      <alignment horizontal="center" vertical="center"/>
    </xf>
    <xf numFmtId="0" fontId="116" fillId="38" borderId="48" xfId="0" applyFont="1" applyFill="1" applyBorder="1" applyAlignment="1">
      <alignment horizontal="center" vertical="center"/>
    </xf>
    <xf numFmtId="0" fontId="143" fillId="40" borderId="51" xfId="0" applyFont="1" applyFill="1" applyBorder="1" applyAlignment="1">
      <alignment horizontal="right" vertical="center"/>
    </xf>
    <xf numFmtId="178" fontId="110" fillId="28" borderId="46" xfId="0" applyNumberFormat="1" applyFont="1" applyFill="1" applyBorder="1" applyAlignment="1">
      <alignment horizontal="left" vertical="center" wrapText="1"/>
    </xf>
    <xf numFmtId="178" fontId="129" fillId="28" borderId="66" xfId="0" applyNumberFormat="1" applyFont="1" applyFill="1" applyBorder="1" applyAlignment="1">
      <alignment horizontal="left" vertical="center" wrapText="1"/>
    </xf>
    <xf numFmtId="0" fontId="116" fillId="41" borderId="0" xfId="0" applyFont="1" applyFill="1" applyBorder="1" applyAlignment="1">
      <alignment horizontal="center" vertical="center"/>
    </xf>
    <xf numFmtId="0" fontId="131" fillId="40" borderId="40" xfId="0" applyFont="1" applyFill="1" applyBorder="1" applyAlignment="1">
      <alignment vertical="center"/>
    </xf>
    <xf numFmtId="0" fontId="116" fillId="38" borderId="41" xfId="0" applyFont="1" applyFill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3" fillId="40" borderId="0" xfId="0" applyFont="1" applyFill="1" applyBorder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178" fontId="131" fillId="0" borderId="40" xfId="0" applyNumberFormat="1" applyFont="1" applyBorder="1" applyAlignment="1">
      <alignment horizontal="left" vertical="center" wrapText="1"/>
    </xf>
    <xf numFmtId="178" fontId="131" fillId="28" borderId="44" xfId="0" applyNumberFormat="1" applyFont="1" applyFill="1" applyBorder="1" applyAlignment="1">
      <alignment horizontal="left" vertical="center" wrapText="1"/>
    </xf>
    <xf numFmtId="0" fontId="115" fillId="0" borderId="0" xfId="0" applyFont="1" applyFill="1" applyBorder="1" applyAlignment="1">
      <alignment vertical="center"/>
    </xf>
    <xf numFmtId="0" fontId="129" fillId="0" borderId="0" xfId="0" applyFont="1" applyFill="1" applyBorder="1" applyAlignment="1">
      <alignment vertical="center"/>
    </xf>
    <xf numFmtId="0" fontId="118" fillId="0" borderId="0" xfId="0" applyFont="1" applyAlignment="1">
      <alignment horizontal="center" vertical="center"/>
    </xf>
    <xf numFmtId="14" fontId="143" fillId="40" borderId="0" xfId="0" applyNumberFormat="1" applyFont="1" applyFill="1" applyBorder="1" applyAlignment="1">
      <alignment horizontal="center" vertical="center"/>
    </xf>
    <xf numFmtId="178" fontId="131" fillId="28" borderId="48" xfId="0" applyNumberFormat="1" applyFont="1" applyFill="1" applyBorder="1" applyAlignment="1">
      <alignment horizontal="left" vertical="center" wrapText="1"/>
    </xf>
    <xf numFmtId="178" fontId="131" fillId="28" borderId="45" xfId="0" applyNumberFormat="1" applyFont="1" applyFill="1" applyBorder="1" applyAlignment="1">
      <alignment horizontal="left" vertical="center" wrapText="1"/>
    </xf>
    <xf numFmtId="178" fontId="129" fillId="11" borderId="46" xfId="0" applyNumberFormat="1" applyFont="1" applyFill="1" applyBorder="1" applyAlignment="1">
      <alignment horizontal="left" vertical="center" wrapText="1"/>
    </xf>
    <xf numFmtId="0" fontId="37" fillId="0" borderId="0" xfId="0" applyFont="1" applyAlignment="1">
      <alignment vertical="center"/>
    </xf>
    <xf numFmtId="0" fontId="131" fillId="40" borderId="0" xfId="0" applyFont="1" applyFill="1" applyBorder="1" applyAlignment="1">
      <alignment horizontal="right" vertical="center"/>
    </xf>
    <xf numFmtId="181" fontId="0" fillId="0" borderId="0" xfId="0" applyNumberFormat="1" applyAlignment="1">
      <alignment vertical="center"/>
    </xf>
    <xf numFmtId="0" fontId="118" fillId="0" borderId="0" xfId="0" applyFont="1" applyAlignment="1">
      <alignment horizontal="center" vertical="center"/>
    </xf>
    <xf numFmtId="14" fontId="150" fillId="40" borderId="0" xfId="0" applyNumberFormat="1" applyFont="1" applyFill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0" fontId="118" fillId="11" borderId="0" xfId="0" applyFont="1" applyFill="1" applyAlignment="1">
      <alignment horizontal="center" vertical="center"/>
    </xf>
    <xf numFmtId="0" fontId="0" fillId="11" borderId="0" xfId="0" applyFill="1" applyAlignment="1">
      <alignment vertical="center"/>
    </xf>
    <xf numFmtId="0" fontId="143" fillId="11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41" fontId="0" fillId="0" borderId="0" xfId="23" applyFont="1" applyBorder="1" applyAlignment="1"/>
    <xf numFmtId="0" fontId="0" fillId="0" borderId="0" xfId="0" applyAlignment="1">
      <alignment horizontal="left"/>
    </xf>
    <xf numFmtId="41" fontId="0" fillId="0" borderId="0" xfId="23" applyFont="1" applyBorder="1" applyAlignment="1">
      <alignment horizontal="center"/>
    </xf>
    <xf numFmtId="41" fontId="8" fillId="0" borderId="0" xfId="0" applyNumberFormat="1" applyFont="1" applyAlignment="1">
      <alignment vertical="center"/>
    </xf>
    <xf numFmtId="182" fontId="8" fillId="0" borderId="0" xfId="0" applyNumberFormat="1" applyFont="1" applyAlignment="1">
      <alignment vertical="center"/>
    </xf>
    <xf numFmtId="41" fontId="8" fillId="0" borderId="0" xfId="23" applyFont="1" applyAlignment="1">
      <alignment horizontal="center" vertical="center"/>
    </xf>
    <xf numFmtId="0" fontId="0" fillId="0" borderId="0" xfId="0" applyAlignment="1">
      <alignment horizontal="center"/>
    </xf>
    <xf numFmtId="0" fontId="8" fillId="11" borderId="0" xfId="0" applyFont="1" applyFill="1" applyAlignment="1">
      <alignment horizontal="center" vertical="center"/>
    </xf>
    <xf numFmtId="0" fontId="107" fillId="0" borderId="0" xfId="0" applyFont="1" applyFill="1" applyBorder="1" applyAlignment="1">
      <alignment horizontal="left" vertical="center"/>
    </xf>
    <xf numFmtId="41" fontId="157" fillId="11" borderId="0" xfId="23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06" fillId="0" borderId="0" xfId="0" applyFont="1" applyAlignment="1">
      <alignment vertical="center"/>
    </xf>
    <xf numFmtId="0" fontId="157" fillId="11" borderId="0" xfId="0" applyFont="1" applyFill="1" applyAlignment="1">
      <alignment horizontal="center" vertical="center"/>
    </xf>
    <xf numFmtId="0" fontId="131" fillId="13" borderId="38" xfId="0" applyFont="1" applyFill="1" applyBorder="1" applyAlignment="1">
      <alignment horizontal="left" vertical="center"/>
    </xf>
    <xf numFmtId="0" fontId="131" fillId="13" borderId="38" xfId="0" applyFont="1" applyFill="1" applyBorder="1" applyAlignment="1">
      <alignment vertical="center"/>
    </xf>
    <xf numFmtId="0" fontId="116" fillId="38" borderId="0" xfId="0" applyFont="1" applyFill="1" applyAlignment="1">
      <alignment horizontal="center" vertical="center"/>
    </xf>
    <xf numFmtId="41" fontId="8" fillId="11" borderId="0" xfId="0" applyNumberFormat="1" applyFont="1" applyFill="1" applyAlignment="1">
      <alignment vertical="center"/>
    </xf>
    <xf numFmtId="0" fontId="118" fillId="0" borderId="0" xfId="0" applyFont="1" applyAlignment="1">
      <alignment horizontal="center" vertical="center"/>
    </xf>
    <xf numFmtId="0" fontId="143" fillId="40" borderId="0" xfId="0" applyFont="1" applyFill="1" applyBorder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178" fontId="115" fillId="43" borderId="4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8" fontId="131" fillId="31" borderId="47" xfId="0" applyNumberFormat="1" applyFont="1" applyFill="1" applyBorder="1" applyAlignment="1">
      <alignment horizontal="left" vertical="center" wrapText="1"/>
    </xf>
    <xf numFmtId="178" fontId="129" fillId="31" borderId="47" xfId="0" applyNumberFormat="1" applyFont="1" applyFill="1" applyBorder="1" applyAlignment="1">
      <alignment horizontal="left" vertical="center" wrapText="1"/>
    </xf>
    <xf numFmtId="178" fontId="131" fillId="31" borderId="0" xfId="0" applyNumberFormat="1" applyFont="1" applyFill="1" applyBorder="1" applyAlignment="1">
      <alignment horizontal="left" vertical="center" wrapText="1"/>
    </xf>
    <xf numFmtId="0" fontId="144" fillId="39" borderId="38" xfId="0" applyFont="1" applyFill="1" applyBorder="1" applyAlignment="1">
      <alignment horizontal="center" vertical="center"/>
    </xf>
    <xf numFmtId="0" fontId="156" fillId="36" borderId="0" xfId="0" applyFont="1" applyFill="1" applyAlignment="1">
      <alignment horizontal="left" vertical="center"/>
    </xf>
    <xf numFmtId="0" fontId="154" fillId="36" borderId="0" xfId="0" applyFont="1" applyFill="1" applyAlignment="1">
      <alignment horizontal="center" vertical="center"/>
    </xf>
    <xf numFmtId="41" fontId="143" fillId="40" borderId="0" xfId="23" applyFont="1" applyFill="1" applyAlignment="1">
      <alignment horizontal="left" vertical="center"/>
    </xf>
    <xf numFmtId="41" fontId="154" fillId="40" borderId="0" xfId="23" applyFont="1" applyFill="1" applyAlignment="1">
      <alignment horizontal="center" vertical="center"/>
    </xf>
    <xf numFmtId="41" fontId="32" fillId="8" borderId="0" xfId="23" applyFont="1" applyFill="1" applyAlignment="1">
      <alignment horizontal="center" vertical="center"/>
    </xf>
    <xf numFmtId="41" fontId="41" fillId="8" borderId="0" xfId="23" applyFont="1" applyFill="1" applyAlignment="1">
      <alignment horizontal="center" vertical="center"/>
    </xf>
    <xf numFmtId="41" fontId="156" fillId="36" borderId="0" xfId="23" applyFont="1" applyFill="1" applyAlignment="1">
      <alignment horizontal="left" vertical="center"/>
    </xf>
    <xf numFmtId="41" fontId="154" fillId="36" borderId="0" xfId="23" applyFont="1" applyFill="1" applyAlignment="1">
      <alignment horizontal="center" vertical="center"/>
    </xf>
    <xf numFmtId="41" fontId="32" fillId="8" borderId="0" xfId="23" applyFont="1" applyFill="1" applyAlignment="1">
      <alignment horizontal="left" vertical="center"/>
    </xf>
    <xf numFmtId="41" fontId="41" fillId="8" borderId="0" xfId="23" applyFont="1" applyFill="1" applyAlignment="1">
      <alignment horizontal="left" vertical="center"/>
    </xf>
    <xf numFmtId="14" fontId="154" fillId="40" borderId="0" xfId="23" applyNumberFormat="1" applyFont="1" applyFill="1" applyAlignment="1">
      <alignment horizontal="center" vertical="center"/>
    </xf>
    <xf numFmtId="0" fontId="131" fillId="13" borderId="51" xfId="0" applyFont="1" applyFill="1" applyBorder="1" applyAlignment="1">
      <alignment vertical="center"/>
    </xf>
    <xf numFmtId="0" fontId="131" fillId="13" borderId="38" xfId="0" applyFont="1" applyFill="1" applyBorder="1" applyAlignment="1">
      <alignment horizontal="right" vertical="center"/>
    </xf>
    <xf numFmtId="0" fontId="150" fillId="40" borderId="51" xfId="0" applyFont="1" applyFill="1" applyBorder="1" applyAlignment="1">
      <alignment horizontal="right" vertical="center"/>
    </xf>
    <xf numFmtId="14" fontId="146" fillId="8" borderId="0" xfId="23" applyNumberFormat="1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0" fontId="103" fillId="0" borderId="0" xfId="0" applyFont="1" applyAlignment="1">
      <alignment vertical="center"/>
    </xf>
    <xf numFmtId="0" fontId="131" fillId="43" borderId="0" xfId="0" applyFont="1" applyFill="1" applyAlignment="1">
      <alignment horizontal="center" vertical="center"/>
    </xf>
    <xf numFmtId="0" fontId="129" fillId="7" borderId="38" xfId="0" applyFont="1" applyFill="1" applyBorder="1" applyAlignment="1">
      <alignment horizontal="right" vertical="center"/>
    </xf>
    <xf numFmtId="0" fontId="143" fillId="28" borderId="0" xfId="0" applyFont="1" applyFill="1" applyAlignment="1">
      <alignment horizontal="left" vertical="center"/>
    </xf>
    <xf numFmtId="0" fontId="154" fillId="28" borderId="0" xfId="0" applyFont="1" applyFill="1" applyAlignment="1">
      <alignment horizontal="center" vertical="center"/>
    </xf>
    <xf numFmtId="41" fontId="148" fillId="28" borderId="0" xfId="23" applyFont="1" applyFill="1" applyBorder="1" applyAlignment="1">
      <alignment horizontal="center" vertical="center"/>
    </xf>
    <xf numFmtId="41" fontId="117" fillId="28" borderId="0" xfId="23" applyFont="1" applyFill="1" applyBorder="1" applyAlignment="1">
      <alignment horizontal="center" vertical="center"/>
    </xf>
    <xf numFmtId="0" fontId="118" fillId="28" borderId="0" xfId="0" applyFont="1" applyFill="1" applyAlignment="1">
      <alignment horizontal="center" vertical="center"/>
    </xf>
    <xf numFmtId="0" fontId="0" fillId="28" borderId="0" xfId="0" applyFill="1" applyAlignment="1">
      <alignment vertical="center"/>
    </xf>
    <xf numFmtId="0" fontId="150" fillId="40" borderId="51" xfId="0" applyFont="1" applyFill="1" applyBorder="1" applyAlignment="1">
      <alignment horizontal="left" vertical="center"/>
    </xf>
    <xf numFmtId="178" fontId="129" fillId="11" borderId="38" xfId="0" applyNumberFormat="1" applyFont="1" applyFill="1" applyBorder="1" applyAlignment="1">
      <alignment vertical="center" wrapText="1"/>
    </xf>
    <xf numFmtId="178" fontId="158" fillId="11" borderId="61" xfId="0" applyNumberFormat="1" applyFont="1" applyFill="1" applyBorder="1" applyAlignment="1">
      <alignment horizontal="left" vertical="center" wrapText="1"/>
    </xf>
    <xf numFmtId="178" fontId="129" fillId="11" borderId="63" xfId="0" applyNumberFormat="1" applyFont="1" applyFill="1" applyBorder="1" applyAlignment="1">
      <alignment horizontal="left" vertical="center" wrapText="1"/>
    </xf>
    <xf numFmtId="178" fontId="129" fillId="11" borderId="64" xfId="0" applyNumberFormat="1" applyFont="1" applyFill="1" applyBorder="1" applyAlignment="1">
      <alignment horizontal="left" vertical="center" wrapText="1"/>
    </xf>
    <xf numFmtId="178" fontId="129" fillId="11" borderId="47" xfId="0" applyNumberFormat="1" applyFont="1" applyFill="1" applyBorder="1" applyAlignment="1">
      <alignment vertical="center" wrapText="1"/>
    </xf>
    <xf numFmtId="0" fontId="143" fillId="11" borderId="0" xfId="0" applyFont="1" applyFill="1" applyAlignment="1">
      <alignment horizontal="left" vertical="center"/>
    </xf>
    <xf numFmtId="41" fontId="8" fillId="11" borderId="0" xfId="23" applyFont="1" applyFill="1" applyAlignment="1">
      <alignment vertical="center"/>
    </xf>
    <xf numFmtId="41" fontId="143" fillId="11" borderId="0" xfId="23" applyFont="1" applyFill="1" applyAlignment="1">
      <alignment horizontal="center" vertical="center"/>
    </xf>
    <xf numFmtId="0" fontId="131" fillId="40" borderId="0" xfId="0" applyFont="1" applyFill="1" applyAlignment="1">
      <alignment horizontal="left" vertical="center"/>
    </xf>
    <xf numFmtId="0" fontId="131" fillId="40" borderId="0" xfId="0" applyFont="1" applyFill="1" applyAlignment="1">
      <alignment horizontal="center" vertical="center"/>
    </xf>
    <xf numFmtId="14" fontId="131" fillId="40" borderId="0" xfId="0" applyNumberFormat="1" applyFont="1" applyFill="1" applyAlignment="1">
      <alignment horizontal="center" vertical="center"/>
    </xf>
    <xf numFmtId="0" fontId="129" fillId="8" borderId="0" xfId="0" applyFont="1" applyFill="1" applyAlignment="1">
      <alignment horizontal="left" vertical="center"/>
    </xf>
    <xf numFmtId="14" fontId="131" fillId="40" borderId="0" xfId="23" applyNumberFormat="1" applyFont="1" applyFill="1" applyAlignment="1">
      <alignment horizontal="center" vertical="center"/>
    </xf>
    <xf numFmtId="41" fontId="143" fillId="11" borderId="0" xfId="23" applyFont="1" applyFill="1" applyAlignment="1">
      <alignment horizontal="left" vertical="center"/>
    </xf>
    <xf numFmtId="41" fontId="32" fillId="11" borderId="0" xfId="23" applyFont="1" applyFill="1" applyAlignment="1">
      <alignment horizontal="center" vertical="center"/>
    </xf>
    <xf numFmtId="41" fontId="41" fillId="11" borderId="0" xfId="23" applyFont="1" applyFill="1" applyAlignment="1">
      <alignment horizontal="center" vertical="center"/>
    </xf>
    <xf numFmtId="41" fontId="142" fillId="9" borderId="0" xfId="23" applyFont="1" applyFill="1" applyAlignment="1">
      <alignment horizontal="left" vertical="center"/>
    </xf>
    <xf numFmtId="41" fontId="146" fillId="9" borderId="0" xfId="23" applyFont="1" applyFill="1" applyAlignment="1">
      <alignment horizontal="center" vertical="center"/>
    </xf>
    <xf numFmtId="0" fontId="129" fillId="9" borderId="38" xfId="0" applyFont="1" applyFill="1" applyBorder="1" applyAlignment="1">
      <alignment vertical="center"/>
    </xf>
    <xf numFmtId="0" fontId="131" fillId="9" borderId="38" xfId="0" applyFont="1" applyFill="1" applyBorder="1" applyAlignment="1">
      <alignment horizontal="left" vertical="center"/>
    </xf>
    <xf numFmtId="0" fontId="131" fillId="8" borderId="38" xfId="0" applyFont="1" applyFill="1" applyBorder="1" applyAlignment="1">
      <alignment vertical="center"/>
    </xf>
    <xf numFmtId="176" fontId="9" fillId="0" borderId="8" xfId="0" applyNumberFormat="1" applyFont="1" applyBorder="1" applyAlignment="1">
      <alignment horizontal="left" vertical="center"/>
    </xf>
    <xf numFmtId="176" fontId="34" fillId="0" borderId="8" xfId="0" applyNumberFormat="1" applyFont="1" applyBorder="1" applyAlignment="1">
      <alignment horizontal="right" vertical="center"/>
    </xf>
    <xf numFmtId="176" fontId="35" fillId="0" borderId="8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178" fontId="32" fillId="3" borderId="5" xfId="0" applyNumberFormat="1" applyFont="1" applyFill="1" applyBorder="1" applyAlignment="1">
      <alignment horizontal="center" vertical="center" wrapText="1"/>
    </xf>
    <xf numFmtId="178" fontId="41" fillId="3" borderId="5" xfId="0" applyNumberFormat="1" applyFont="1" applyFill="1" applyBorder="1" applyAlignment="1">
      <alignment horizontal="center" vertical="center" wrapText="1"/>
    </xf>
    <xf numFmtId="178" fontId="8" fillId="3" borderId="5" xfId="0" applyNumberFormat="1" applyFont="1" applyFill="1" applyBorder="1" applyAlignment="1">
      <alignment horizontal="left" vertical="center" wrapText="1"/>
    </xf>
    <xf numFmtId="178" fontId="49" fillId="21" borderId="8" xfId="0" applyNumberFormat="1" applyFont="1" applyFill="1" applyBorder="1" applyAlignment="1">
      <alignment horizontal="center" vertical="center" wrapText="1"/>
    </xf>
    <xf numFmtId="178" fontId="8" fillId="19" borderId="8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8" fontId="8" fillId="20" borderId="16" xfId="0" applyNumberFormat="1" applyFont="1" applyFill="1" applyBorder="1" applyAlignment="1">
      <alignment horizontal="center" vertical="center" wrapText="1"/>
    </xf>
    <xf numFmtId="178" fontId="8" fillId="20" borderId="8" xfId="0" applyNumberFormat="1" applyFont="1" applyFill="1" applyBorder="1" applyAlignment="1">
      <alignment horizontal="center" vertical="center" wrapText="1"/>
    </xf>
    <xf numFmtId="178" fontId="8" fillId="22" borderId="16" xfId="0" applyNumberFormat="1" applyFont="1" applyFill="1" applyBorder="1" applyAlignment="1">
      <alignment horizontal="center" vertical="center" wrapText="1"/>
    </xf>
    <xf numFmtId="178" fontId="8" fillId="22" borderId="8" xfId="0" applyNumberFormat="1" applyFont="1" applyFill="1" applyBorder="1" applyAlignment="1">
      <alignment horizontal="center" vertical="center" wrapText="1"/>
    </xf>
    <xf numFmtId="178" fontId="8" fillId="22" borderId="1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21" xfId="0" applyFont="1" applyFill="1" applyBorder="1" applyAlignment="1">
      <alignment horizontal="center" vertical="center"/>
    </xf>
    <xf numFmtId="49" fontId="8" fillId="27" borderId="6" xfId="0" applyNumberFormat="1" applyFont="1" applyFill="1" applyBorder="1" applyAlignment="1">
      <alignment horizontal="center" vertical="center" wrapText="1"/>
    </xf>
    <xf numFmtId="49" fontId="8" fillId="27" borderId="21" xfId="0" applyNumberFormat="1" applyFont="1" applyFill="1" applyBorder="1" applyAlignment="1">
      <alignment horizontal="center" vertical="center" wrapText="1"/>
    </xf>
    <xf numFmtId="178" fontId="33" fillId="19" borderId="6" xfId="0" applyNumberFormat="1" applyFont="1" applyFill="1" applyBorder="1" applyAlignment="1">
      <alignment horizontal="center" vertical="center" wrapText="1"/>
    </xf>
    <xf numFmtId="178" fontId="33" fillId="19" borderId="21" xfId="0" applyNumberFormat="1" applyFont="1" applyFill="1" applyBorder="1" applyAlignment="1">
      <alignment horizontal="center" vertical="center" wrapText="1"/>
    </xf>
    <xf numFmtId="178" fontId="8" fillId="3" borderId="16" xfId="0" applyNumberFormat="1" applyFont="1" applyFill="1" applyBorder="1" applyAlignment="1">
      <alignment horizontal="center" vertical="center" wrapText="1"/>
    </xf>
    <xf numFmtId="178" fontId="8" fillId="3" borderId="17" xfId="0" applyNumberFormat="1" applyFont="1" applyFill="1" applyBorder="1" applyAlignment="1">
      <alignment horizontal="center" vertical="center" wrapText="1"/>
    </xf>
    <xf numFmtId="49" fontId="8" fillId="27" borderId="0" xfId="0" applyNumberFormat="1" applyFont="1" applyFill="1" applyBorder="1" applyAlignment="1">
      <alignment horizontal="center" vertical="center" wrapText="1"/>
    </xf>
    <xf numFmtId="178" fontId="33" fillId="12" borderId="6" xfId="0" applyNumberFormat="1" applyFont="1" applyFill="1" applyBorder="1" applyAlignment="1">
      <alignment horizontal="center" vertical="center" wrapText="1"/>
    </xf>
    <xf numFmtId="178" fontId="33" fillId="12" borderId="21" xfId="0" applyNumberFormat="1" applyFont="1" applyFill="1" applyBorder="1" applyAlignment="1">
      <alignment horizontal="center" vertical="center" wrapText="1"/>
    </xf>
    <xf numFmtId="178" fontId="33" fillId="7" borderId="6" xfId="0" applyNumberFormat="1" applyFont="1" applyFill="1" applyBorder="1" applyAlignment="1">
      <alignment horizontal="center" vertical="center" wrapText="1"/>
    </xf>
    <xf numFmtId="178" fontId="33" fillId="7" borderId="21" xfId="0" applyNumberFormat="1" applyFont="1" applyFill="1" applyBorder="1" applyAlignment="1">
      <alignment horizontal="center" vertical="center" wrapText="1"/>
    </xf>
    <xf numFmtId="178" fontId="8" fillId="0" borderId="6" xfId="0" applyNumberFormat="1" applyFont="1" applyBorder="1" applyAlignment="1">
      <alignment horizontal="center" vertical="center" wrapText="1"/>
    </xf>
    <xf numFmtId="178" fontId="8" fillId="0" borderId="0" xfId="0" applyNumberFormat="1" applyFont="1" applyBorder="1" applyAlignment="1">
      <alignment horizontal="center" vertical="center" wrapText="1"/>
    </xf>
    <xf numFmtId="178" fontId="8" fillId="0" borderId="21" xfId="0" applyNumberFormat="1" applyFont="1" applyBorder="1" applyAlignment="1">
      <alignment horizontal="center" vertical="center" wrapText="1"/>
    </xf>
    <xf numFmtId="49" fontId="52" fillId="27" borderId="6" xfId="0" applyNumberFormat="1" applyFont="1" applyFill="1" applyBorder="1" applyAlignment="1">
      <alignment horizontal="center" vertical="center" wrapText="1"/>
    </xf>
    <xf numFmtId="49" fontId="52" fillId="27" borderId="21" xfId="0" applyNumberFormat="1" applyFont="1" applyFill="1" applyBorder="1" applyAlignment="1">
      <alignment horizontal="center" vertical="center" wrapText="1"/>
    </xf>
    <xf numFmtId="49" fontId="52" fillId="27" borderId="0" xfId="0" applyNumberFormat="1" applyFont="1" applyFill="1" applyBorder="1" applyAlignment="1">
      <alignment horizontal="center" vertical="center" wrapText="1"/>
    </xf>
    <xf numFmtId="178" fontId="8" fillId="17" borderId="6" xfId="0" applyNumberFormat="1" applyFont="1" applyFill="1" applyBorder="1" applyAlignment="1">
      <alignment horizontal="center" vertical="center" wrapText="1"/>
    </xf>
    <xf numFmtId="178" fontId="8" fillId="17" borderId="0" xfId="0" applyNumberFormat="1" applyFont="1" applyFill="1" applyBorder="1" applyAlignment="1">
      <alignment horizontal="center" vertical="center" wrapText="1"/>
    </xf>
    <xf numFmtId="49" fontId="7" fillId="27" borderId="6" xfId="0" applyNumberFormat="1" applyFont="1" applyFill="1" applyBorder="1" applyAlignment="1">
      <alignment horizontal="center" vertical="center" wrapText="1"/>
    </xf>
    <xf numFmtId="178" fontId="8" fillId="28" borderId="6" xfId="0" applyNumberFormat="1" applyFont="1" applyFill="1" applyBorder="1" applyAlignment="1">
      <alignment horizontal="center" vertical="center" wrapText="1"/>
    </xf>
    <xf numFmtId="178" fontId="23" fillId="28" borderId="21" xfId="0" applyNumberFormat="1" applyFont="1" applyFill="1" applyBorder="1" applyAlignment="1">
      <alignment horizontal="center" vertical="center" wrapText="1"/>
    </xf>
    <xf numFmtId="178" fontId="8" fillId="17" borderId="16" xfId="0" applyNumberFormat="1" applyFont="1" applyFill="1" applyBorder="1" applyAlignment="1">
      <alignment horizontal="center" vertical="center" wrapText="1"/>
    </xf>
    <xf numFmtId="178" fontId="28" fillId="17" borderId="8" xfId="0" applyNumberFormat="1" applyFont="1" applyFill="1" applyBorder="1" applyAlignment="1">
      <alignment horizontal="center" vertical="center" wrapText="1"/>
    </xf>
    <xf numFmtId="178" fontId="28" fillId="17" borderId="17" xfId="0" applyNumberFormat="1" applyFont="1" applyFill="1" applyBorder="1" applyAlignment="1">
      <alignment horizontal="center" vertical="center" wrapText="1"/>
    </xf>
    <xf numFmtId="178" fontId="52" fillId="10" borderId="6" xfId="0" applyNumberFormat="1" applyFont="1" applyFill="1" applyBorder="1" applyAlignment="1">
      <alignment horizontal="center" vertical="center" wrapText="1"/>
    </xf>
    <xf numFmtId="178" fontId="52" fillId="10" borderId="21" xfId="0" applyNumberFormat="1" applyFont="1" applyFill="1" applyBorder="1" applyAlignment="1">
      <alignment horizontal="center" vertical="center" wrapText="1"/>
    </xf>
    <xf numFmtId="178" fontId="7" fillId="10" borderId="6" xfId="0" applyNumberFormat="1" applyFont="1" applyFill="1" applyBorder="1" applyAlignment="1">
      <alignment horizontal="center" vertical="center" wrapText="1"/>
    </xf>
    <xf numFmtId="178" fontId="8" fillId="29" borderId="6" xfId="0" applyNumberFormat="1" applyFont="1" applyFill="1" applyBorder="1" applyAlignment="1">
      <alignment horizontal="center" vertical="center" wrapText="1"/>
    </xf>
    <xf numFmtId="178" fontId="8" fillId="29" borderId="0" xfId="0" applyNumberFormat="1" applyFont="1" applyFill="1" applyBorder="1" applyAlignment="1">
      <alignment horizontal="center" vertical="center" wrapText="1"/>
    </xf>
    <xf numFmtId="178" fontId="8" fillId="29" borderId="21" xfId="0" applyNumberFormat="1" applyFont="1" applyFill="1" applyBorder="1" applyAlignment="1">
      <alignment horizontal="center" vertical="center" wrapText="1"/>
    </xf>
    <xf numFmtId="178" fontId="23" fillId="17" borderId="8" xfId="0" applyNumberFormat="1" applyFont="1" applyFill="1" applyBorder="1" applyAlignment="1">
      <alignment horizontal="center" vertical="center" wrapText="1"/>
    </xf>
    <xf numFmtId="178" fontId="23" fillId="17" borderId="17" xfId="0" applyNumberFormat="1" applyFont="1" applyFill="1" applyBorder="1" applyAlignment="1">
      <alignment horizontal="center" vertical="center" wrapText="1"/>
    </xf>
    <xf numFmtId="0" fontId="52" fillId="5" borderId="6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8" fontId="8" fillId="10" borderId="16" xfId="0" applyNumberFormat="1" applyFont="1" applyFill="1" applyBorder="1" applyAlignment="1">
      <alignment horizontal="center" vertical="center" wrapText="1"/>
    </xf>
    <xf numFmtId="178" fontId="8" fillId="10" borderId="8" xfId="0" applyNumberFormat="1" applyFont="1" applyFill="1" applyBorder="1" applyAlignment="1">
      <alignment horizontal="center" vertical="center" wrapText="1"/>
    </xf>
    <xf numFmtId="178" fontId="8" fillId="10" borderId="17" xfId="0" applyNumberFormat="1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/>
    </xf>
    <xf numFmtId="0" fontId="53" fillId="5" borderId="6" xfId="0" applyFont="1" applyFill="1" applyBorder="1" applyAlignment="1">
      <alignment horizontal="center" vertical="center"/>
    </xf>
    <xf numFmtId="0" fontId="53" fillId="5" borderId="0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178" fontId="54" fillId="23" borderId="16" xfId="0" applyNumberFormat="1" applyFont="1" applyFill="1" applyBorder="1" applyAlignment="1">
      <alignment horizontal="center" vertical="center" wrapText="1"/>
    </xf>
    <xf numFmtId="178" fontId="54" fillId="23" borderId="17" xfId="0" applyNumberFormat="1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21" xfId="0" applyFont="1" applyFill="1" applyBorder="1" applyAlignment="1">
      <alignment horizontal="center" vertical="center"/>
    </xf>
    <xf numFmtId="0" fontId="53" fillId="9" borderId="6" xfId="0" applyFont="1" applyFill="1" applyBorder="1" applyAlignment="1">
      <alignment horizontal="center" vertical="center"/>
    </xf>
    <xf numFmtId="0" fontId="53" fillId="9" borderId="0" xfId="0" applyFont="1" applyFill="1" applyAlignment="1">
      <alignment horizontal="center" vertical="center"/>
    </xf>
    <xf numFmtId="0" fontId="53" fillId="9" borderId="21" xfId="0" applyFont="1" applyFill="1" applyBorder="1" applyAlignment="1">
      <alignment horizontal="center" vertical="center"/>
    </xf>
    <xf numFmtId="0" fontId="53" fillId="9" borderId="0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33" fillId="9" borderId="6" xfId="0" applyFont="1" applyFill="1" applyBorder="1" applyAlignment="1">
      <alignment horizontal="center" vertical="center"/>
    </xf>
    <xf numFmtId="0" fontId="33" fillId="9" borderId="0" xfId="0" applyFont="1" applyFill="1" applyBorder="1" applyAlignment="1">
      <alignment horizontal="center" vertical="center"/>
    </xf>
    <xf numFmtId="0" fontId="33" fillId="9" borderId="21" xfId="0" applyFont="1" applyFill="1" applyBorder="1" applyAlignment="1">
      <alignment horizontal="center" vertical="center"/>
    </xf>
    <xf numFmtId="0" fontId="57" fillId="4" borderId="6" xfId="0" applyFont="1" applyFill="1" applyBorder="1" applyAlignment="1">
      <alignment horizontal="center" vertical="center"/>
    </xf>
    <xf numFmtId="0" fontId="57" fillId="4" borderId="21" xfId="0" applyFont="1" applyFill="1" applyBorder="1" applyAlignment="1">
      <alignment horizontal="center" vertical="center"/>
    </xf>
    <xf numFmtId="0" fontId="57" fillId="7" borderId="6" xfId="0" applyFont="1" applyFill="1" applyBorder="1" applyAlignment="1">
      <alignment horizontal="center" vertical="center"/>
    </xf>
    <xf numFmtId="0" fontId="57" fillId="7" borderId="0" xfId="0" applyFont="1" applyFill="1" applyBorder="1" applyAlignment="1">
      <alignment horizontal="center" vertical="center"/>
    </xf>
    <xf numFmtId="0" fontId="57" fillId="7" borderId="21" xfId="0" applyFont="1" applyFill="1" applyBorder="1" applyAlignment="1">
      <alignment horizontal="center" vertical="center"/>
    </xf>
    <xf numFmtId="0" fontId="53" fillId="5" borderId="21" xfId="0" applyFont="1" applyFill="1" applyBorder="1" applyAlignment="1">
      <alignment horizontal="center" vertical="center"/>
    </xf>
    <xf numFmtId="0" fontId="57" fillId="7" borderId="0" xfId="0" applyFont="1" applyFill="1" applyAlignment="1">
      <alignment horizontal="center" vertical="center"/>
    </xf>
    <xf numFmtId="178" fontId="55" fillId="3" borderId="16" xfId="0" applyNumberFormat="1" applyFont="1" applyFill="1" applyBorder="1" applyAlignment="1">
      <alignment horizontal="center" vertical="center" wrapText="1"/>
    </xf>
    <xf numFmtId="178" fontId="55" fillId="3" borderId="8" xfId="0" applyNumberFormat="1" applyFont="1" applyFill="1" applyBorder="1" applyAlignment="1">
      <alignment horizontal="center" vertical="center" wrapText="1"/>
    </xf>
    <xf numFmtId="178" fontId="55" fillId="3" borderId="17" xfId="0" applyNumberFormat="1" applyFont="1" applyFill="1" applyBorder="1" applyAlignment="1">
      <alignment horizontal="center" vertical="center" wrapText="1"/>
    </xf>
    <xf numFmtId="178" fontId="37" fillId="23" borderId="16" xfId="0" applyNumberFormat="1" applyFont="1" applyFill="1" applyBorder="1" applyAlignment="1">
      <alignment horizontal="center" vertical="center" wrapText="1"/>
    </xf>
    <xf numFmtId="178" fontId="56" fillId="23" borderId="17" xfId="0" applyNumberFormat="1" applyFont="1" applyFill="1" applyBorder="1" applyAlignment="1">
      <alignment horizontal="center" vertical="center" wrapText="1"/>
    </xf>
    <xf numFmtId="178" fontId="56" fillId="23" borderId="6" xfId="0" applyNumberFormat="1" applyFont="1" applyFill="1" applyBorder="1" applyAlignment="1">
      <alignment horizontal="center" vertical="center" wrapText="1"/>
    </xf>
    <xf numFmtId="178" fontId="56" fillId="23" borderId="2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3" fillId="5" borderId="0" xfId="0" applyFont="1" applyFill="1" applyAlignment="1">
      <alignment horizontal="center" vertical="center"/>
    </xf>
    <xf numFmtId="0" fontId="53" fillId="4" borderId="6" xfId="0" applyFont="1" applyFill="1" applyBorder="1" applyAlignment="1">
      <alignment horizontal="center" vertical="center"/>
    </xf>
    <xf numFmtId="0" fontId="53" fillId="4" borderId="2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3" fillId="5" borderId="22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178" fontId="8" fillId="23" borderId="16" xfId="0" applyNumberFormat="1" applyFont="1" applyFill="1" applyBorder="1" applyAlignment="1">
      <alignment horizontal="center" vertical="center" wrapText="1"/>
    </xf>
    <xf numFmtId="178" fontId="8" fillId="23" borderId="8" xfId="0" applyNumberFormat="1" applyFont="1" applyFill="1" applyBorder="1" applyAlignment="1">
      <alignment horizontal="center" vertical="center" wrapText="1"/>
    </xf>
    <xf numFmtId="178" fontId="8" fillId="23" borderId="17" xfId="0" applyNumberFormat="1" applyFont="1" applyFill="1" applyBorder="1" applyAlignment="1">
      <alignment horizontal="center" vertical="center" wrapText="1"/>
    </xf>
    <xf numFmtId="0" fontId="66" fillId="4" borderId="6" xfId="0" applyFont="1" applyFill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/>
    </xf>
    <xf numFmtId="0" fontId="33" fillId="5" borderId="21" xfId="0" applyFont="1" applyFill="1" applyBorder="1" applyAlignment="1">
      <alignment horizontal="center" vertical="center"/>
    </xf>
    <xf numFmtId="0" fontId="33" fillId="5" borderId="0" xfId="0" applyFont="1" applyFill="1" applyBorder="1" applyAlignment="1">
      <alignment horizontal="center" vertical="center"/>
    </xf>
    <xf numFmtId="0" fontId="67" fillId="4" borderId="25" xfId="0" applyFont="1" applyFill="1" applyBorder="1" applyAlignment="1">
      <alignment horizontal="center" vertical="center"/>
    </xf>
    <xf numFmtId="0" fontId="67" fillId="4" borderId="26" xfId="0" applyFont="1" applyFill="1" applyBorder="1" applyAlignment="1">
      <alignment horizontal="center" vertical="center"/>
    </xf>
    <xf numFmtId="0" fontId="59" fillId="4" borderId="6" xfId="0" applyFont="1" applyFill="1" applyBorder="1" applyAlignment="1">
      <alignment horizontal="center" vertical="center"/>
    </xf>
    <xf numFmtId="0" fontId="59" fillId="4" borderId="21" xfId="0" applyFont="1" applyFill="1" applyBorder="1" applyAlignment="1">
      <alignment horizontal="center" vertical="center"/>
    </xf>
    <xf numFmtId="0" fontId="53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53" fillId="4" borderId="5" xfId="0" applyFont="1" applyFill="1" applyBorder="1" applyAlignment="1">
      <alignment horizontal="center" vertical="center"/>
    </xf>
    <xf numFmtId="0" fontId="53" fillId="5" borderId="5" xfId="0" applyFont="1" applyFill="1" applyBorder="1" applyAlignment="1">
      <alignment horizontal="center" vertical="center"/>
    </xf>
    <xf numFmtId="178" fontId="8" fillId="3" borderId="8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78" fontId="33" fillId="3" borderId="16" xfId="0" applyNumberFormat="1" applyFont="1" applyFill="1" applyBorder="1" applyAlignment="1">
      <alignment horizontal="center" vertical="center" wrapText="1"/>
    </xf>
    <xf numFmtId="178" fontId="33" fillId="3" borderId="8" xfId="0" applyNumberFormat="1" applyFont="1" applyFill="1" applyBorder="1" applyAlignment="1">
      <alignment horizontal="center" vertical="center" wrapText="1"/>
    </xf>
    <xf numFmtId="0" fontId="72" fillId="23" borderId="0" xfId="0" applyFont="1" applyFill="1" applyBorder="1" applyAlignment="1">
      <alignment horizontal="center" vertical="center"/>
    </xf>
    <xf numFmtId="0" fontId="72" fillId="23" borderId="21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48" fillId="5" borderId="6" xfId="0" applyFont="1" applyFill="1" applyBorder="1" applyAlignment="1">
      <alignment horizontal="center" vertical="center"/>
    </xf>
    <xf numFmtId="0" fontId="48" fillId="5" borderId="21" xfId="0" applyFont="1" applyFill="1" applyBorder="1" applyAlignment="1">
      <alignment horizontal="center" vertical="center"/>
    </xf>
    <xf numFmtId="0" fontId="48" fillId="5" borderId="0" xfId="0" applyFont="1" applyFill="1" applyBorder="1" applyAlignment="1">
      <alignment horizontal="center" vertical="center"/>
    </xf>
    <xf numFmtId="0" fontId="48" fillId="4" borderId="6" xfId="0" applyFont="1" applyFill="1" applyBorder="1" applyAlignment="1">
      <alignment horizontal="center" vertical="center"/>
    </xf>
    <xf numFmtId="0" fontId="48" fillId="4" borderId="21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3" fillId="4" borderId="21" xfId="0" applyFont="1" applyFill="1" applyBorder="1" applyAlignment="1">
      <alignment horizontal="center" vertical="center"/>
    </xf>
    <xf numFmtId="0" fontId="33" fillId="4" borderId="0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 wrapText="1"/>
    </xf>
    <xf numFmtId="0" fontId="33" fillId="4" borderId="0" xfId="0" applyFont="1" applyFill="1" applyBorder="1" applyAlignment="1">
      <alignment horizontal="center" vertical="center" wrapText="1"/>
    </xf>
    <xf numFmtId="0" fontId="33" fillId="5" borderId="5" xfId="0" applyFont="1" applyFill="1" applyBorder="1" applyAlignment="1">
      <alignment horizontal="center" vertical="center"/>
    </xf>
    <xf numFmtId="0" fontId="48" fillId="5" borderId="0" xfId="0" applyFont="1" applyFill="1" applyAlignment="1">
      <alignment horizontal="center" vertical="center"/>
    </xf>
    <xf numFmtId="176" fontId="34" fillId="0" borderId="8" xfId="0" applyNumberFormat="1" applyFont="1" applyBorder="1" applyAlignment="1">
      <alignment horizontal="right" vertical="center" wrapText="1"/>
    </xf>
    <xf numFmtId="0" fontId="48" fillId="4" borderId="0" xfId="0" applyFont="1" applyFill="1" applyBorder="1" applyAlignment="1">
      <alignment horizontal="center" vertical="center"/>
    </xf>
    <xf numFmtId="0" fontId="73" fillId="4" borderId="6" xfId="0" applyFont="1" applyFill="1" applyBorder="1" applyAlignment="1">
      <alignment horizontal="center" vertical="center"/>
    </xf>
    <xf numFmtId="0" fontId="73" fillId="4" borderId="21" xfId="0" applyFont="1" applyFill="1" applyBorder="1" applyAlignment="1">
      <alignment horizontal="center" vertical="center"/>
    </xf>
    <xf numFmtId="0" fontId="53" fillId="4" borderId="6" xfId="22" applyNumberFormat="1" applyFont="1" applyFill="1" applyBorder="1" applyAlignment="1">
      <alignment horizontal="center" vertical="center"/>
    </xf>
    <xf numFmtId="0" fontId="53" fillId="4" borderId="21" xfId="22" applyNumberFormat="1" applyFont="1" applyFill="1" applyBorder="1" applyAlignment="1">
      <alignment horizontal="center" vertical="center"/>
    </xf>
    <xf numFmtId="0" fontId="86" fillId="4" borderId="6" xfId="0" applyFont="1" applyFill="1" applyBorder="1" applyAlignment="1">
      <alignment horizontal="center" vertical="center"/>
    </xf>
    <xf numFmtId="0" fontId="86" fillId="4" borderId="21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48" fillId="5" borderId="6" xfId="0" applyFont="1" applyFill="1" applyBorder="1" applyAlignment="1">
      <alignment horizontal="center" vertical="center" wrapText="1"/>
    </xf>
    <xf numFmtId="0" fontId="48" fillId="5" borderId="21" xfId="0" applyFont="1" applyFill="1" applyBorder="1" applyAlignment="1">
      <alignment horizontal="center" vertical="center" wrapText="1"/>
    </xf>
    <xf numFmtId="0" fontId="48" fillId="5" borderId="0" xfId="0" applyFont="1" applyFill="1" applyAlignment="1">
      <alignment horizontal="center" vertical="center" wrapText="1"/>
    </xf>
    <xf numFmtId="0" fontId="72" fillId="4" borderId="6" xfId="0" applyFont="1" applyFill="1" applyBorder="1" applyAlignment="1">
      <alignment horizontal="center" vertical="center"/>
    </xf>
    <xf numFmtId="0" fontId="72" fillId="4" borderId="21" xfId="0" applyFont="1" applyFill="1" applyBorder="1" applyAlignment="1">
      <alignment horizontal="center" vertical="center"/>
    </xf>
    <xf numFmtId="0" fontId="53" fillId="4" borderId="6" xfId="0" applyFont="1" applyFill="1" applyBorder="1" applyAlignment="1">
      <alignment horizontal="center" vertical="center" wrapText="1"/>
    </xf>
    <xf numFmtId="0" fontId="53" fillId="4" borderId="21" xfId="0" applyFont="1" applyFill="1" applyBorder="1" applyAlignment="1">
      <alignment horizontal="center" vertical="center" wrapText="1"/>
    </xf>
    <xf numFmtId="0" fontId="72" fillId="4" borderId="5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 wrapText="1"/>
    </xf>
    <xf numFmtId="0" fontId="33" fillId="5" borderId="21" xfId="0" applyFont="1" applyFill="1" applyBorder="1" applyAlignment="1">
      <alignment horizontal="center" vertical="center" wrapText="1"/>
    </xf>
    <xf numFmtId="0" fontId="62" fillId="5" borderId="6" xfId="0" applyFont="1" applyFill="1" applyBorder="1" applyAlignment="1">
      <alignment horizontal="center" vertical="center" wrapText="1"/>
    </xf>
    <xf numFmtId="0" fontId="48" fillId="5" borderId="0" xfId="0" applyFont="1" applyFill="1" applyBorder="1" applyAlignment="1">
      <alignment horizontal="center" vertical="center" wrapText="1"/>
    </xf>
    <xf numFmtId="0" fontId="53" fillId="5" borderId="6" xfId="0" applyFont="1" applyFill="1" applyBorder="1" applyAlignment="1">
      <alignment horizontal="center" vertical="center" wrapText="1"/>
    </xf>
    <xf numFmtId="0" fontId="53" fillId="5" borderId="21" xfId="0" applyFont="1" applyFill="1" applyBorder="1" applyAlignment="1">
      <alignment horizontal="center" vertical="center" wrapText="1"/>
    </xf>
    <xf numFmtId="0" fontId="48" fillId="5" borderId="5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8" fillId="28" borderId="20" xfId="0" quotePrefix="1" applyFont="1" applyFill="1" applyBorder="1" applyAlignment="1">
      <alignment horizontal="center" vertical="center"/>
    </xf>
    <xf numFmtId="0" fontId="30" fillId="28" borderId="13" xfId="0" applyFont="1" applyFill="1" applyBorder="1" applyAlignment="1">
      <alignment horizontal="center" vertical="center"/>
    </xf>
    <xf numFmtId="0" fontId="8" fillId="28" borderId="20" xfId="0" applyFont="1" applyFill="1" applyBorder="1" applyAlignment="1">
      <alignment horizontal="center" vertical="center"/>
    </xf>
    <xf numFmtId="0" fontId="53" fillId="5" borderId="5" xfId="0" applyFont="1" applyFill="1" applyBorder="1" applyAlignment="1">
      <alignment horizontal="center" vertical="center" wrapText="1"/>
    </xf>
    <xf numFmtId="178" fontId="8" fillId="23" borderId="1" xfId="0" applyNumberFormat="1" applyFont="1" applyFill="1" applyBorder="1" applyAlignment="1">
      <alignment horizontal="center" vertical="center" wrapText="1"/>
    </xf>
    <xf numFmtId="178" fontId="8" fillId="23" borderId="2" xfId="0" applyNumberFormat="1" applyFont="1" applyFill="1" applyBorder="1" applyAlignment="1">
      <alignment horizontal="center" vertical="center" wrapText="1"/>
    </xf>
    <xf numFmtId="178" fontId="8" fillId="23" borderId="3" xfId="0" applyNumberFormat="1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0" fontId="75" fillId="28" borderId="13" xfId="0" applyFont="1" applyFill="1" applyBorder="1" applyAlignment="1">
      <alignment horizontal="center" vertical="center"/>
    </xf>
    <xf numFmtId="0" fontId="53" fillId="5" borderId="13" xfId="0" applyFont="1" applyFill="1" applyBorder="1" applyAlignment="1">
      <alignment horizontal="center" vertical="center"/>
    </xf>
    <xf numFmtId="0" fontId="52" fillId="4" borderId="13" xfId="0" applyFont="1" applyFill="1" applyBorder="1" applyAlignment="1">
      <alignment horizontal="center" vertical="center"/>
    </xf>
    <xf numFmtId="0" fontId="53" fillId="4" borderId="13" xfId="0" applyFont="1" applyFill="1" applyBorder="1" applyAlignment="1">
      <alignment horizontal="center" vertical="center"/>
    </xf>
    <xf numFmtId="0" fontId="57" fillId="4" borderId="0" xfId="0" applyFont="1" applyFill="1" applyBorder="1" applyAlignment="1">
      <alignment horizontal="center" vertical="center"/>
    </xf>
    <xf numFmtId="0" fontId="53" fillId="4" borderId="0" xfId="0" applyFont="1" applyFill="1" applyBorder="1" applyAlignment="1">
      <alignment horizontal="center" vertical="top" wrapText="1"/>
    </xf>
    <xf numFmtId="0" fontId="53" fillId="4" borderId="0" xfId="0" applyFont="1" applyFill="1" applyBorder="1" applyAlignment="1">
      <alignment horizontal="center" vertical="top"/>
    </xf>
    <xf numFmtId="0" fontId="57" fillId="5" borderId="6" xfId="0" applyFont="1" applyFill="1" applyBorder="1" applyAlignment="1">
      <alignment horizontal="center" vertical="center"/>
    </xf>
    <xf numFmtId="0" fontId="57" fillId="5" borderId="0" xfId="0" applyFont="1" applyFill="1" applyBorder="1" applyAlignment="1">
      <alignment horizontal="center" vertical="center"/>
    </xf>
    <xf numFmtId="0" fontId="57" fillId="5" borderId="21" xfId="0" applyFont="1" applyFill="1" applyBorder="1" applyAlignment="1">
      <alignment horizontal="center" vertical="center"/>
    </xf>
    <xf numFmtId="0" fontId="17" fillId="32" borderId="6" xfId="0" applyFont="1" applyFill="1" applyBorder="1" applyAlignment="1">
      <alignment horizontal="center" vertical="center"/>
    </xf>
    <xf numFmtId="0" fontId="17" fillId="32" borderId="0" xfId="0" applyFont="1" applyFill="1" applyAlignment="1">
      <alignment horizontal="center" vertical="center"/>
    </xf>
    <xf numFmtId="0" fontId="17" fillId="32" borderId="21" xfId="0" applyFont="1" applyFill="1" applyBorder="1" applyAlignment="1">
      <alignment horizontal="center" vertical="center"/>
    </xf>
    <xf numFmtId="0" fontId="53" fillId="4" borderId="0" xfId="0" applyFont="1" applyFill="1" applyBorder="1" applyAlignment="1">
      <alignment horizontal="center" vertical="center" wrapText="1"/>
    </xf>
    <xf numFmtId="0" fontId="53" fillId="5" borderId="0" xfId="0" applyFont="1" applyFill="1" applyBorder="1" applyAlignment="1">
      <alignment horizontal="left" vertical="center"/>
    </xf>
    <xf numFmtId="0" fontId="53" fillId="5" borderId="21" xfId="0" applyFont="1" applyFill="1" applyBorder="1" applyAlignment="1">
      <alignment horizontal="left" vertical="center"/>
    </xf>
    <xf numFmtId="0" fontId="53" fillId="23" borderId="6" xfId="0" applyFont="1" applyFill="1" applyBorder="1" applyAlignment="1">
      <alignment horizontal="center" vertical="center"/>
    </xf>
    <xf numFmtId="0" fontId="53" fillId="23" borderId="21" xfId="0" applyFont="1" applyFill="1" applyBorder="1" applyAlignment="1">
      <alignment horizontal="center" vertical="center"/>
    </xf>
    <xf numFmtId="0" fontId="75" fillId="28" borderId="19" xfId="0" applyFont="1" applyFill="1" applyBorder="1" applyAlignment="1">
      <alignment horizontal="center" vertical="center"/>
    </xf>
    <xf numFmtId="0" fontId="53" fillId="5" borderId="6" xfId="0" applyFont="1" applyFill="1" applyBorder="1" applyAlignment="1">
      <alignment horizontal="left" vertical="center"/>
    </xf>
    <xf numFmtId="0" fontId="53" fillId="14" borderId="6" xfId="0" applyFont="1" applyFill="1" applyBorder="1" applyAlignment="1">
      <alignment horizontal="left" vertical="center"/>
    </xf>
    <xf numFmtId="0" fontId="53" fillId="14" borderId="21" xfId="0" applyFont="1" applyFill="1" applyBorder="1" applyAlignment="1">
      <alignment horizontal="left" vertical="center"/>
    </xf>
    <xf numFmtId="0" fontId="72" fillId="5" borderId="6" xfId="0" applyFont="1" applyFill="1" applyBorder="1" applyAlignment="1">
      <alignment horizontal="center" vertical="center"/>
    </xf>
    <xf numFmtId="0" fontId="72" fillId="5" borderId="21" xfId="0" applyFont="1" applyFill="1" applyBorder="1" applyAlignment="1">
      <alignment horizontal="center" vertical="center"/>
    </xf>
    <xf numFmtId="0" fontId="72" fillId="14" borderId="6" xfId="0" applyFont="1" applyFill="1" applyBorder="1" applyAlignment="1">
      <alignment horizontal="center" vertical="center"/>
    </xf>
    <xf numFmtId="0" fontId="72" fillId="14" borderId="21" xfId="0" applyFont="1" applyFill="1" applyBorder="1" applyAlignment="1">
      <alignment horizontal="center" vertical="center"/>
    </xf>
    <xf numFmtId="0" fontId="53" fillId="34" borderId="0" xfId="0" applyFont="1" applyFill="1" applyBorder="1" applyAlignment="1">
      <alignment horizontal="left" vertical="center"/>
    </xf>
    <xf numFmtId="0" fontId="53" fillId="23" borderId="0" xfId="0" applyFont="1" applyFill="1" applyBorder="1" applyAlignment="1">
      <alignment horizontal="center" vertical="center"/>
    </xf>
    <xf numFmtId="0" fontId="72" fillId="14" borderId="0" xfId="0" applyFont="1" applyFill="1" applyBorder="1" applyAlignment="1">
      <alignment horizontal="center" vertical="center"/>
    </xf>
    <xf numFmtId="0" fontId="53" fillId="14" borderId="6" xfId="0" applyFont="1" applyFill="1" applyBorder="1" applyAlignment="1">
      <alignment horizontal="center" vertical="center"/>
    </xf>
    <xf numFmtId="0" fontId="53" fillId="14" borderId="0" xfId="0" applyFont="1" applyFill="1" applyBorder="1" applyAlignment="1">
      <alignment horizontal="center" vertical="center"/>
    </xf>
    <xf numFmtId="0" fontId="53" fillId="14" borderId="21" xfId="0" applyFont="1" applyFill="1" applyBorder="1" applyAlignment="1">
      <alignment horizontal="center" vertical="center"/>
    </xf>
    <xf numFmtId="0" fontId="17" fillId="33" borderId="6" xfId="0" applyFont="1" applyFill="1" applyBorder="1" applyAlignment="1">
      <alignment horizontal="center" vertical="center"/>
    </xf>
    <xf numFmtId="0" fontId="17" fillId="33" borderId="0" xfId="0" applyFont="1" applyFill="1" applyBorder="1" applyAlignment="1">
      <alignment horizontal="center" vertical="center"/>
    </xf>
    <xf numFmtId="0" fontId="17" fillId="33" borderId="21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106" fillId="14" borderId="0" xfId="0" applyFont="1" applyFill="1" applyAlignment="1">
      <alignment horizontal="left" vertical="center"/>
    </xf>
    <xf numFmtId="0" fontId="106" fillId="14" borderId="0" xfId="0" applyFont="1" applyFill="1" applyAlignment="1">
      <alignment horizontal="center" vertical="center"/>
    </xf>
    <xf numFmtId="41" fontId="8" fillId="0" borderId="18" xfId="23" applyFont="1" applyBorder="1" applyAlignment="1">
      <alignment horizontal="center" vertical="center"/>
    </xf>
    <xf numFmtId="41" fontId="8" fillId="0" borderId="20" xfId="23" applyFont="1" applyBorder="1" applyAlignment="1">
      <alignment horizontal="center" vertical="center"/>
    </xf>
    <xf numFmtId="0" fontId="63" fillId="23" borderId="0" xfId="0" applyFont="1" applyFill="1" applyBorder="1" applyAlignment="1">
      <alignment horizontal="center" vertical="center"/>
    </xf>
    <xf numFmtId="178" fontId="8" fillId="36" borderId="6" xfId="0" applyNumberFormat="1" applyFont="1" applyFill="1" applyBorder="1" applyAlignment="1">
      <alignment horizontal="center" vertical="center" wrapText="1"/>
    </xf>
    <xf numFmtId="178" fontId="8" fillId="36" borderId="0" xfId="0" applyNumberFormat="1" applyFont="1" applyFill="1" applyBorder="1" applyAlignment="1">
      <alignment horizontal="center" vertical="center" wrapText="1"/>
    </xf>
    <xf numFmtId="178" fontId="8" fillId="36" borderId="21" xfId="0" applyNumberFormat="1" applyFont="1" applyFill="1" applyBorder="1" applyAlignment="1">
      <alignment horizontal="center" vertical="center" wrapText="1"/>
    </xf>
    <xf numFmtId="0" fontId="106" fillId="14" borderId="6" xfId="0" applyFont="1" applyFill="1" applyBorder="1" applyAlignment="1">
      <alignment horizontal="center" vertical="center"/>
    </xf>
    <xf numFmtId="0" fontId="106" fillId="14" borderId="21" xfId="0" applyFont="1" applyFill="1" applyBorder="1" applyAlignment="1">
      <alignment horizontal="center" vertical="center"/>
    </xf>
    <xf numFmtId="0" fontId="43" fillId="14" borderId="6" xfId="0" applyFont="1" applyFill="1" applyBorder="1" applyAlignment="1">
      <alignment horizontal="center" vertical="center"/>
    </xf>
    <xf numFmtId="0" fontId="43" fillId="14" borderId="0" xfId="0" applyFon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8" fillId="23" borderId="0" xfId="0" applyFont="1" applyFill="1" applyBorder="1" applyAlignment="1">
      <alignment horizontal="center" vertical="center"/>
    </xf>
    <xf numFmtId="0" fontId="8" fillId="23" borderId="21" xfId="0" applyFont="1" applyFill="1" applyBorder="1" applyAlignment="1">
      <alignment horizontal="center" vertical="center"/>
    </xf>
    <xf numFmtId="178" fontId="8" fillId="35" borderId="6" xfId="0" applyNumberFormat="1" applyFont="1" applyFill="1" applyBorder="1" applyAlignment="1">
      <alignment horizontal="center" vertical="center" wrapText="1"/>
    </xf>
    <xf numFmtId="178" fontId="8" fillId="35" borderId="0" xfId="0" applyNumberFormat="1" applyFont="1" applyFill="1" applyBorder="1" applyAlignment="1">
      <alignment horizontal="center" vertical="center" wrapText="1"/>
    </xf>
    <xf numFmtId="178" fontId="8" fillId="35" borderId="21" xfId="0" applyNumberFormat="1" applyFont="1" applyFill="1" applyBorder="1" applyAlignment="1">
      <alignment horizontal="center" vertical="center" wrapText="1"/>
    </xf>
    <xf numFmtId="41" fontId="8" fillId="0" borderId="19" xfId="23" applyFont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178" fontId="32" fillId="7" borderId="6" xfId="0" applyNumberFormat="1" applyFont="1" applyFill="1" applyBorder="1" applyAlignment="1">
      <alignment horizontal="center" vertical="center" wrapText="1"/>
    </xf>
    <xf numFmtId="178" fontId="41" fillId="7" borderId="21" xfId="0" applyNumberFormat="1" applyFont="1" applyFill="1" applyBorder="1" applyAlignment="1">
      <alignment horizontal="center" vertical="center" wrapText="1"/>
    </xf>
    <xf numFmtId="0" fontId="107" fillId="14" borderId="6" xfId="0" applyFont="1" applyFill="1" applyBorder="1" applyAlignment="1">
      <alignment horizontal="center" vertical="center"/>
    </xf>
    <xf numFmtId="0" fontId="107" fillId="14" borderId="21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41" fontId="30" fillId="0" borderId="18" xfId="23" applyFont="1" applyBorder="1" applyAlignment="1">
      <alignment horizontal="center" vertical="center"/>
    </xf>
    <xf numFmtId="41" fontId="30" fillId="0" borderId="19" xfId="23" applyFont="1" applyBorder="1" applyAlignment="1">
      <alignment horizontal="center" vertical="center"/>
    </xf>
    <xf numFmtId="41" fontId="30" fillId="0" borderId="19" xfId="0" applyNumberFormat="1" applyFont="1" applyBorder="1" applyAlignment="1">
      <alignment horizontal="center" vertical="center"/>
    </xf>
    <xf numFmtId="0" fontId="52" fillId="0" borderId="13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41" fontId="52" fillId="0" borderId="13" xfId="0" applyNumberFormat="1" applyFont="1" applyBorder="1" applyAlignment="1">
      <alignment horizontal="center" vertical="center"/>
    </xf>
    <xf numFmtId="41" fontId="52" fillId="0" borderId="18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111" fillId="13" borderId="29" xfId="0" applyFont="1" applyFill="1" applyBorder="1" applyAlignment="1">
      <alignment horizontal="center" vertical="center"/>
    </xf>
    <xf numFmtId="0" fontId="53" fillId="14" borderId="38" xfId="0" applyFont="1" applyFill="1" applyBorder="1" applyAlignment="1">
      <alignment horizontal="center" vertical="center"/>
    </xf>
    <xf numFmtId="0" fontId="53" fillId="14" borderId="39" xfId="0" applyFont="1" applyFill="1" applyBorder="1" applyAlignment="1">
      <alignment horizontal="center" vertical="center"/>
    </xf>
    <xf numFmtId="0" fontId="123" fillId="14" borderId="38" xfId="0" applyFont="1" applyFill="1" applyBorder="1" applyAlignment="1">
      <alignment horizontal="center" vertical="center"/>
    </xf>
    <xf numFmtId="0" fontId="123" fillId="14" borderId="39" xfId="0" applyFont="1" applyFill="1" applyBorder="1" applyAlignment="1">
      <alignment horizontal="center" vertical="center"/>
    </xf>
    <xf numFmtId="0" fontId="56" fillId="13" borderId="29" xfId="0" applyFont="1" applyFill="1" applyBorder="1" applyAlignment="1">
      <alignment horizontal="center" vertical="center"/>
    </xf>
    <xf numFmtId="41" fontId="52" fillId="0" borderId="13" xfId="23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left" vertical="center"/>
    </xf>
    <xf numFmtId="176" fontId="35" fillId="0" borderId="0" xfId="0" applyNumberFormat="1" applyFont="1" applyBorder="1" applyAlignment="1">
      <alignment horizontal="right" vertical="center"/>
    </xf>
    <xf numFmtId="0" fontId="133" fillId="13" borderId="29" xfId="0" applyFont="1" applyFill="1" applyBorder="1" applyAlignment="1">
      <alignment horizontal="center" vertical="center"/>
    </xf>
    <xf numFmtId="0" fontId="53" fillId="14" borderId="30" xfId="0" applyFont="1" applyFill="1" applyBorder="1" applyAlignment="1">
      <alignment horizontal="center" vertical="center"/>
    </xf>
    <xf numFmtId="0" fontId="53" fillId="14" borderId="46" xfId="0" applyFont="1" applyFill="1" applyBorder="1" applyAlignment="1">
      <alignment horizontal="center" vertical="center"/>
    </xf>
    <xf numFmtId="0" fontId="53" fillId="4" borderId="38" xfId="0" applyFont="1" applyFill="1" applyBorder="1" applyAlignment="1">
      <alignment horizontal="center" vertical="center"/>
    </xf>
    <xf numFmtId="0" fontId="53" fillId="4" borderId="39" xfId="0" applyFont="1" applyFill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44" fillId="39" borderId="38" xfId="0" applyFont="1" applyFill="1" applyBorder="1" applyAlignment="1">
      <alignment horizontal="center" vertical="center"/>
    </xf>
    <xf numFmtId="0" fontId="144" fillId="39" borderId="0" xfId="0" applyFont="1" applyFill="1" applyBorder="1" applyAlignment="1">
      <alignment horizontal="center" vertical="center"/>
    </xf>
    <xf numFmtId="0" fontId="147" fillId="13" borderId="38" xfId="0" applyFont="1" applyFill="1" applyBorder="1" applyAlignment="1">
      <alignment horizontal="center" vertical="center"/>
    </xf>
    <xf numFmtId="0" fontId="147" fillId="13" borderId="39" xfId="0" applyFont="1" applyFill="1" applyBorder="1" applyAlignment="1">
      <alignment horizontal="center" vertical="center"/>
    </xf>
    <xf numFmtId="0" fontId="143" fillId="13" borderId="51" xfId="0" applyFont="1" applyFill="1" applyBorder="1" applyAlignment="1">
      <alignment horizontal="center" vertical="center"/>
    </xf>
    <xf numFmtId="0" fontId="143" fillId="13" borderId="0" xfId="0" applyFont="1" applyFill="1" applyBorder="1" applyAlignment="1">
      <alignment horizontal="center" vertical="center"/>
    </xf>
    <xf numFmtId="0" fontId="147" fillId="13" borderId="36" xfId="0" applyFont="1" applyFill="1" applyBorder="1" applyAlignment="1">
      <alignment horizontal="center" vertical="center"/>
    </xf>
    <xf numFmtId="0" fontId="147" fillId="13" borderId="29" xfId="0" applyFont="1" applyFill="1" applyBorder="1" applyAlignment="1">
      <alignment horizontal="center" vertical="center"/>
    </xf>
    <xf numFmtId="0" fontId="144" fillId="39" borderId="39" xfId="0" applyFont="1" applyFill="1" applyBorder="1" applyAlignment="1">
      <alignment horizontal="center" vertical="center"/>
    </xf>
    <xf numFmtId="0" fontId="128" fillId="13" borderId="51" xfId="0" applyFont="1" applyFill="1" applyBorder="1" applyAlignment="1">
      <alignment horizontal="center" vertical="center"/>
    </xf>
    <xf numFmtId="0" fontId="128" fillId="13" borderId="0" xfId="0" applyFont="1" applyFill="1" applyBorder="1" applyAlignment="1">
      <alignment horizontal="center" vertical="center"/>
    </xf>
    <xf numFmtId="0" fontId="128" fillId="13" borderId="38" xfId="0" applyFont="1" applyFill="1" applyBorder="1" applyAlignment="1">
      <alignment horizontal="center" vertical="center"/>
    </xf>
    <xf numFmtId="0" fontId="128" fillId="13" borderId="39" xfId="0" applyFont="1" applyFill="1" applyBorder="1" applyAlignment="1">
      <alignment horizontal="center" vertical="center"/>
    </xf>
    <xf numFmtId="176" fontId="140" fillId="0" borderId="0" xfId="0" applyNumberFormat="1" applyFont="1" applyBorder="1" applyAlignment="1">
      <alignment horizontal="left" vertical="center"/>
    </xf>
    <xf numFmtId="176" fontId="141" fillId="0" borderId="0" xfId="0" applyNumberFormat="1" applyFont="1" applyBorder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147" fillId="13" borderId="0" xfId="0" applyFont="1" applyFill="1" applyBorder="1" applyAlignment="1">
      <alignment horizontal="center" vertical="center"/>
    </xf>
    <xf numFmtId="0" fontId="147" fillId="13" borderId="51" xfId="0" applyFont="1" applyFill="1" applyBorder="1" applyAlignment="1">
      <alignment horizontal="center" vertical="center"/>
    </xf>
    <xf numFmtId="0" fontId="127" fillId="13" borderId="38" xfId="0" applyFont="1" applyFill="1" applyBorder="1" applyAlignment="1">
      <alignment horizontal="center" vertical="center"/>
    </xf>
    <xf numFmtId="0" fontId="127" fillId="13" borderId="39" xfId="0" applyFont="1" applyFill="1" applyBorder="1" applyAlignment="1">
      <alignment horizontal="center" vertical="center"/>
    </xf>
    <xf numFmtId="0" fontId="149" fillId="8" borderId="38" xfId="0" applyFont="1" applyFill="1" applyBorder="1" applyAlignment="1">
      <alignment horizontal="center" vertical="center"/>
    </xf>
    <xf numFmtId="0" fontId="149" fillId="8" borderId="39" xfId="0" applyFont="1" applyFill="1" applyBorder="1" applyAlignment="1">
      <alignment horizontal="center" vertical="center"/>
    </xf>
    <xf numFmtId="176" fontId="145" fillId="0" borderId="0" xfId="0" applyNumberFormat="1" applyFont="1" applyBorder="1" applyAlignment="1">
      <alignment horizontal="right" vertical="center"/>
    </xf>
    <xf numFmtId="0" fontId="152" fillId="14" borderId="38" xfId="0" applyFont="1" applyFill="1" applyBorder="1" applyAlignment="1">
      <alignment horizontal="center" vertical="center"/>
    </xf>
    <xf numFmtId="0" fontId="152" fillId="14" borderId="39" xfId="0" applyFont="1" applyFill="1" applyBorder="1" applyAlignment="1">
      <alignment horizontal="center" vertical="center"/>
    </xf>
    <xf numFmtId="0" fontId="118" fillId="13" borderId="38" xfId="0" applyFont="1" applyFill="1" applyBorder="1" applyAlignment="1">
      <alignment horizontal="center" vertical="center"/>
    </xf>
    <xf numFmtId="0" fontId="118" fillId="13" borderId="39" xfId="0" applyFont="1" applyFill="1" applyBorder="1" applyAlignment="1">
      <alignment horizontal="center" vertical="center"/>
    </xf>
    <xf numFmtId="0" fontId="124" fillId="13" borderId="38" xfId="0" applyFont="1" applyFill="1" applyBorder="1" applyAlignment="1">
      <alignment horizontal="center" vertical="center"/>
    </xf>
    <xf numFmtId="0" fontId="124" fillId="13" borderId="39" xfId="0" applyFont="1" applyFill="1" applyBorder="1" applyAlignment="1">
      <alignment horizontal="center" vertical="center"/>
    </xf>
    <xf numFmtId="0" fontId="118" fillId="13" borderId="51" xfId="0" applyFont="1" applyFill="1" applyBorder="1" applyAlignment="1">
      <alignment horizontal="center" vertical="center"/>
    </xf>
    <xf numFmtId="0" fontId="118" fillId="13" borderId="52" xfId="0" applyFont="1" applyFill="1" applyBorder="1" applyAlignment="1">
      <alignment horizontal="center" vertical="center"/>
    </xf>
    <xf numFmtId="0" fontId="143" fillId="13" borderId="0" xfId="0" applyFont="1" applyFill="1" applyAlignment="1">
      <alignment horizontal="center" vertical="center"/>
    </xf>
    <xf numFmtId="0" fontId="143" fillId="13" borderId="39" xfId="0" applyFont="1" applyFill="1" applyBorder="1" applyAlignment="1">
      <alignment horizontal="center" vertical="center"/>
    </xf>
    <xf numFmtId="0" fontId="110" fillId="0" borderId="13" xfId="0" applyFont="1" applyBorder="1" applyAlignment="1">
      <alignment horizontal="center" vertical="center"/>
    </xf>
    <xf numFmtId="0" fontId="110" fillId="0" borderId="18" xfId="0" applyFont="1" applyBorder="1" applyAlignment="1">
      <alignment horizontal="center" vertical="center"/>
    </xf>
    <xf numFmtId="176" fontId="132" fillId="0" borderId="0" xfId="0" applyNumberFormat="1" applyFont="1" applyBorder="1" applyAlignment="1">
      <alignment horizontal="left" vertical="center"/>
    </xf>
    <xf numFmtId="176" fontId="34" fillId="0" borderId="0" xfId="0" applyNumberFormat="1" applyFont="1" applyBorder="1" applyAlignment="1">
      <alignment horizontal="right" vertical="center"/>
    </xf>
    <xf numFmtId="41" fontId="110" fillId="0" borderId="13" xfId="23" applyFont="1" applyBorder="1" applyAlignment="1">
      <alignment horizontal="center" vertical="center"/>
    </xf>
    <xf numFmtId="41" fontId="110" fillId="0" borderId="13" xfId="0" applyNumberFormat="1" applyFont="1" applyBorder="1" applyAlignment="1">
      <alignment horizontal="center" vertical="center"/>
    </xf>
    <xf numFmtId="41" fontId="110" fillId="0" borderId="18" xfId="0" applyNumberFormat="1" applyFont="1" applyBorder="1" applyAlignment="1">
      <alignment horizontal="center" vertical="center"/>
    </xf>
    <xf numFmtId="0" fontId="147" fillId="40" borderId="0" xfId="0" applyFont="1" applyFill="1" applyBorder="1" applyAlignment="1">
      <alignment horizontal="center" vertical="center"/>
    </xf>
    <xf numFmtId="0" fontId="143" fillId="40" borderId="38" xfId="0" applyFont="1" applyFill="1" applyBorder="1" applyAlignment="1">
      <alignment horizontal="center" vertical="center"/>
    </xf>
    <xf numFmtId="0" fontId="143" fillId="40" borderId="39" xfId="0" applyFont="1" applyFill="1" applyBorder="1" applyAlignment="1">
      <alignment horizontal="center" vertical="center"/>
    </xf>
    <xf numFmtId="178" fontId="143" fillId="13" borderId="38" xfId="0" applyNumberFormat="1" applyFont="1" applyFill="1" applyBorder="1" applyAlignment="1">
      <alignment horizontal="center" vertical="center"/>
    </xf>
    <xf numFmtId="178" fontId="143" fillId="13" borderId="39" xfId="0" applyNumberFormat="1" applyFont="1" applyFill="1" applyBorder="1" applyAlignment="1">
      <alignment horizontal="center" vertical="center"/>
    </xf>
    <xf numFmtId="0" fontId="123" fillId="14" borderId="52" xfId="0" applyFont="1" applyFill="1" applyBorder="1" applyAlignment="1">
      <alignment horizontal="center" vertical="center"/>
    </xf>
    <xf numFmtId="0" fontId="147" fillId="40" borderId="38" xfId="0" applyFont="1" applyFill="1" applyBorder="1" applyAlignment="1">
      <alignment horizontal="center" vertical="center"/>
    </xf>
    <xf numFmtId="0" fontId="147" fillId="40" borderId="39" xfId="0" applyFont="1" applyFill="1" applyBorder="1" applyAlignment="1">
      <alignment horizontal="center" vertical="center"/>
    </xf>
    <xf numFmtId="0" fontId="143" fillId="40" borderId="0" xfId="0" applyFont="1" applyFill="1" applyBorder="1" applyAlignment="1">
      <alignment horizontal="center" vertical="center"/>
    </xf>
    <xf numFmtId="0" fontId="122" fillId="14" borderId="38" xfId="0" applyFont="1" applyFill="1" applyBorder="1" applyAlignment="1">
      <alignment horizontal="center" vertical="center"/>
    </xf>
    <xf numFmtId="0" fontId="122" fillId="14" borderId="52" xfId="0" applyFont="1" applyFill="1" applyBorder="1" applyAlignment="1">
      <alignment horizontal="center" vertical="center"/>
    </xf>
    <xf numFmtId="0" fontId="122" fillId="14" borderId="39" xfId="0" applyFont="1" applyFill="1" applyBorder="1" applyAlignment="1">
      <alignment horizontal="center" vertical="center"/>
    </xf>
    <xf numFmtId="0" fontId="131" fillId="40" borderId="38" xfId="0" applyFont="1" applyFill="1" applyBorder="1" applyAlignment="1">
      <alignment horizontal="center" vertical="center"/>
    </xf>
    <xf numFmtId="0" fontId="131" fillId="40" borderId="39" xfId="0" applyFont="1" applyFill="1" applyBorder="1" applyAlignment="1">
      <alignment horizontal="center" vertical="center"/>
    </xf>
    <xf numFmtId="0" fontId="112" fillId="14" borderId="38" xfId="0" applyFont="1" applyFill="1" applyBorder="1" applyAlignment="1">
      <alignment horizontal="center" vertical="center"/>
    </xf>
    <xf numFmtId="0" fontId="112" fillId="14" borderId="39" xfId="0" applyFont="1" applyFill="1" applyBorder="1" applyAlignment="1">
      <alignment horizontal="center" vertical="center"/>
    </xf>
    <xf numFmtId="0" fontId="131" fillId="13" borderId="0" xfId="0" applyFont="1" applyFill="1" applyAlignment="1">
      <alignment horizontal="center" vertical="center"/>
    </xf>
    <xf numFmtId="0" fontId="131" fillId="13" borderId="39" xfId="0" applyFont="1" applyFill="1" applyBorder="1" applyAlignment="1">
      <alignment horizontal="center" vertical="center"/>
    </xf>
    <xf numFmtId="0" fontId="143" fillId="40" borderId="51" xfId="0" applyFont="1" applyFill="1" applyBorder="1" applyAlignment="1">
      <alignment horizontal="center" vertical="center"/>
    </xf>
    <xf numFmtId="0" fontId="131" fillId="40" borderId="0" xfId="0" applyFont="1" applyFill="1" applyBorder="1" applyAlignment="1">
      <alignment horizontal="center" vertical="center"/>
    </xf>
    <xf numFmtId="0" fontId="115" fillId="14" borderId="38" xfId="0" applyFont="1" applyFill="1" applyBorder="1" applyAlignment="1">
      <alignment horizontal="center" vertical="center"/>
    </xf>
    <xf numFmtId="0" fontId="115" fillId="14" borderId="39" xfId="0" applyFont="1" applyFill="1" applyBorder="1" applyAlignment="1">
      <alignment horizontal="center" vertical="center"/>
    </xf>
    <xf numFmtId="0" fontId="131" fillId="13" borderId="38" xfId="0" applyFont="1" applyFill="1" applyBorder="1" applyAlignment="1">
      <alignment horizontal="center" vertical="center"/>
    </xf>
    <xf numFmtId="0" fontId="131" fillId="13" borderId="0" xfId="0" applyFont="1" applyFill="1" applyBorder="1" applyAlignment="1">
      <alignment horizontal="center" vertical="center"/>
    </xf>
    <xf numFmtId="0" fontId="131" fillId="13" borderId="52" xfId="0" applyFont="1" applyFill="1" applyBorder="1" applyAlignment="1">
      <alignment horizontal="center" vertical="center"/>
    </xf>
    <xf numFmtId="0" fontId="131" fillId="40" borderId="52" xfId="0" applyFont="1" applyFill="1" applyBorder="1" applyAlignment="1">
      <alignment horizontal="center" vertical="center"/>
    </xf>
    <xf numFmtId="0" fontId="131" fillId="13" borderId="51" xfId="0" applyFont="1" applyFill="1" applyBorder="1" applyAlignment="1">
      <alignment horizontal="center" vertical="center"/>
    </xf>
    <xf numFmtId="0" fontId="116" fillId="38" borderId="38" xfId="0" applyFont="1" applyFill="1" applyBorder="1" applyAlignment="1">
      <alignment horizontal="center" vertical="center"/>
    </xf>
    <xf numFmtId="0" fontId="116" fillId="38" borderId="0" xfId="0" applyFont="1" applyFill="1" applyAlignment="1">
      <alignment horizontal="center" vertical="center"/>
    </xf>
    <xf numFmtId="0" fontId="116" fillId="38" borderId="39" xfId="0" applyFont="1" applyFill="1" applyBorder="1" applyAlignment="1">
      <alignment horizontal="center" vertical="center"/>
    </xf>
    <xf numFmtId="0" fontId="150" fillId="40" borderId="38" xfId="0" applyFont="1" applyFill="1" applyBorder="1" applyAlignment="1">
      <alignment horizontal="center" vertical="center"/>
    </xf>
    <xf numFmtId="0" fontId="150" fillId="40" borderId="52" xfId="0" applyFont="1" applyFill="1" applyBorder="1" applyAlignment="1">
      <alignment horizontal="center" vertical="center"/>
    </xf>
    <xf numFmtId="0" fontId="131" fillId="41" borderId="51" xfId="0" applyFont="1" applyFill="1" applyBorder="1" applyAlignment="1">
      <alignment horizontal="center" vertical="center"/>
    </xf>
    <xf numFmtId="0" fontId="131" fillId="41" borderId="52" xfId="0" applyFont="1" applyFill="1" applyBorder="1" applyAlignment="1">
      <alignment horizontal="center" vertical="center"/>
    </xf>
    <xf numFmtId="0" fontId="144" fillId="42" borderId="38" xfId="0" applyFont="1" applyFill="1" applyBorder="1" applyAlignment="1">
      <alignment horizontal="center" vertical="center"/>
    </xf>
    <xf numFmtId="0" fontId="144" fillId="42" borderId="0" xfId="0" applyFont="1" applyFill="1" applyBorder="1" applyAlignment="1">
      <alignment horizontal="center" vertical="center"/>
    </xf>
    <xf numFmtId="0" fontId="143" fillId="40" borderId="52" xfId="0" applyFont="1" applyFill="1" applyBorder="1" applyAlignment="1">
      <alignment horizontal="center" vertical="center"/>
    </xf>
    <xf numFmtId="0" fontId="150" fillId="40" borderId="51" xfId="0" applyFont="1" applyFill="1" applyBorder="1" applyAlignment="1">
      <alignment horizontal="center" vertical="center"/>
    </xf>
    <xf numFmtId="0" fontId="129" fillId="8" borderId="38" xfId="0" applyFont="1" applyFill="1" applyBorder="1" applyAlignment="1">
      <alignment horizontal="center" vertical="center"/>
    </xf>
    <xf numFmtId="0" fontId="129" fillId="8" borderId="39" xfId="0" applyFont="1" applyFill="1" applyBorder="1" applyAlignment="1">
      <alignment horizontal="center" vertical="center"/>
    </xf>
    <xf numFmtId="0" fontId="158" fillId="8" borderId="38" xfId="0" applyFont="1" applyFill="1" applyBorder="1" applyAlignment="1">
      <alignment horizontal="center" vertical="center"/>
    </xf>
    <xf numFmtId="0" fontId="158" fillId="8" borderId="39" xfId="0" applyFont="1" applyFill="1" applyBorder="1" applyAlignment="1">
      <alignment horizontal="center" vertical="center"/>
    </xf>
    <xf numFmtId="0" fontId="129" fillId="8" borderId="0" xfId="0" applyFont="1" applyFill="1" applyBorder="1" applyAlignment="1">
      <alignment horizontal="center" vertical="center"/>
    </xf>
    <xf numFmtId="0" fontId="112" fillId="31" borderId="38" xfId="0" applyFont="1" applyFill="1" applyBorder="1" applyAlignment="1">
      <alignment horizontal="center" vertical="center"/>
    </xf>
    <xf numFmtId="0" fontId="112" fillId="31" borderId="39" xfId="0" applyFont="1" applyFill="1" applyBorder="1" applyAlignment="1">
      <alignment horizontal="center" vertical="center"/>
    </xf>
    <xf numFmtId="0" fontId="115" fillId="31" borderId="38" xfId="0" applyFont="1" applyFill="1" applyBorder="1" applyAlignment="1">
      <alignment horizontal="center" vertical="center"/>
    </xf>
    <xf numFmtId="0" fontId="115" fillId="31" borderId="39" xfId="0" applyFont="1" applyFill="1" applyBorder="1" applyAlignment="1">
      <alignment horizontal="center" vertical="center"/>
    </xf>
  </cellXfs>
  <cellStyles count="24">
    <cellStyle name="백분율" xfId="22" builtinId="5"/>
    <cellStyle name="백분율 2" xfId="4"/>
    <cellStyle name="백분율 2 2" xfId="9"/>
    <cellStyle name="백분율 2 2 2" xfId="19"/>
    <cellStyle name="백분율 2 3" xfId="14"/>
    <cellStyle name="설명 텍스트" xfId="1" builtinId="53"/>
    <cellStyle name="쉼표 [0]" xfId="23" builtinId="6"/>
    <cellStyle name="쉼표 [0] 2" xfId="3"/>
    <cellStyle name="쉼표 [0] 2 2" xfId="8"/>
    <cellStyle name="쉼표 [0] 2 2 2" xfId="18"/>
    <cellStyle name="쉼표 [0] 2 3" xfId="13"/>
    <cellStyle name="쉼표 [0] 3" xfId="6"/>
    <cellStyle name="쉼표 [0] 3 2" xfId="11"/>
    <cellStyle name="쉼표 [0] 3 2 2" xfId="21"/>
    <cellStyle name="쉼표 [0] 3 3" xfId="16"/>
    <cellStyle name="표준" xfId="0" builtinId="0"/>
    <cellStyle name="표준 2" xfId="2"/>
    <cellStyle name="표준 2 2" xfId="7"/>
    <cellStyle name="표준 2 2 2" xfId="17"/>
    <cellStyle name="표준 2 3" xfId="12"/>
    <cellStyle name="표준 3" xfId="5"/>
    <cellStyle name="표준 3 2" xfId="10"/>
    <cellStyle name="표준 3 2 2" xfId="20"/>
    <cellStyle name="표준 3 3" xfId="15"/>
  </cellStyles>
  <dxfs count="0"/>
  <tableStyles count="0" defaultTableStyle="TableStyleMedium9" defaultPivotStyle="PivotStyleLight16"/>
  <colors>
    <mruColors>
      <color rgb="FFFFFF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121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33"/>
  <sheetViews>
    <sheetView topLeftCell="B18" zoomScale="70" zoomScaleNormal="70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1:19" ht="19.149999999999999">
      <c r="C1" s="5"/>
      <c r="D1" s="5"/>
    </row>
    <row r="2" spans="1:19" ht="19.149999999999999">
      <c r="C2" s="5"/>
      <c r="D2" s="5"/>
      <c r="E2" s="7"/>
      <c r="F2" s="7"/>
      <c r="G2" s="7"/>
      <c r="H2" s="7"/>
      <c r="I2" s="7"/>
      <c r="J2" s="7"/>
      <c r="K2" s="7"/>
    </row>
    <row r="3" spans="1:19" ht="57">
      <c r="C3" s="5"/>
      <c r="D3" s="5"/>
      <c r="E3" s="1450">
        <v>42736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25</v>
      </c>
      <c r="F5" s="10">
        <v>26</v>
      </c>
      <c r="G5" s="10">
        <v>27</v>
      </c>
      <c r="H5" s="40">
        <v>28</v>
      </c>
      <c r="I5" s="10">
        <v>29</v>
      </c>
      <c r="J5" s="10">
        <v>30</v>
      </c>
      <c r="K5" s="35">
        <v>1</v>
      </c>
      <c r="L5" s="4"/>
      <c r="M5" s="4"/>
      <c r="N5" s="4"/>
      <c r="R5" s="11"/>
      <c r="S5" s="4"/>
    </row>
    <row r="6" spans="1:19" s="5" customFormat="1" ht="24.6" customHeight="1">
      <c r="C6" s="12" t="s">
        <v>9</v>
      </c>
      <c r="D6" s="13"/>
      <c r="E6" s="14"/>
      <c r="F6" s="14"/>
      <c r="G6" s="14"/>
      <c r="H6" s="14"/>
      <c r="I6" s="36"/>
      <c r="J6" s="14"/>
      <c r="K6" s="14"/>
      <c r="L6" s="4"/>
      <c r="M6" s="4"/>
      <c r="N6" s="4"/>
      <c r="R6" s="11"/>
      <c r="S6" s="4"/>
    </row>
    <row r="7" spans="1:19" s="5" customFormat="1" ht="24.6" customHeight="1">
      <c r="C7" s="16" t="s">
        <v>7</v>
      </c>
      <c r="D7" s="13"/>
      <c r="E7" s="14"/>
      <c r="F7" s="14"/>
      <c r="G7" s="14"/>
      <c r="H7" s="14"/>
      <c r="I7" s="36"/>
      <c r="J7" s="14"/>
      <c r="K7" s="14"/>
      <c r="L7" s="4"/>
      <c r="M7" s="4"/>
      <c r="N7" s="4"/>
      <c r="R7" s="11"/>
      <c r="S7" s="4"/>
    </row>
    <row r="8" spans="1:19" s="5" customFormat="1" ht="24.6" customHeight="1">
      <c r="C8" s="17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1:19" s="18" customFormat="1" ht="24.6" customHeight="1">
      <c r="C9" s="19"/>
      <c r="D9" s="20"/>
      <c r="E9" s="14"/>
      <c r="F9" s="14"/>
      <c r="G9" s="14"/>
      <c r="H9" s="14"/>
      <c r="I9" s="36"/>
      <c r="J9" s="14"/>
      <c r="K9" s="14"/>
      <c r="L9" s="21"/>
      <c r="M9" s="21"/>
      <c r="N9" s="21"/>
      <c r="R9" s="22"/>
      <c r="S9" s="21"/>
    </row>
    <row r="10" spans="1:19" ht="24.6" customHeight="1">
      <c r="C10" s="5"/>
      <c r="D10" s="5"/>
      <c r="E10" s="23">
        <v>1</v>
      </c>
      <c r="F10" s="75">
        <f t="shared" ref="F10:K10" si="0">E10+1</f>
        <v>2</v>
      </c>
      <c r="G10" s="37">
        <f t="shared" si="0"/>
        <v>3</v>
      </c>
      <c r="H10" s="37">
        <f t="shared" si="0"/>
        <v>4</v>
      </c>
      <c r="I10" s="37">
        <f t="shared" si="0"/>
        <v>5</v>
      </c>
      <c r="J10" s="37">
        <f t="shared" si="0"/>
        <v>6</v>
      </c>
      <c r="K10" s="23">
        <f t="shared" si="0"/>
        <v>7</v>
      </c>
    </row>
    <row r="11" spans="1:19" ht="24.6" customHeight="1">
      <c r="C11" s="12" t="s">
        <v>9</v>
      </c>
      <c r="D11" s="13"/>
      <c r="E11" s="24"/>
      <c r="F11" s="77"/>
      <c r="G11" s="77"/>
      <c r="H11" s="77"/>
      <c r="I11" s="77"/>
      <c r="J11" s="77"/>
      <c r="K11" s="24"/>
    </row>
    <row r="12" spans="1:19" ht="24.6" customHeight="1">
      <c r="C12" s="16" t="s">
        <v>7</v>
      </c>
      <c r="D12" s="13"/>
      <c r="E12" s="24"/>
      <c r="F12" s="24"/>
      <c r="G12" s="24"/>
      <c r="H12" s="24"/>
      <c r="I12" s="24"/>
      <c r="J12" s="24"/>
      <c r="K12" s="24"/>
    </row>
    <row r="13" spans="1:19" ht="24.6" customHeight="1">
      <c r="C13" s="17" t="s">
        <v>8</v>
      </c>
      <c r="D13" s="13"/>
      <c r="E13" s="24"/>
      <c r="F13" s="24"/>
      <c r="G13" s="24"/>
      <c r="H13" s="24"/>
      <c r="I13" s="24"/>
      <c r="J13" s="24"/>
      <c r="K13" s="24"/>
    </row>
    <row r="14" spans="1:19" s="25" customFormat="1" ht="24.6" customHeight="1">
      <c r="A14" s="21"/>
      <c r="B14" s="21"/>
      <c r="C14" s="19"/>
      <c r="D14" s="20"/>
      <c r="E14" s="24"/>
      <c r="F14" s="76"/>
      <c r="G14" s="24"/>
      <c r="H14" s="24"/>
      <c r="I14" s="24"/>
      <c r="J14" s="24"/>
      <c r="K14" s="24"/>
      <c r="L14" s="21"/>
      <c r="M14" s="21"/>
      <c r="N14" s="21"/>
      <c r="O14" s="21"/>
      <c r="P14" s="21"/>
      <c r="Q14" s="21"/>
      <c r="R14" s="21"/>
      <c r="S14" s="21"/>
    </row>
    <row r="15" spans="1:19" ht="24.6" customHeight="1">
      <c r="C15" s="5"/>
      <c r="D15" s="5"/>
      <c r="E15" s="26">
        <f>K10+1</f>
        <v>8</v>
      </c>
      <c r="F15" s="27">
        <f t="shared" ref="F15:K15" si="1">E15+1</f>
        <v>9</v>
      </c>
      <c r="G15" s="27">
        <f t="shared" si="1"/>
        <v>10</v>
      </c>
      <c r="H15" s="27">
        <f t="shared" si="1"/>
        <v>11</v>
      </c>
      <c r="I15" s="27">
        <f t="shared" si="1"/>
        <v>12</v>
      </c>
      <c r="J15" s="28">
        <f>I15+1</f>
        <v>13</v>
      </c>
      <c r="K15" s="26">
        <f t="shared" si="1"/>
        <v>14</v>
      </c>
      <c r="M15" s="1453"/>
      <c r="N15" s="1453"/>
      <c r="O15" s="1453"/>
    </row>
    <row r="16" spans="1:19" ht="24.6" customHeight="1">
      <c r="C16" s="12" t="s">
        <v>9</v>
      </c>
      <c r="D16" s="13"/>
      <c r="E16" s="14"/>
      <c r="F16" s="36"/>
      <c r="G16" s="36"/>
      <c r="H16" s="36"/>
      <c r="I16" s="36"/>
      <c r="J16" s="36"/>
      <c r="K16" s="14"/>
    </row>
    <row r="17" spans="1:19" ht="24.6" customHeight="1">
      <c r="C17" s="16" t="s">
        <v>7</v>
      </c>
      <c r="D17" s="13"/>
      <c r="E17" s="14"/>
      <c r="F17" s="36"/>
      <c r="G17" s="36"/>
      <c r="H17" s="36"/>
      <c r="I17" s="36"/>
      <c r="J17" s="36"/>
      <c r="K17" s="14"/>
    </row>
    <row r="18" spans="1:19" ht="24.6" customHeight="1">
      <c r="C18" s="17" t="s">
        <v>8</v>
      </c>
      <c r="D18" s="13"/>
      <c r="E18" s="14"/>
      <c r="F18" s="36"/>
      <c r="G18" s="36"/>
      <c r="H18" s="36"/>
      <c r="I18" s="36"/>
      <c r="J18" s="36"/>
      <c r="K18" s="14"/>
    </row>
    <row r="19" spans="1:19" s="25" customFormat="1" ht="24.6" customHeight="1">
      <c r="A19" s="21"/>
      <c r="B19" s="21"/>
      <c r="C19" s="19"/>
      <c r="D19" s="20"/>
      <c r="E19" s="14"/>
      <c r="F19" s="36"/>
      <c r="G19" s="36"/>
      <c r="H19" s="36"/>
      <c r="I19" s="36"/>
      <c r="J19" s="36"/>
      <c r="K19" s="14"/>
      <c r="L19" s="21"/>
      <c r="M19" s="21"/>
      <c r="N19" s="21"/>
      <c r="O19" s="21"/>
      <c r="P19" s="21"/>
      <c r="Q19" s="21"/>
      <c r="R19" s="21"/>
      <c r="S19" s="21"/>
    </row>
    <row r="20" spans="1:19" ht="24.6" customHeight="1">
      <c r="C20" s="5"/>
      <c r="D20" s="5"/>
      <c r="E20" s="23">
        <f>K15+1</f>
        <v>15</v>
      </c>
      <c r="F20" s="37">
        <f t="shared" ref="F20:K20" si="2">E20+1</f>
        <v>16</v>
      </c>
      <c r="G20" s="37">
        <f t="shared" si="2"/>
        <v>17</v>
      </c>
      <c r="H20" s="37">
        <f t="shared" si="2"/>
        <v>18</v>
      </c>
      <c r="I20" s="37">
        <f t="shared" si="2"/>
        <v>19</v>
      </c>
      <c r="J20" s="37">
        <f t="shared" si="2"/>
        <v>20</v>
      </c>
      <c r="K20" s="23">
        <f t="shared" si="2"/>
        <v>21</v>
      </c>
    </row>
    <row r="21" spans="1:19" ht="24.6" customHeight="1">
      <c r="C21" s="12" t="s">
        <v>9</v>
      </c>
      <c r="D21" s="13"/>
      <c r="E21" s="24"/>
      <c r="F21" s="77"/>
      <c r="G21" s="77"/>
      <c r="H21" s="77"/>
      <c r="I21" s="77"/>
      <c r="J21" s="77"/>
      <c r="K21" s="32"/>
    </row>
    <row r="22" spans="1:19" ht="24.6" customHeight="1">
      <c r="C22" s="16" t="s">
        <v>7</v>
      </c>
      <c r="D22" s="13"/>
      <c r="E22" s="24"/>
      <c r="F22" s="24"/>
      <c r="G22" s="24"/>
      <c r="H22" s="24"/>
      <c r="I22" s="24"/>
      <c r="J22" s="24"/>
      <c r="K22" s="32"/>
    </row>
    <row r="23" spans="1:19" ht="24.6" customHeight="1">
      <c r="C23" s="17" t="s">
        <v>8</v>
      </c>
      <c r="D23" s="13"/>
      <c r="E23" s="24"/>
      <c r="F23" s="24"/>
      <c r="G23" s="24"/>
      <c r="H23" s="24"/>
      <c r="I23" s="24"/>
      <c r="J23" s="24"/>
      <c r="K23" s="24"/>
    </row>
    <row r="24" spans="1:19" ht="24.6" customHeight="1">
      <c r="C24" s="29"/>
      <c r="D24" s="5"/>
      <c r="E24" s="34"/>
      <c r="F24" s="24"/>
      <c r="G24" s="24"/>
      <c r="H24" s="24"/>
      <c r="I24" s="24"/>
      <c r="J24" s="24"/>
      <c r="K24" s="34"/>
    </row>
    <row r="25" spans="1:19" ht="24.6" customHeight="1">
      <c r="C25" s="30"/>
      <c r="D25" s="13"/>
      <c r="E25" s="31">
        <f>K20+1</f>
        <v>22</v>
      </c>
      <c r="F25" s="27">
        <f t="shared" ref="F25:K25" si="3">E25+1</f>
        <v>23</v>
      </c>
      <c r="G25" s="27">
        <f t="shared" si="3"/>
        <v>24</v>
      </c>
      <c r="H25" s="27">
        <f t="shared" si="3"/>
        <v>25</v>
      </c>
      <c r="I25" s="27">
        <f t="shared" si="3"/>
        <v>26</v>
      </c>
      <c r="J25" s="52">
        <f t="shared" si="3"/>
        <v>27</v>
      </c>
      <c r="K25" s="52">
        <f t="shared" si="3"/>
        <v>28</v>
      </c>
    </row>
    <row r="26" spans="1:19" ht="24.6" customHeight="1">
      <c r="C26" s="12" t="s">
        <v>9</v>
      </c>
      <c r="D26" s="13"/>
      <c r="E26" s="38"/>
      <c r="F26" s="36"/>
      <c r="G26" s="36"/>
      <c r="H26" s="36"/>
      <c r="I26" s="36"/>
      <c r="J26" s="14"/>
      <c r="K26" s="14"/>
    </row>
    <row r="27" spans="1:19" ht="24.6" customHeight="1">
      <c r="C27" s="16" t="s">
        <v>7</v>
      </c>
      <c r="D27" s="13"/>
      <c r="E27" s="38"/>
      <c r="F27" s="36"/>
      <c r="G27" s="36"/>
      <c r="H27" s="36"/>
      <c r="I27" s="14"/>
      <c r="J27" s="14"/>
      <c r="K27" s="14"/>
    </row>
    <row r="28" spans="1:19" ht="24.6" customHeight="1">
      <c r="C28" s="17" t="s">
        <v>8</v>
      </c>
      <c r="D28" s="13"/>
      <c r="E28" s="36"/>
      <c r="F28" s="36"/>
      <c r="G28" s="36"/>
      <c r="H28" s="36"/>
      <c r="I28" s="14"/>
      <c r="J28" s="14"/>
      <c r="K28" s="14"/>
    </row>
    <row r="29" spans="1:19" ht="24.6" customHeight="1">
      <c r="C29" s="5"/>
      <c r="D29" s="5"/>
      <c r="E29" s="53">
        <v>29</v>
      </c>
      <c r="F29" s="54">
        <f>E29+1</f>
        <v>30</v>
      </c>
      <c r="G29" s="37">
        <v>31</v>
      </c>
      <c r="H29" s="37"/>
      <c r="I29" s="37"/>
      <c r="J29" s="37"/>
      <c r="K29" s="23"/>
    </row>
    <row r="30" spans="1:19" ht="24.6" customHeight="1">
      <c r="C30" s="12" t="s">
        <v>9</v>
      </c>
      <c r="D30" s="13"/>
      <c r="E30" s="24"/>
      <c r="F30" s="24"/>
      <c r="G30" s="24"/>
      <c r="H30" s="24"/>
      <c r="I30" s="24"/>
      <c r="J30" s="24"/>
      <c r="K30" s="24"/>
    </row>
    <row r="31" spans="1:19" ht="24.6" customHeight="1">
      <c r="C31" s="16" t="s">
        <v>7</v>
      </c>
      <c r="D31" s="13"/>
      <c r="E31" s="24"/>
      <c r="F31" s="24"/>
      <c r="G31" s="32"/>
      <c r="H31" s="24"/>
      <c r="I31" s="24"/>
      <c r="J31" s="24"/>
      <c r="K31" s="24"/>
    </row>
    <row r="32" spans="1:19" ht="24.6" customHeight="1">
      <c r="C32" s="17" t="s">
        <v>8</v>
      </c>
      <c r="D32" s="13"/>
      <c r="E32" s="24"/>
      <c r="F32" s="24"/>
      <c r="G32" s="24"/>
      <c r="H32" s="24"/>
      <c r="I32" s="24"/>
      <c r="J32" s="6"/>
      <c r="K32" s="24"/>
    </row>
    <row r="33" spans="3:11" s="6" customFormat="1" ht="24.6" customHeight="1">
      <c r="C33" s="29"/>
      <c r="D33" s="5"/>
      <c r="E33" s="41"/>
      <c r="F33" s="42"/>
      <c r="G33" s="42"/>
      <c r="H33" s="41"/>
      <c r="I33" s="34"/>
      <c r="J33" s="34"/>
      <c r="K33" s="34"/>
    </row>
  </sheetData>
  <mergeCells count="3">
    <mergeCell ref="E3:G3"/>
    <mergeCell ref="H3:K3"/>
    <mergeCell ref="M15:O15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S42"/>
  <sheetViews>
    <sheetView zoomScale="70" zoomScaleNormal="70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3:19" s="6" customFormat="1" ht="19.149999999999999"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s="6" customFormat="1" ht="19.149999999999999">
      <c r="C2" s="5"/>
      <c r="D2" s="5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</row>
    <row r="3" spans="3:19" s="6" customFormat="1" ht="57">
      <c r="C3" s="5"/>
      <c r="D3" s="5"/>
      <c r="E3" s="1450">
        <v>42767</v>
      </c>
      <c r="F3" s="1450"/>
      <c r="G3" s="1450"/>
      <c r="H3" s="1451" t="s">
        <v>10</v>
      </c>
      <c r="I3" s="1452"/>
      <c r="J3" s="1452"/>
      <c r="K3" s="1452"/>
      <c r="L3" s="4"/>
      <c r="M3" s="4"/>
      <c r="N3" s="4"/>
      <c r="O3" s="4"/>
      <c r="P3" s="4"/>
      <c r="Q3" s="4"/>
      <c r="R3" s="4"/>
      <c r="S3" s="4"/>
    </row>
    <row r="4" spans="3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3:19" s="5" customFormat="1" ht="24.6" customHeight="1">
      <c r="E5" s="9"/>
      <c r="F5" s="9"/>
      <c r="G5" s="10"/>
      <c r="H5" s="40">
        <v>1</v>
      </c>
      <c r="I5" s="40">
        <v>2</v>
      </c>
      <c r="J5" s="40">
        <v>3</v>
      </c>
      <c r="K5" s="40">
        <v>4</v>
      </c>
      <c r="L5" s="4"/>
      <c r="M5" s="4"/>
      <c r="N5" s="4"/>
      <c r="R5" s="11"/>
      <c r="S5" s="4"/>
    </row>
    <row r="6" spans="3:19" s="5" customFormat="1" ht="24.6" customHeight="1"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3:19" s="5" customFormat="1" ht="24.6" customHeight="1">
      <c r="C7" s="16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3:19" s="5" customFormat="1" ht="24.6" customHeight="1">
      <c r="C8" s="17" t="s">
        <v>8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3:19" s="5" customFormat="1" ht="24.6" customHeight="1">
      <c r="D9" s="13"/>
      <c r="E9" s="14"/>
      <c r="F9" s="78"/>
      <c r="G9" s="14"/>
      <c r="H9" s="14"/>
      <c r="I9" s="36"/>
      <c r="J9" s="14"/>
      <c r="K9" s="14"/>
      <c r="L9" s="4"/>
      <c r="M9" s="4"/>
      <c r="N9" s="4"/>
      <c r="R9" s="11"/>
      <c r="S9" s="4"/>
    </row>
    <row r="10" spans="3:19" s="6" customFormat="1" ht="24.6" customHeight="1">
      <c r="C10" s="5"/>
      <c r="D10" s="5"/>
      <c r="E10" s="23">
        <f>K5+1</f>
        <v>5</v>
      </c>
      <c r="F10" s="24">
        <f t="shared" ref="F10:K10" si="0">E10+1</f>
        <v>6</v>
      </c>
      <c r="G10" s="37">
        <f t="shared" si="0"/>
        <v>7</v>
      </c>
      <c r="H10" s="37">
        <f t="shared" si="0"/>
        <v>8</v>
      </c>
      <c r="I10" s="37">
        <f t="shared" si="0"/>
        <v>9</v>
      </c>
      <c r="J10" s="37">
        <f t="shared" si="0"/>
        <v>10</v>
      </c>
      <c r="K10" s="23">
        <f t="shared" si="0"/>
        <v>11</v>
      </c>
      <c r="L10" s="4"/>
      <c r="M10" s="4"/>
      <c r="N10" s="4"/>
      <c r="O10" s="4"/>
      <c r="P10" s="4"/>
      <c r="Q10" s="4"/>
      <c r="R10" s="4"/>
      <c r="S10" s="4"/>
    </row>
    <row r="11" spans="3:19" s="6" customFormat="1" ht="24.6" customHeight="1">
      <c r="C11" s="12" t="s">
        <v>9</v>
      </c>
      <c r="D11" s="13"/>
      <c r="E11" s="24"/>
      <c r="F11" s="24"/>
      <c r="G11" s="24"/>
      <c r="H11" s="24"/>
      <c r="I11" s="45" t="s">
        <v>52</v>
      </c>
      <c r="J11" s="45" t="s">
        <v>46</v>
      </c>
      <c r="K11" s="24"/>
      <c r="L11" s="4"/>
      <c r="M11" s="4"/>
      <c r="N11" s="4"/>
      <c r="O11" s="4"/>
      <c r="P11" s="4"/>
      <c r="Q11" s="4"/>
      <c r="R11" s="4"/>
      <c r="S11" s="4"/>
    </row>
    <row r="12" spans="3:19" s="6" customFormat="1" ht="24.6" customHeight="1">
      <c r="C12" s="16" t="s">
        <v>7</v>
      </c>
      <c r="D12" s="13"/>
      <c r="E12" s="24"/>
      <c r="F12" s="24"/>
      <c r="G12" s="24"/>
      <c r="H12" s="24"/>
      <c r="I12" s="24"/>
      <c r="J12" s="24"/>
      <c r="K12" s="24"/>
      <c r="L12" s="4"/>
      <c r="M12" s="4"/>
      <c r="N12" s="4"/>
      <c r="O12" s="4"/>
      <c r="P12" s="4"/>
      <c r="Q12" s="4"/>
      <c r="R12" s="4"/>
      <c r="S12" s="4"/>
    </row>
    <row r="13" spans="3:19" s="6" customFormat="1" ht="24.6" customHeight="1">
      <c r="C13" s="17" t="s">
        <v>8</v>
      </c>
      <c r="D13" s="13"/>
      <c r="E13" s="24"/>
      <c r="F13" s="24"/>
      <c r="G13" s="24"/>
      <c r="H13" s="24"/>
      <c r="I13" s="24"/>
      <c r="J13" s="24"/>
      <c r="K13" s="24"/>
      <c r="L13" s="4"/>
      <c r="M13" s="4"/>
      <c r="N13" s="4"/>
      <c r="O13" s="4"/>
      <c r="P13" s="4"/>
      <c r="Q13" s="4"/>
      <c r="R13" s="4"/>
      <c r="S13" s="4"/>
    </row>
    <row r="14" spans="3:19" s="6" customFormat="1" ht="24.6" customHeight="1">
      <c r="D14" s="13"/>
      <c r="E14" s="24"/>
      <c r="F14" s="24"/>
      <c r="G14" s="24"/>
      <c r="H14" s="24"/>
      <c r="I14" s="24"/>
      <c r="J14" s="24"/>
      <c r="K14" s="24"/>
      <c r="L14" s="4"/>
      <c r="M14" s="4"/>
      <c r="N14" s="4"/>
      <c r="O14" s="4"/>
      <c r="P14" s="4"/>
      <c r="Q14" s="4"/>
      <c r="R14" s="4"/>
      <c r="S14" s="4"/>
    </row>
    <row r="15" spans="3:19" s="6" customFormat="1" ht="24.6" customHeight="1">
      <c r="C15" s="5"/>
      <c r="D15" s="5"/>
      <c r="E15" s="26">
        <f>K10+1</f>
        <v>12</v>
      </c>
      <c r="F15" s="27">
        <f t="shared" ref="F15:K15" si="1">E15+1</f>
        <v>13</v>
      </c>
      <c r="G15" s="27">
        <f t="shared" si="1"/>
        <v>14</v>
      </c>
      <c r="H15" s="27">
        <f t="shared" si="1"/>
        <v>15</v>
      </c>
      <c r="I15" s="27">
        <f t="shared" si="1"/>
        <v>16</v>
      </c>
      <c r="J15" s="28">
        <f t="shared" si="1"/>
        <v>17</v>
      </c>
      <c r="K15" s="26">
        <f t="shared" si="1"/>
        <v>18</v>
      </c>
      <c r="L15" s="4"/>
      <c r="M15" s="1453"/>
      <c r="N15" s="1453"/>
      <c r="O15" s="1453"/>
      <c r="P15" s="4"/>
      <c r="Q15" s="4"/>
      <c r="R15" s="4"/>
      <c r="S15" s="4"/>
    </row>
    <row r="16" spans="3:19" s="6" customFormat="1" ht="24.6" customHeight="1">
      <c r="C16" s="12" t="s">
        <v>9</v>
      </c>
      <c r="D16" s="13"/>
      <c r="E16" s="14"/>
      <c r="F16" s="45" t="s">
        <v>47</v>
      </c>
      <c r="G16" s="45" t="s">
        <v>48</v>
      </c>
      <c r="H16" s="45" t="s">
        <v>49</v>
      </c>
      <c r="I16" s="14"/>
      <c r="J16" s="88" t="s">
        <v>50</v>
      </c>
      <c r="K16" s="14"/>
      <c r="L16" s="4"/>
      <c r="M16" s="4"/>
      <c r="N16" s="4"/>
      <c r="O16" s="4"/>
      <c r="P16" s="4"/>
      <c r="Q16" s="4"/>
      <c r="R16" s="4"/>
      <c r="S16" s="4"/>
    </row>
    <row r="17" spans="3:11" s="6" customFormat="1" ht="24.6" customHeight="1">
      <c r="C17" s="16" t="s">
        <v>7</v>
      </c>
      <c r="D17" s="13"/>
      <c r="E17" s="14"/>
      <c r="F17" s="14"/>
      <c r="G17" s="14"/>
      <c r="H17" s="14"/>
      <c r="I17" s="14"/>
      <c r="J17" s="14"/>
      <c r="K17" s="14"/>
    </row>
    <row r="18" spans="3:11" s="6" customFormat="1" ht="24.6" customHeight="1">
      <c r="C18" s="17" t="s">
        <v>8</v>
      </c>
      <c r="D18" s="13"/>
      <c r="E18" s="14"/>
      <c r="F18" s="36" t="s">
        <v>30</v>
      </c>
      <c r="G18" s="14"/>
      <c r="H18" s="14"/>
      <c r="I18" s="14"/>
      <c r="J18" s="14"/>
      <c r="K18" s="14"/>
    </row>
    <row r="19" spans="3:11" s="6" customFormat="1" ht="24.6" customHeight="1">
      <c r="D19" s="13"/>
      <c r="E19" s="14"/>
      <c r="F19" s="36"/>
      <c r="G19" s="14"/>
      <c r="H19" s="33"/>
      <c r="I19" s="33"/>
      <c r="J19" s="14"/>
      <c r="K19" s="14"/>
    </row>
    <row r="20" spans="3:11" s="6" customFormat="1" ht="24.6" customHeight="1">
      <c r="C20" s="5"/>
      <c r="D20" s="5"/>
      <c r="E20" s="23">
        <f>K15+1</f>
        <v>19</v>
      </c>
      <c r="F20" s="37">
        <f t="shared" ref="F20:K20" si="2">E20+1</f>
        <v>20</v>
      </c>
      <c r="G20" s="37">
        <f t="shared" si="2"/>
        <v>21</v>
      </c>
      <c r="H20" s="37">
        <f t="shared" si="2"/>
        <v>22</v>
      </c>
      <c r="I20" s="37">
        <f t="shared" si="2"/>
        <v>23</v>
      </c>
      <c r="J20" s="37">
        <f t="shared" si="2"/>
        <v>24</v>
      </c>
      <c r="K20" s="23">
        <f t="shared" si="2"/>
        <v>25</v>
      </c>
    </row>
    <row r="21" spans="3:11" s="6" customFormat="1" ht="24.6" customHeight="1">
      <c r="C21" s="12" t="s">
        <v>9</v>
      </c>
      <c r="D21" s="13"/>
      <c r="E21" s="24"/>
      <c r="F21" s="79" t="s">
        <v>51</v>
      </c>
      <c r="G21" s="24"/>
      <c r="H21" s="88" t="s">
        <v>13</v>
      </c>
      <c r="I21" s="24"/>
      <c r="J21" s="45" t="s">
        <v>11</v>
      </c>
      <c r="K21" s="32"/>
    </row>
    <row r="22" spans="3:11" s="6" customFormat="1" ht="24.6" customHeight="1">
      <c r="C22" s="16" t="s">
        <v>7</v>
      </c>
      <c r="D22" s="13"/>
      <c r="E22" s="24"/>
      <c r="F22" s="88" t="s">
        <v>54</v>
      </c>
      <c r="G22" s="88" t="s">
        <v>53</v>
      </c>
      <c r="H22" s="11" t="s">
        <v>56</v>
      </c>
      <c r="I22" s="32" t="s">
        <v>55</v>
      </c>
      <c r="K22" s="32"/>
    </row>
    <row r="23" spans="3:11" s="6" customFormat="1" ht="24.6" customHeight="1">
      <c r="C23" s="17" t="s">
        <v>8</v>
      </c>
      <c r="D23" s="13"/>
      <c r="E23" s="24"/>
      <c r="F23" s="24"/>
      <c r="G23" s="24"/>
      <c r="H23" s="24"/>
      <c r="I23" s="24"/>
      <c r="K23" s="24"/>
    </row>
    <row r="24" spans="3:11" s="6" customFormat="1" ht="24.6" customHeight="1">
      <c r="C24" s="30"/>
      <c r="D24" s="13"/>
      <c r="E24" s="24"/>
      <c r="F24" s="24"/>
      <c r="G24" s="24"/>
      <c r="H24" s="24"/>
      <c r="I24" s="24"/>
      <c r="K24" s="24"/>
    </row>
    <row r="25" spans="3:11" s="6" customFormat="1" ht="24.6" customHeight="1">
      <c r="C25" s="30"/>
      <c r="D25" s="13"/>
      <c r="E25" s="31">
        <f>K20+1</f>
        <v>26</v>
      </c>
      <c r="F25" s="27">
        <f>E25+1</f>
        <v>27</v>
      </c>
      <c r="G25" s="27">
        <f>F25+1</f>
        <v>28</v>
      </c>
      <c r="H25" s="27">
        <v>1</v>
      </c>
      <c r="I25" s="27">
        <v>2</v>
      </c>
      <c r="J25" s="27">
        <v>3</v>
      </c>
      <c r="K25" s="27"/>
    </row>
    <row r="26" spans="3:11" s="6" customFormat="1" ht="24.6" customHeight="1">
      <c r="C26" s="12" t="s">
        <v>9</v>
      </c>
      <c r="D26" s="13"/>
      <c r="E26" s="38"/>
      <c r="F26" s="45" t="s">
        <v>81</v>
      </c>
      <c r="G26" s="44" t="s">
        <v>82</v>
      </c>
      <c r="H26" s="36"/>
      <c r="I26" s="36"/>
      <c r="J26" s="36"/>
      <c r="K26" s="39"/>
    </row>
    <row r="27" spans="3:11" s="6" customFormat="1" ht="24.6" customHeight="1">
      <c r="C27" s="16" t="s">
        <v>7</v>
      </c>
      <c r="D27" s="13"/>
      <c r="E27" s="38"/>
      <c r="F27" s="88" t="s">
        <v>83</v>
      </c>
      <c r="G27" s="80" t="s">
        <v>84</v>
      </c>
      <c r="H27" s="36"/>
      <c r="I27" s="36"/>
      <c r="J27" s="36"/>
      <c r="K27" s="14"/>
    </row>
    <row r="28" spans="3:11" s="6" customFormat="1" ht="24.6" customHeight="1">
      <c r="C28" s="17" t="s">
        <v>8</v>
      </c>
      <c r="D28" s="13"/>
      <c r="E28" s="38"/>
      <c r="F28" s="36" t="s">
        <v>31</v>
      </c>
      <c r="G28" s="38"/>
      <c r="H28" s="36"/>
      <c r="I28" s="14"/>
      <c r="J28" s="14"/>
      <c r="K28" s="14"/>
    </row>
    <row r="29" spans="3:11" s="6" customFormat="1" ht="24.6" customHeight="1">
      <c r="D29" s="13"/>
      <c r="E29" s="36"/>
      <c r="F29" s="36"/>
      <c r="G29" s="14"/>
      <c r="H29" s="14"/>
      <c r="I29" s="14"/>
      <c r="J29" s="14"/>
      <c r="K29" s="14"/>
    </row>
    <row r="30" spans="3:11" s="6" customFormat="1" ht="24.6" customHeight="1">
      <c r="C30" s="5"/>
      <c r="D30" s="5"/>
      <c r="E30" s="23"/>
      <c r="F30" s="37"/>
      <c r="G30" s="37"/>
      <c r="H30" s="37"/>
      <c r="I30" s="37"/>
      <c r="J30" s="37"/>
      <c r="K30" s="23"/>
    </row>
    <row r="31" spans="3:11" s="6" customFormat="1" ht="24.6" customHeight="1">
      <c r="C31" s="12" t="s">
        <v>9</v>
      </c>
      <c r="D31" s="13"/>
      <c r="E31" s="24"/>
      <c r="F31" s="24"/>
      <c r="G31" s="32"/>
      <c r="H31" s="24"/>
      <c r="I31" s="32"/>
      <c r="K31" s="32"/>
    </row>
    <row r="32" spans="3:11" s="6" customFormat="1" ht="24.6" customHeight="1">
      <c r="C32" s="16" t="s">
        <v>7</v>
      </c>
      <c r="D32" s="13"/>
      <c r="E32" s="24"/>
      <c r="F32" s="24"/>
      <c r="G32" s="32"/>
      <c r="H32" s="24"/>
      <c r="I32" s="32"/>
      <c r="K32" s="32"/>
    </row>
    <row r="33" spans="1:19" ht="24.6" customHeight="1">
      <c r="A33" s="6"/>
      <c r="B33" s="6"/>
      <c r="C33" s="50" t="s">
        <v>8</v>
      </c>
      <c r="D33" s="47"/>
      <c r="E33" s="48"/>
      <c r="F33" s="24"/>
      <c r="G33" s="24"/>
      <c r="H33" s="48"/>
      <c r="I33" s="48"/>
      <c r="J33" s="51"/>
      <c r="K33" s="48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/>
      <c r="E34" s="49"/>
      <c r="F34" s="49"/>
      <c r="G34" s="49"/>
      <c r="L34" s="6"/>
      <c r="M34" s="6"/>
      <c r="N34" s="6"/>
      <c r="O34" s="6"/>
      <c r="P34" s="6"/>
      <c r="Q34" s="6"/>
      <c r="R34" s="6"/>
      <c r="S34" s="6"/>
    </row>
    <row r="35" spans="1:19">
      <c r="F35" s="90" t="s">
        <v>33</v>
      </c>
      <c r="G35" s="90" t="s">
        <v>34</v>
      </c>
    </row>
    <row r="36" spans="1:19">
      <c r="E36" s="90" t="s">
        <v>38</v>
      </c>
      <c r="F36" s="4">
        <v>10</v>
      </c>
      <c r="G36" s="4">
        <v>4</v>
      </c>
    </row>
    <row r="37" spans="1:19">
      <c r="E37" s="90" t="s">
        <v>39</v>
      </c>
      <c r="F37" s="4">
        <v>2</v>
      </c>
      <c r="G37" s="4">
        <v>0</v>
      </c>
    </row>
    <row r="38" spans="1:19">
      <c r="E38" s="90" t="s">
        <v>40</v>
      </c>
      <c r="F38" s="4">
        <v>0</v>
      </c>
      <c r="G38" s="4">
        <v>0</v>
      </c>
    </row>
    <row r="39" spans="1:19">
      <c r="E39" s="90" t="s">
        <v>35</v>
      </c>
      <c r="F39" s="4">
        <v>1</v>
      </c>
      <c r="G39" s="4">
        <v>0</v>
      </c>
    </row>
    <row r="40" spans="1:19" s="84" customFormat="1">
      <c r="A40" s="4"/>
      <c r="B40" s="4"/>
      <c r="C40" s="4"/>
      <c r="D40" s="4"/>
      <c r="E40" s="90" t="s">
        <v>57</v>
      </c>
      <c r="F40" s="4"/>
      <c r="G40" s="4">
        <v>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s="84" customFormat="1">
      <c r="A41" s="4"/>
      <c r="B41" s="4"/>
      <c r="C41" s="4"/>
      <c r="D41" s="4"/>
      <c r="E41" s="90" t="s">
        <v>58</v>
      </c>
      <c r="F41" s="4"/>
      <c r="G41" s="4">
        <v>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E42" s="90" t="s">
        <v>36</v>
      </c>
      <c r="F42" s="4">
        <f>SUM(F36:F39)</f>
        <v>13</v>
      </c>
      <c r="G42" s="4">
        <f>SUM(G36:G41)</f>
        <v>6</v>
      </c>
    </row>
  </sheetData>
  <mergeCells count="3">
    <mergeCell ref="E3:G3"/>
    <mergeCell ref="H3:K3"/>
    <mergeCell ref="M15:O15"/>
  </mergeCells>
  <phoneticPr fontId="6" type="noConversion"/>
  <pageMargins left="0.7" right="0.7" top="0.75" bottom="0.75" header="0.3" footer="0.3"/>
  <pageSetup paperSize="9"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S43"/>
  <sheetViews>
    <sheetView topLeftCell="E13" zoomScale="85" zoomScaleNormal="85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5" width="5.88671875" style="4" customWidth="1"/>
    <col min="16" max="16" width="8.77734375" style="4" customWidth="1"/>
    <col min="17" max="17" width="8.88671875" style="4" customWidth="1"/>
    <col min="18" max="19" width="6.6640625" style="4" customWidth="1"/>
    <col min="20" max="16384" width="8.88671875" style="6"/>
  </cols>
  <sheetData>
    <row r="1" spans="3:19" s="6" customFormat="1" ht="19.149999999999999"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s="6" customFormat="1" ht="19.149999999999999">
      <c r="C2" s="5"/>
      <c r="D2" s="5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</row>
    <row r="3" spans="3:19" s="6" customFormat="1" ht="57">
      <c r="C3" s="5"/>
      <c r="D3" s="5"/>
      <c r="E3" s="1450">
        <v>42795</v>
      </c>
      <c r="F3" s="1450"/>
      <c r="G3" s="1450"/>
      <c r="H3" s="1451" t="s">
        <v>10</v>
      </c>
      <c r="I3" s="1452"/>
      <c r="J3" s="1452"/>
      <c r="K3" s="1452"/>
      <c r="L3" s="4"/>
      <c r="M3" s="4"/>
      <c r="N3" s="4"/>
      <c r="O3" s="4"/>
      <c r="P3" s="4"/>
      <c r="Q3" s="4"/>
      <c r="R3" s="4"/>
      <c r="S3" s="4"/>
    </row>
    <row r="4" spans="3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3:19" s="5" customFormat="1" ht="24.6" customHeight="1">
      <c r="E5" s="9"/>
      <c r="F5" s="10"/>
      <c r="G5" s="10"/>
      <c r="H5" s="35">
        <v>1</v>
      </c>
      <c r="I5" s="40">
        <v>2</v>
      </c>
      <c r="J5" s="40">
        <v>3</v>
      </c>
      <c r="K5" s="35">
        <v>4</v>
      </c>
      <c r="L5" s="4"/>
      <c r="M5" s="4"/>
      <c r="N5" s="4"/>
      <c r="R5" s="11"/>
      <c r="S5" s="4"/>
    </row>
    <row r="6" spans="3:19" s="5" customFormat="1" ht="24.6" customHeight="1">
      <c r="C6" s="12" t="s">
        <v>9</v>
      </c>
      <c r="D6" s="13"/>
      <c r="E6" s="14"/>
      <c r="F6" s="14"/>
      <c r="G6" s="14"/>
      <c r="H6" s="88" t="s">
        <v>59</v>
      </c>
      <c r="I6" s="45" t="s">
        <v>61</v>
      </c>
      <c r="J6" s="46" t="s">
        <v>63</v>
      </c>
      <c r="K6" s="14"/>
      <c r="L6" s="4"/>
      <c r="M6" s="4"/>
      <c r="N6" s="4"/>
      <c r="R6" s="11"/>
      <c r="S6" s="4"/>
    </row>
    <row r="7" spans="3:19" s="5" customFormat="1" ht="24.6" customHeight="1">
      <c r="C7" s="16" t="s">
        <v>7</v>
      </c>
      <c r="D7" s="13"/>
      <c r="E7" s="14"/>
      <c r="F7" s="14"/>
      <c r="G7" s="14"/>
      <c r="H7" s="36" t="s">
        <v>60</v>
      </c>
      <c r="I7" s="81" t="s">
        <v>62</v>
      </c>
      <c r="J7" s="14"/>
      <c r="K7" s="14"/>
      <c r="L7" s="4"/>
      <c r="M7" s="4"/>
      <c r="N7" s="4"/>
      <c r="R7" s="11"/>
      <c r="S7" s="4"/>
    </row>
    <row r="8" spans="3:19" s="5" customFormat="1" ht="24.6" customHeight="1">
      <c r="C8" s="17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3:19" s="5" customFormat="1" ht="24.6" customHeight="1">
      <c r="D9" s="13"/>
      <c r="E9" s="14"/>
      <c r="F9" s="14"/>
      <c r="G9" s="14"/>
      <c r="H9" s="14"/>
      <c r="I9" s="36"/>
      <c r="J9" s="14"/>
      <c r="K9" s="14"/>
      <c r="L9" s="4"/>
      <c r="M9" s="4"/>
      <c r="N9" s="4"/>
      <c r="R9" s="11"/>
      <c r="S9" s="4"/>
    </row>
    <row r="10" spans="3:19" s="6" customFormat="1" ht="24.6" customHeight="1">
      <c r="C10" s="5"/>
      <c r="D10" s="5"/>
      <c r="E10" s="23">
        <f>K5+1</f>
        <v>5</v>
      </c>
      <c r="F10" s="43">
        <f t="shared" ref="F10:K10" si="0">E10+1</f>
        <v>6</v>
      </c>
      <c r="G10" s="37">
        <f t="shared" si="0"/>
        <v>7</v>
      </c>
      <c r="H10" s="37">
        <f t="shared" si="0"/>
        <v>8</v>
      </c>
      <c r="I10" s="37">
        <f t="shared" si="0"/>
        <v>9</v>
      </c>
      <c r="J10" s="37">
        <f t="shared" si="0"/>
        <v>10</v>
      </c>
      <c r="K10" s="23">
        <f t="shared" si="0"/>
        <v>11</v>
      </c>
      <c r="L10" s="4"/>
      <c r="M10" s="4"/>
      <c r="N10" s="4"/>
      <c r="O10" s="4"/>
      <c r="P10" s="4"/>
      <c r="Q10" s="4"/>
      <c r="R10" s="4"/>
      <c r="S10" s="4"/>
    </row>
    <row r="11" spans="3:19" s="6" customFormat="1" ht="24.6" customHeight="1">
      <c r="C11" s="12" t="s">
        <v>9</v>
      </c>
      <c r="D11" s="13"/>
      <c r="E11" s="24"/>
      <c r="F11" s="45" t="s">
        <v>86</v>
      </c>
      <c r="G11" s="45" t="s">
        <v>65</v>
      </c>
      <c r="H11" s="88" t="s">
        <v>89</v>
      </c>
      <c r="I11" s="45" t="s">
        <v>68</v>
      </c>
      <c r="J11" s="45" t="s">
        <v>69</v>
      </c>
      <c r="K11" s="24"/>
      <c r="L11" s="4"/>
      <c r="M11" s="4"/>
      <c r="N11" s="4"/>
      <c r="O11" s="4"/>
      <c r="P11" s="4"/>
      <c r="Q11" s="4"/>
      <c r="R11" s="4"/>
      <c r="S11" s="4"/>
    </row>
    <row r="12" spans="3:19" s="6" customFormat="1" ht="24.6" customHeight="1">
      <c r="C12" s="16" t="s">
        <v>7</v>
      </c>
      <c r="D12" s="13"/>
      <c r="E12" s="24"/>
      <c r="F12" s="82" t="s">
        <v>64</v>
      </c>
      <c r="G12" s="82" t="s">
        <v>66</v>
      </c>
      <c r="H12" s="82" t="s">
        <v>67</v>
      </c>
      <c r="I12" s="89" t="s">
        <v>85</v>
      </c>
      <c r="J12" s="24"/>
      <c r="K12" s="24"/>
      <c r="L12" s="4"/>
      <c r="M12" s="4"/>
      <c r="N12" s="4"/>
      <c r="O12" s="4"/>
      <c r="P12" s="4"/>
      <c r="Q12" s="4"/>
      <c r="R12" s="4"/>
      <c r="S12" s="4"/>
    </row>
    <row r="13" spans="3:19" s="6" customFormat="1" ht="24.6" customHeight="1">
      <c r="C13" s="17" t="s">
        <v>8</v>
      </c>
      <c r="D13" s="13"/>
      <c r="E13" s="24"/>
      <c r="F13" s="32" t="s">
        <v>94</v>
      </c>
      <c r="G13" s="24"/>
      <c r="H13" s="24"/>
      <c r="I13" s="24"/>
      <c r="J13" s="24"/>
      <c r="K13" s="24"/>
      <c r="L13" s="4"/>
      <c r="M13" s="4"/>
      <c r="N13" s="4"/>
      <c r="O13" s="4"/>
      <c r="P13" s="4"/>
      <c r="Q13" s="4"/>
      <c r="R13" s="4"/>
      <c r="S13" s="4"/>
    </row>
    <row r="14" spans="3:19" s="6" customFormat="1" ht="24.6" customHeight="1">
      <c r="D14" s="13"/>
      <c r="E14" s="24"/>
      <c r="F14" s="24"/>
      <c r="G14" s="24"/>
      <c r="H14" s="24"/>
      <c r="I14" s="24"/>
      <c r="J14" s="24"/>
      <c r="K14" s="24"/>
      <c r="L14" s="4"/>
      <c r="M14" s="4"/>
      <c r="N14" s="4"/>
      <c r="O14" s="4"/>
      <c r="P14" s="4"/>
      <c r="Q14" s="4"/>
      <c r="R14" s="4"/>
      <c r="S14" s="4"/>
    </row>
    <row r="15" spans="3:19" s="6" customFormat="1" ht="24.6" customHeight="1">
      <c r="C15" s="5"/>
      <c r="D15" s="5"/>
      <c r="E15" s="26">
        <f>K10+1</f>
        <v>12</v>
      </c>
      <c r="F15" s="27">
        <f t="shared" ref="F15:K15" si="1">E15+1</f>
        <v>13</v>
      </c>
      <c r="G15" s="27">
        <f t="shared" si="1"/>
        <v>14</v>
      </c>
      <c r="H15" s="27">
        <f t="shared" si="1"/>
        <v>15</v>
      </c>
      <c r="I15" s="27">
        <f t="shared" si="1"/>
        <v>16</v>
      </c>
      <c r="J15" s="28">
        <f t="shared" si="1"/>
        <v>17</v>
      </c>
      <c r="K15" s="26">
        <f t="shared" si="1"/>
        <v>18</v>
      </c>
      <c r="L15" s="4"/>
      <c r="M15" s="1453"/>
      <c r="N15" s="1453"/>
      <c r="O15" s="1453"/>
      <c r="P15" s="4"/>
      <c r="Q15" s="4"/>
      <c r="R15" s="4"/>
      <c r="S15" s="4"/>
    </row>
    <row r="16" spans="3:19" s="6" customFormat="1" ht="24.6" customHeight="1">
      <c r="C16" s="12" t="s">
        <v>9</v>
      </c>
      <c r="D16" s="13"/>
      <c r="E16" s="14"/>
      <c r="F16" s="45" t="s">
        <v>96</v>
      </c>
      <c r="G16" s="45" t="s">
        <v>97</v>
      </c>
      <c r="H16" s="88" t="s">
        <v>98</v>
      </c>
      <c r="I16" s="45" t="s">
        <v>99</v>
      </c>
      <c r="J16" s="14"/>
      <c r="K16" s="14"/>
      <c r="L16" s="4"/>
      <c r="M16" s="4"/>
      <c r="N16" s="4"/>
      <c r="O16" s="4"/>
      <c r="P16" s="4"/>
      <c r="Q16" s="4"/>
      <c r="R16" s="4"/>
      <c r="S16" s="4"/>
    </row>
    <row r="17" spans="3:11" s="6" customFormat="1" ht="24.6" customHeight="1">
      <c r="C17" s="16" t="s">
        <v>7</v>
      </c>
      <c r="D17" s="13"/>
      <c r="E17" s="14"/>
      <c r="F17" s="83" t="s">
        <v>70</v>
      </c>
      <c r="G17" s="88" t="s">
        <v>71</v>
      </c>
      <c r="H17" s="79" t="s">
        <v>28</v>
      </c>
      <c r="I17" s="86" t="s">
        <v>63</v>
      </c>
      <c r="J17" s="14"/>
      <c r="K17" s="14"/>
    </row>
    <row r="18" spans="3:11" s="6" customFormat="1" ht="24.6" customHeight="1">
      <c r="C18" s="17" t="s">
        <v>8</v>
      </c>
      <c r="D18" s="13"/>
      <c r="E18" s="14"/>
      <c r="F18" s="36"/>
      <c r="G18" s="14"/>
      <c r="H18" s="33"/>
      <c r="I18" s="33"/>
      <c r="J18" s="14"/>
      <c r="K18" s="14"/>
    </row>
    <row r="19" spans="3:11" s="6" customFormat="1" ht="24.6" customHeight="1">
      <c r="D19" s="13"/>
      <c r="E19" s="14"/>
      <c r="F19" s="36"/>
      <c r="G19" s="87" t="s">
        <v>26</v>
      </c>
      <c r="H19" s="33"/>
      <c r="I19" s="33"/>
      <c r="J19" s="14"/>
      <c r="K19" s="14"/>
    </row>
    <row r="20" spans="3:11" s="6" customFormat="1" ht="24.6" customHeight="1">
      <c r="C20" s="5"/>
      <c r="D20" s="5"/>
      <c r="E20" s="23">
        <f>K15+1</f>
        <v>19</v>
      </c>
      <c r="F20" s="37">
        <f t="shared" ref="F20:K20" si="2">E20+1</f>
        <v>20</v>
      </c>
      <c r="G20" s="37">
        <f t="shared" si="2"/>
        <v>21</v>
      </c>
      <c r="H20" s="37">
        <f t="shared" si="2"/>
        <v>22</v>
      </c>
      <c r="I20" s="37">
        <f t="shared" si="2"/>
        <v>23</v>
      </c>
      <c r="J20" s="37">
        <f t="shared" si="2"/>
        <v>24</v>
      </c>
      <c r="K20" s="23">
        <f t="shared" si="2"/>
        <v>25</v>
      </c>
    </row>
    <row r="21" spans="3:11" s="6" customFormat="1" ht="24.6" customHeight="1">
      <c r="C21" s="12" t="s">
        <v>9</v>
      </c>
      <c r="D21" s="13"/>
      <c r="E21" s="24"/>
      <c r="F21" s="45" t="s">
        <v>100</v>
      </c>
      <c r="G21" s="44" t="s">
        <v>101</v>
      </c>
      <c r="H21" s="88" t="s">
        <v>102</v>
      </c>
      <c r="I21" s="88" t="s">
        <v>103</v>
      </c>
      <c r="J21" s="45" t="s">
        <v>104</v>
      </c>
      <c r="K21" s="24"/>
    </row>
    <row r="22" spans="3:11" s="6" customFormat="1" ht="24.6" customHeight="1">
      <c r="C22" s="16" t="s">
        <v>7</v>
      </c>
      <c r="D22" s="13"/>
      <c r="E22" s="24"/>
      <c r="F22" s="88" t="s">
        <v>87</v>
      </c>
      <c r="G22" s="88" t="s">
        <v>88</v>
      </c>
      <c r="H22" s="88" t="s">
        <v>89</v>
      </c>
      <c r="I22" s="88" t="s">
        <v>68</v>
      </c>
      <c r="K22" s="24"/>
    </row>
    <row r="23" spans="3:11" s="6" customFormat="1" ht="24.6" customHeight="1">
      <c r="C23" s="17" t="s">
        <v>8</v>
      </c>
      <c r="D23" s="13"/>
      <c r="E23" s="24"/>
      <c r="F23" s="32" t="s">
        <v>94</v>
      </c>
      <c r="G23" s="84"/>
      <c r="H23" s="24"/>
      <c r="I23" s="24"/>
      <c r="K23" s="24"/>
    </row>
    <row r="24" spans="3:11" s="6" customFormat="1" ht="24.6" customHeight="1">
      <c r="C24" s="30"/>
      <c r="D24" s="13"/>
      <c r="E24" s="24"/>
      <c r="F24" s="24"/>
      <c r="G24" s="87" t="s">
        <v>29</v>
      </c>
      <c r="H24" s="24"/>
      <c r="I24" s="24"/>
      <c r="K24" s="24"/>
    </row>
    <row r="25" spans="3:11" s="6" customFormat="1" ht="24.6" customHeight="1">
      <c r="C25" s="30"/>
      <c r="D25" s="13"/>
      <c r="E25" s="31">
        <f>K20+1</f>
        <v>26</v>
      </c>
      <c r="F25" s="27">
        <f>E25+1</f>
        <v>27</v>
      </c>
      <c r="G25" s="27">
        <f>F25+1</f>
        <v>28</v>
      </c>
      <c r="H25" s="27">
        <f>G25+1</f>
        <v>29</v>
      </c>
      <c r="I25" s="27">
        <f>H25+1</f>
        <v>30</v>
      </c>
      <c r="J25" s="27">
        <f>I25+1</f>
        <v>31</v>
      </c>
      <c r="K25" s="27"/>
    </row>
    <row r="26" spans="3:11" s="6" customFormat="1" ht="24.6" customHeight="1">
      <c r="C26" s="12" t="s">
        <v>9</v>
      </c>
      <c r="D26" s="13"/>
      <c r="E26" s="38"/>
      <c r="F26" s="88" t="s">
        <v>115</v>
      </c>
      <c r="G26" s="44" t="s">
        <v>116</v>
      </c>
      <c r="H26" s="93" t="s">
        <v>117</v>
      </c>
      <c r="I26" s="88" t="s">
        <v>118</v>
      </c>
      <c r="J26" s="91" t="s">
        <v>119</v>
      </c>
      <c r="K26" s="39"/>
    </row>
    <row r="27" spans="3:11" s="6" customFormat="1" ht="24.6" customHeight="1">
      <c r="C27" s="16" t="s">
        <v>7</v>
      </c>
      <c r="D27" s="13"/>
      <c r="E27" s="38"/>
      <c r="F27" s="88" t="s">
        <v>69</v>
      </c>
      <c r="G27" s="88" t="s">
        <v>107</v>
      </c>
      <c r="H27" s="88" t="s">
        <v>108</v>
      </c>
      <c r="I27" s="88" t="s">
        <v>109</v>
      </c>
      <c r="J27" s="14"/>
      <c r="K27" s="14"/>
    </row>
    <row r="28" spans="3:11" s="6" customFormat="1" ht="24.6" customHeight="1">
      <c r="C28" s="17" t="s">
        <v>8</v>
      </c>
      <c r="D28" s="13"/>
      <c r="E28" s="38"/>
      <c r="F28" s="36" t="s">
        <v>31</v>
      </c>
      <c r="G28" s="38"/>
      <c r="H28" s="36"/>
      <c r="I28" s="14"/>
      <c r="J28" s="14"/>
      <c r="K28" s="14"/>
    </row>
    <row r="29" spans="3:11" s="6" customFormat="1" ht="24.6" customHeight="1">
      <c r="D29" s="13"/>
      <c r="E29" s="36"/>
      <c r="F29" s="36"/>
      <c r="G29" s="87" t="s">
        <v>27</v>
      </c>
      <c r="H29" s="14"/>
      <c r="I29" s="14"/>
      <c r="J29" s="14"/>
      <c r="K29" s="14"/>
    </row>
    <row r="30" spans="3:11" s="6" customFormat="1" ht="24.6" customHeight="1">
      <c r="C30" s="5"/>
      <c r="D30" s="5"/>
      <c r="E30" s="23"/>
      <c r="F30" s="37"/>
      <c r="G30" s="37"/>
      <c r="H30" s="37"/>
      <c r="I30" s="37"/>
      <c r="J30" s="37"/>
      <c r="K30" s="23"/>
    </row>
    <row r="31" spans="3:11" s="6" customFormat="1" ht="24.6" customHeight="1">
      <c r="C31" s="12" t="s">
        <v>9</v>
      </c>
      <c r="D31" s="13"/>
      <c r="E31" s="24"/>
      <c r="F31" s="24"/>
      <c r="G31" s="32"/>
      <c r="H31" s="24"/>
      <c r="I31" s="32"/>
      <c r="K31" s="32"/>
    </row>
    <row r="32" spans="3:11" s="6" customFormat="1" ht="24.6" customHeight="1">
      <c r="C32" s="16" t="s">
        <v>7</v>
      </c>
      <c r="D32" s="13"/>
      <c r="E32" s="24"/>
      <c r="F32" s="24"/>
      <c r="G32" s="32"/>
      <c r="H32" s="24"/>
      <c r="I32" s="32"/>
      <c r="K32" s="32"/>
    </row>
    <row r="33" spans="1:19" ht="24.6" customHeight="1">
      <c r="A33" s="6"/>
      <c r="B33" s="6"/>
      <c r="C33" s="50" t="s">
        <v>8</v>
      </c>
      <c r="D33" s="47"/>
      <c r="E33" s="48"/>
      <c r="F33" s="24"/>
      <c r="G33" s="24"/>
      <c r="H33" s="48"/>
      <c r="I33" s="48"/>
      <c r="J33" s="51"/>
      <c r="K33" s="48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/>
      <c r="E34" s="49"/>
      <c r="F34" s="49"/>
      <c r="G34" s="49"/>
      <c r="L34" s="6"/>
      <c r="M34" s="6"/>
      <c r="N34" s="6"/>
      <c r="O34" s="6"/>
      <c r="P34" s="6"/>
      <c r="Q34" s="6"/>
      <c r="R34" s="6"/>
      <c r="S34" s="6"/>
    </row>
    <row r="35" spans="1:19">
      <c r="G35" s="90" t="s">
        <v>33</v>
      </c>
      <c r="H35" s="90" t="s">
        <v>34</v>
      </c>
    </row>
    <row r="36" spans="1:19">
      <c r="F36" s="90" t="s">
        <v>41</v>
      </c>
      <c r="G36" s="4">
        <v>17</v>
      </c>
      <c r="H36" s="4">
        <v>14</v>
      </c>
    </row>
    <row r="37" spans="1:19">
      <c r="F37" s="90" t="s">
        <v>42</v>
      </c>
      <c r="G37" s="4">
        <v>2</v>
      </c>
      <c r="H37" s="4">
        <v>1</v>
      </c>
    </row>
    <row r="38" spans="1:19" s="84" customFormat="1">
      <c r="A38" s="4"/>
      <c r="B38" s="4"/>
      <c r="C38" s="4"/>
      <c r="D38" s="4"/>
      <c r="E38" s="4"/>
      <c r="F38" s="90" t="s">
        <v>12</v>
      </c>
      <c r="G38" s="4">
        <v>1</v>
      </c>
      <c r="H38" s="4">
        <v>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F39" s="90" t="s">
        <v>74</v>
      </c>
      <c r="G39" s="4">
        <v>0</v>
      </c>
      <c r="H39" s="4">
        <v>1</v>
      </c>
    </row>
    <row r="40" spans="1:19" s="84" customFormat="1">
      <c r="A40" s="4"/>
      <c r="B40" s="4"/>
      <c r="C40" s="4"/>
      <c r="D40" s="4"/>
      <c r="E40" s="4"/>
      <c r="F40" s="90" t="s">
        <v>37</v>
      </c>
      <c r="G40" s="4">
        <v>0</v>
      </c>
      <c r="H40" s="4">
        <v>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F41" s="90" t="s">
        <v>73</v>
      </c>
      <c r="G41" s="4">
        <v>1</v>
      </c>
      <c r="H41" s="4">
        <v>0</v>
      </c>
    </row>
    <row r="42" spans="1:19">
      <c r="F42" s="90" t="s">
        <v>106</v>
      </c>
      <c r="G42" s="4">
        <v>1</v>
      </c>
      <c r="H42" s="4">
        <v>1</v>
      </c>
    </row>
    <row r="43" spans="1:19">
      <c r="F43" s="90" t="s">
        <v>36</v>
      </c>
      <c r="G43" s="4">
        <f>SUM(G36:G42)</f>
        <v>22</v>
      </c>
      <c r="H43" s="4">
        <f>SUM(H36:H42)</f>
        <v>19</v>
      </c>
    </row>
  </sheetData>
  <mergeCells count="3">
    <mergeCell ref="E3:G3"/>
    <mergeCell ref="H3:K3"/>
    <mergeCell ref="M15:O15"/>
  </mergeCells>
  <phoneticPr fontId="6" type="noConversion"/>
  <pageMargins left="0.7" right="0.7" top="0.75" bottom="0.75" header="0.3" footer="0.3"/>
  <pageSetup paperSize="9" scale="51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43"/>
  <sheetViews>
    <sheetView topLeftCell="D7" zoomScale="70" zoomScaleNormal="70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3:19" s="6" customFormat="1" ht="19.149999999999999"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s="6" customFormat="1" ht="19.149999999999999">
      <c r="C2" s="5"/>
      <c r="D2" s="5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</row>
    <row r="3" spans="3:19" s="6" customFormat="1" ht="57">
      <c r="C3" s="5"/>
      <c r="D3" s="5"/>
      <c r="E3" s="1450">
        <v>42826</v>
      </c>
      <c r="F3" s="1450"/>
      <c r="G3" s="1450"/>
      <c r="H3" s="1451" t="s">
        <v>10</v>
      </c>
      <c r="I3" s="1452"/>
      <c r="J3" s="1452"/>
      <c r="K3" s="1452"/>
      <c r="L3" s="4"/>
      <c r="M3" s="4"/>
      <c r="N3" s="4"/>
      <c r="O3" s="4"/>
      <c r="P3" s="4"/>
      <c r="Q3" s="4"/>
      <c r="R3" s="4"/>
      <c r="S3" s="4"/>
    </row>
    <row r="4" spans="3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3:19" s="5" customFormat="1" ht="24.6" customHeight="1">
      <c r="E5" s="9"/>
      <c r="F5" s="10"/>
      <c r="G5" s="10"/>
      <c r="H5" s="35"/>
      <c r="I5" s="40"/>
      <c r="J5" s="40"/>
      <c r="K5" s="35">
        <v>1</v>
      </c>
      <c r="L5" s="4"/>
      <c r="M5" s="4"/>
      <c r="N5" s="4"/>
      <c r="R5" s="11"/>
      <c r="S5" s="4"/>
    </row>
    <row r="6" spans="3:19" s="5" customFormat="1" ht="24.6" customHeight="1">
      <c r="C6" s="12" t="s">
        <v>9</v>
      </c>
      <c r="D6" s="13"/>
      <c r="E6" s="14"/>
      <c r="F6" s="14"/>
      <c r="G6" s="14"/>
      <c r="H6" s="14"/>
      <c r="I6" s="36"/>
      <c r="J6" s="14"/>
      <c r="K6" s="14"/>
      <c r="L6" s="4"/>
      <c r="M6" s="4"/>
      <c r="N6" s="4"/>
      <c r="R6" s="11"/>
      <c r="S6" s="4"/>
    </row>
    <row r="7" spans="3:19" s="5" customFormat="1" ht="24.6" customHeight="1">
      <c r="C7" s="16" t="s">
        <v>7</v>
      </c>
      <c r="D7" s="13"/>
      <c r="E7" s="14"/>
      <c r="F7" s="14"/>
      <c r="G7" s="14"/>
      <c r="H7" s="14"/>
      <c r="I7" s="36"/>
      <c r="J7" s="14"/>
      <c r="K7" s="14"/>
      <c r="L7" s="4"/>
      <c r="M7" s="4"/>
      <c r="N7" s="4"/>
      <c r="R7" s="11"/>
      <c r="S7" s="4"/>
    </row>
    <row r="8" spans="3:19" s="5" customFormat="1" ht="24.6" customHeight="1">
      <c r="C8" s="17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3:19" s="5" customFormat="1" ht="24.6" customHeight="1">
      <c r="D9" s="13"/>
      <c r="E9" s="14"/>
      <c r="F9" s="14"/>
      <c r="G9" s="14"/>
      <c r="H9" s="14"/>
      <c r="I9" s="36"/>
      <c r="J9" s="14"/>
      <c r="K9" s="14"/>
      <c r="L9" s="4"/>
      <c r="M9" s="4"/>
      <c r="N9" s="4"/>
      <c r="R9" s="11"/>
      <c r="S9" s="4"/>
    </row>
    <row r="10" spans="3:19" s="6" customFormat="1" ht="24.6" customHeight="1">
      <c r="C10" s="5"/>
      <c r="D10" s="5"/>
      <c r="E10" s="23">
        <f>K5+1</f>
        <v>2</v>
      </c>
      <c r="F10" s="57">
        <f t="shared" ref="F10:K10" si="0">E10+1</f>
        <v>3</v>
      </c>
      <c r="G10" s="37">
        <f t="shared" si="0"/>
        <v>4</v>
      </c>
      <c r="H10" s="37">
        <f t="shared" si="0"/>
        <v>5</v>
      </c>
      <c r="I10" s="37">
        <f t="shared" si="0"/>
        <v>6</v>
      </c>
      <c r="J10" s="37">
        <f t="shared" si="0"/>
        <v>7</v>
      </c>
      <c r="K10" s="23">
        <f t="shared" si="0"/>
        <v>8</v>
      </c>
      <c r="L10" s="4"/>
      <c r="M10" s="4"/>
      <c r="N10" s="4"/>
      <c r="O10" s="4"/>
      <c r="P10" s="4"/>
      <c r="Q10" s="4"/>
      <c r="R10" s="4"/>
      <c r="S10" s="4"/>
    </row>
    <row r="11" spans="3:19" s="6" customFormat="1" ht="24.6" customHeight="1">
      <c r="C11" s="12" t="s">
        <v>9</v>
      </c>
      <c r="D11" s="13"/>
      <c r="E11" s="24"/>
      <c r="F11" s="45" t="s">
        <v>125</v>
      </c>
      <c r="G11" s="45" t="s">
        <v>122</v>
      </c>
      <c r="H11" s="88" t="s">
        <v>126</v>
      </c>
      <c r="I11" s="45" t="s">
        <v>127</v>
      </c>
      <c r="J11" s="45" t="s">
        <v>128</v>
      </c>
      <c r="K11" s="24"/>
      <c r="L11" s="4"/>
      <c r="M11" s="4"/>
      <c r="N11" s="4"/>
      <c r="O11" s="4"/>
      <c r="P11" s="4"/>
      <c r="Q11" s="4"/>
      <c r="R11" s="4"/>
      <c r="S11" s="4"/>
    </row>
    <row r="12" spans="3:19" s="6" customFormat="1" ht="24.6" customHeight="1">
      <c r="C12" s="16" t="s">
        <v>7</v>
      </c>
      <c r="D12" s="13"/>
      <c r="E12" s="24"/>
      <c r="F12" s="85" t="s">
        <v>110</v>
      </c>
      <c r="G12" s="88" t="s">
        <v>111</v>
      </c>
      <c r="H12" s="88" t="s">
        <v>102</v>
      </c>
      <c r="I12" s="88" t="s">
        <v>112</v>
      </c>
      <c r="J12" s="88" t="s">
        <v>104</v>
      </c>
      <c r="K12" s="88" t="s">
        <v>113</v>
      </c>
      <c r="L12" s="4"/>
      <c r="M12" s="4"/>
      <c r="N12" s="4"/>
      <c r="O12" s="4"/>
      <c r="P12" s="4"/>
      <c r="Q12" s="4"/>
      <c r="R12" s="4"/>
      <c r="S12" s="4"/>
    </row>
    <row r="13" spans="3:19" s="6" customFormat="1" ht="24.6" customHeight="1">
      <c r="C13" s="17" t="s">
        <v>8</v>
      </c>
      <c r="D13" s="13"/>
      <c r="E13" s="24"/>
      <c r="F13" s="32" t="s">
        <v>95</v>
      </c>
      <c r="G13" s="24"/>
      <c r="H13" s="24"/>
      <c r="I13" s="24"/>
      <c r="J13" s="24"/>
      <c r="K13" s="24"/>
      <c r="L13" s="4"/>
      <c r="M13" s="4"/>
      <c r="N13" s="4"/>
      <c r="O13" s="4"/>
      <c r="P13" s="4"/>
      <c r="Q13" s="4"/>
      <c r="R13" s="4"/>
      <c r="S13" s="4"/>
    </row>
    <row r="14" spans="3:19" s="6" customFormat="1" ht="24.6" customHeight="1">
      <c r="D14" s="13"/>
      <c r="E14" s="24"/>
      <c r="F14" s="24"/>
      <c r="G14" s="24"/>
      <c r="H14" s="24"/>
      <c r="I14" s="24"/>
      <c r="J14" s="24"/>
      <c r="K14" s="24"/>
      <c r="L14" s="4"/>
      <c r="M14" s="4"/>
      <c r="N14" s="4"/>
      <c r="O14" s="4"/>
      <c r="P14" s="4"/>
      <c r="Q14" s="4"/>
      <c r="R14" s="4"/>
      <c r="S14" s="4"/>
    </row>
    <row r="15" spans="3:19" s="6" customFormat="1" ht="24.6" customHeight="1">
      <c r="C15" s="5"/>
      <c r="D15" s="5"/>
      <c r="E15" s="26">
        <f>K10+1</f>
        <v>9</v>
      </c>
      <c r="F15" s="27">
        <f t="shared" ref="F15:K15" si="1">E15+1</f>
        <v>10</v>
      </c>
      <c r="G15" s="27">
        <f t="shared" si="1"/>
        <v>11</v>
      </c>
      <c r="H15" s="27">
        <f t="shared" si="1"/>
        <v>12</v>
      </c>
      <c r="I15" s="27">
        <f t="shared" si="1"/>
        <v>13</v>
      </c>
      <c r="J15" s="27">
        <f t="shared" si="1"/>
        <v>14</v>
      </c>
      <c r="K15" s="52">
        <f t="shared" si="1"/>
        <v>15</v>
      </c>
      <c r="L15" s="4"/>
      <c r="M15" s="1453"/>
      <c r="N15" s="1453"/>
      <c r="O15" s="1453"/>
      <c r="P15" s="4"/>
      <c r="Q15" s="4"/>
      <c r="R15" s="4"/>
      <c r="S15" s="4"/>
    </row>
    <row r="16" spans="3:19" s="6" customFormat="1" ht="24.6" customHeight="1">
      <c r="C16" s="12" t="s">
        <v>9</v>
      </c>
      <c r="D16" s="13"/>
      <c r="E16" s="88" t="s">
        <v>136</v>
      </c>
      <c r="F16" s="94" t="s">
        <v>120</v>
      </c>
      <c r="G16" s="45" t="s">
        <v>135</v>
      </c>
      <c r="H16" s="33"/>
      <c r="I16" s="45" t="s">
        <v>132</v>
      </c>
      <c r="J16" s="33"/>
      <c r="K16" s="14"/>
      <c r="L16" s="4"/>
      <c r="M16" s="4"/>
      <c r="N16" s="4"/>
      <c r="O16" s="4"/>
      <c r="P16" s="4"/>
      <c r="Q16" s="4"/>
      <c r="R16" s="4"/>
      <c r="S16" s="4"/>
    </row>
    <row r="17" spans="3:11" s="6" customFormat="1" ht="24.6" customHeight="1">
      <c r="C17" s="16" t="s">
        <v>7</v>
      </c>
      <c r="D17" s="13"/>
      <c r="E17" s="14"/>
      <c r="F17" s="89" t="s">
        <v>101</v>
      </c>
      <c r="G17" s="89" t="s">
        <v>114</v>
      </c>
      <c r="H17" s="88" t="s">
        <v>118</v>
      </c>
      <c r="I17" s="88" t="s">
        <v>121</v>
      </c>
      <c r="J17" s="88" t="s">
        <v>122</v>
      </c>
      <c r="K17" s="88" t="s">
        <v>122</v>
      </c>
    </row>
    <row r="18" spans="3:11" s="6" customFormat="1" ht="24.6" customHeight="1">
      <c r="C18" s="17" t="s">
        <v>8</v>
      </c>
      <c r="D18" s="13"/>
      <c r="E18" s="14"/>
      <c r="F18" s="36"/>
      <c r="G18" s="14"/>
      <c r="H18" s="33"/>
      <c r="I18" s="33"/>
      <c r="J18" s="36" t="s">
        <v>130</v>
      </c>
      <c r="K18" s="14"/>
    </row>
    <row r="19" spans="3:11" s="6" customFormat="1" ht="24.6" customHeight="1">
      <c r="D19" s="13"/>
      <c r="E19" s="14"/>
      <c r="F19" s="36"/>
      <c r="G19" s="14"/>
      <c r="H19" s="33"/>
      <c r="I19" s="33"/>
      <c r="J19" s="14"/>
      <c r="K19" s="14"/>
    </row>
    <row r="20" spans="3:11" s="6" customFormat="1" ht="24.6" customHeight="1">
      <c r="C20" s="5"/>
      <c r="D20" s="5"/>
      <c r="E20" s="23">
        <f>K15+1</f>
        <v>16</v>
      </c>
      <c r="F20" s="37">
        <f t="shared" ref="F20:K20" si="2">E20+1</f>
        <v>17</v>
      </c>
      <c r="G20" s="37">
        <f t="shared" si="2"/>
        <v>18</v>
      </c>
      <c r="H20" s="37">
        <f t="shared" si="2"/>
        <v>19</v>
      </c>
      <c r="I20" s="37">
        <f t="shared" si="2"/>
        <v>20</v>
      </c>
      <c r="J20" s="37">
        <f t="shared" si="2"/>
        <v>21</v>
      </c>
      <c r="K20" s="23">
        <f t="shared" si="2"/>
        <v>22</v>
      </c>
    </row>
    <row r="21" spans="3:11" s="6" customFormat="1" ht="24.6" customHeight="1">
      <c r="C21" s="12" t="s">
        <v>9</v>
      </c>
      <c r="D21" s="13"/>
      <c r="E21" s="24"/>
      <c r="F21" s="88" t="s">
        <v>133</v>
      </c>
      <c r="G21" s="89" t="s">
        <v>143</v>
      </c>
      <c r="H21" s="88" t="s">
        <v>134</v>
      </c>
      <c r="I21" s="89" t="s">
        <v>144</v>
      </c>
      <c r="J21" s="94" t="s">
        <v>120</v>
      </c>
      <c r="K21" s="32"/>
    </row>
    <row r="22" spans="3:11" s="6" customFormat="1" ht="24.6" customHeight="1">
      <c r="C22" s="16" t="s">
        <v>7</v>
      </c>
      <c r="D22" s="13"/>
      <c r="E22" s="24"/>
      <c r="F22" s="88" t="s">
        <v>126</v>
      </c>
      <c r="G22" s="24"/>
      <c r="H22" s="88" t="s">
        <v>128</v>
      </c>
      <c r="I22" s="88" t="s">
        <v>141</v>
      </c>
      <c r="J22" s="84"/>
      <c r="K22" s="24"/>
    </row>
    <row r="23" spans="3:11" s="6" customFormat="1" ht="24.6" customHeight="1">
      <c r="C23" s="17" t="s">
        <v>8</v>
      </c>
      <c r="D23" s="13"/>
      <c r="E23" s="24"/>
      <c r="F23" s="24"/>
      <c r="G23" s="24"/>
      <c r="H23" s="24"/>
      <c r="I23" s="24"/>
      <c r="K23" s="24"/>
    </row>
    <row r="24" spans="3:11" s="6" customFormat="1" ht="24.6" customHeight="1">
      <c r="C24" s="30"/>
      <c r="D24" s="13"/>
      <c r="E24" s="24"/>
      <c r="F24" s="24"/>
      <c r="G24" s="24"/>
      <c r="H24" s="24"/>
      <c r="I24" s="24"/>
      <c r="K24" s="24"/>
    </row>
    <row r="25" spans="3:11" s="6" customFormat="1" ht="24.6" customHeight="1">
      <c r="C25" s="30"/>
      <c r="D25" s="13"/>
      <c r="E25" s="31">
        <f>K20+1</f>
        <v>23</v>
      </c>
      <c r="F25" s="27">
        <f t="shared" ref="F25:K25" si="3">E25+1</f>
        <v>24</v>
      </c>
      <c r="G25" s="27">
        <f t="shared" si="3"/>
        <v>25</v>
      </c>
      <c r="H25" s="27">
        <f t="shared" si="3"/>
        <v>26</v>
      </c>
      <c r="I25" s="27">
        <f t="shared" si="3"/>
        <v>27</v>
      </c>
      <c r="J25" s="27">
        <f t="shared" si="3"/>
        <v>28</v>
      </c>
      <c r="K25" s="27">
        <f t="shared" si="3"/>
        <v>29</v>
      </c>
    </row>
    <row r="26" spans="3:11" s="6" customFormat="1" ht="24.6" customHeight="1">
      <c r="C26" s="12" t="s">
        <v>9</v>
      </c>
      <c r="D26" s="13"/>
      <c r="E26" s="38"/>
      <c r="F26" s="96" t="s">
        <v>142</v>
      </c>
      <c r="G26" s="44" t="s">
        <v>154</v>
      </c>
      <c r="H26" s="45" t="s">
        <v>160</v>
      </c>
      <c r="I26" s="44" t="s">
        <v>155</v>
      </c>
      <c r="J26" s="88" t="s">
        <v>161</v>
      </c>
      <c r="K26" s="39"/>
    </row>
    <row r="27" spans="3:11" s="6" customFormat="1" ht="24.6" customHeight="1">
      <c r="C27" s="16" t="s">
        <v>7</v>
      </c>
      <c r="D27" s="13"/>
      <c r="E27" s="38"/>
      <c r="F27" s="92" t="s">
        <v>72</v>
      </c>
      <c r="G27" s="88" t="s">
        <v>132</v>
      </c>
      <c r="H27" s="88" t="s">
        <v>133</v>
      </c>
      <c r="I27" s="88" t="s">
        <v>134</v>
      </c>
      <c r="J27" s="14"/>
      <c r="K27" s="14"/>
    </row>
    <row r="28" spans="3:11" s="6" customFormat="1" ht="24.6" customHeight="1">
      <c r="C28" s="17" t="s">
        <v>8</v>
      </c>
      <c r="D28" s="13"/>
      <c r="E28" s="38"/>
      <c r="F28" s="38"/>
      <c r="G28" s="38"/>
      <c r="H28" s="14"/>
      <c r="I28" s="14"/>
      <c r="J28" s="14"/>
      <c r="K28" s="14"/>
    </row>
    <row r="29" spans="3:11" s="6" customFormat="1" ht="24.6" customHeight="1">
      <c r="D29" s="13"/>
      <c r="E29" s="36"/>
      <c r="F29" s="14"/>
      <c r="G29" s="14"/>
      <c r="H29" s="14"/>
      <c r="I29" s="14"/>
      <c r="J29" s="14"/>
      <c r="K29" s="14"/>
    </row>
    <row r="30" spans="3:11" s="6" customFormat="1" ht="24.6" customHeight="1">
      <c r="C30" s="5"/>
      <c r="D30" s="5"/>
      <c r="E30" s="23">
        <v>30</v>
      </c>
      <c r="F30" s="37"/>
      <c r="G30" s="37"/>
      <c r="H30" s="37"/>
      <c r="I30" s="37"/>
      <c r="J30" s="37"/>
      <c r="K30" s="23"/>
    </row>
    <row r="31" spans="3:11" s="6" customFormat="1" ht="24.6" customHeight="1">
      <c r="C31" s="12" t="s">
        <v>9</v>
      </c>
      <c r="D31" s="13"/>
      <c r="E31" s="24"/>
      <c r="F31" s="24"/>
      <c r="G31" s="32"/>
      <c r="H31" s="24"/>
      <c r="I31" s="32"/>
      <c r="K31" s="32"/>
    </row>
    <row r="32" spans="3:11" s="6" customFormat="1" ht="24.6" customHeight="1">
      <c r="C32" s="16" t="s">
        <v>7</v>
      </c>
      <c r="D32" s="13"/>
      <c r="E32" s="24"/>
      <c r="F32" s="24"/>
      <c r="G32" s="32"/>
      <c r="H32" s="24"/>
      <c r="I32" s="32"/>
      <c r="K32" s="32"/>
    </row>
    <row r="33" spans="1:19" ht="24.6" customHeight="1">
      <c r="A33" s="6"/>
      <c r="B33" s="6"/>
      <c r="C33" s="50" t="s">
        <v>8</v>
      </c>
      <c r="D33" s="47"/>
      <c r="E33" s="48"/>
      <c r="F33" s="24"/>
      <c r="G33" s="24"/>
      <c r="H33" s="48"/>
      <c r="I33" s="48"/>
      <c r="J33" s="51"/>
      <c r="K33" s="48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/>
      <c r="E34" s="49"/>
      <c r="F34" s="49"/>
      <c r="G34" s="49"/>
      <c r="L34" s="6"/>
      <c r="M34" s="6"/>
      <c r="N34" s="6"/>
      <c r="O34" s="6"/>
      <c r="P34" s="6"/>
      <c r="Q34" s="6"/>
      <c r="R34" s="6"/>
      <c r="S34" s="6"/>
    </row>
    <row r="35" spans="1:19">
      <c r="G35" s="90" t="s">
        <v>33</v>
      </c>
      <c r="H35" s="90" t="s">
        <v>34</v>
      </c>
    </row>
    <row r="36" spans="1:19">
      <c r="F36" s="90" t="s">
        <v>41</v>
      </c>
      <c r="G36" s="4">
        <v>12</v>
      </c>
      <c r="H36" s="4">
        <v>16</v>
      </c>
    </row>
    <row r="37" spans="1:19">
      <c r="F37" s="90" t="s">
        <v>44</v>
      </c>
      <c r="G37" s="4">
        <v>4</v>
      </c>
      <c r="H37" s="4">
        <v>2</v>
      </c>
    </row>
    <row r="38" spans="1:19">
      <c r="F38" s="90" t="s">
        <v>43</v>
      </c>
      <c r="G38" s="4">
        <v>0</v>
      </c>
      <c r="H38" s="4">
        <v>0</v>
      </c>
    </row>
    <row r="39" spans="1:19" s="84" customFormat="1">
      <c r="A39" s="4"/>
      <c r="B39" s="4"/>
      <c r="C39" s="4"/>
      <c r="D39" s="4"/>
      <c r="E39" s="4"/>
      <c r="F39" s="90" t="s">
        <v>123</v>
      </c>
      <c r="G39" s="4">
        <v>2</v>
      </c>
      <c r="H39" s="4"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s="84" customFormat="1">
      <c r="A40" s="4"/>
      <c r="B40" s="4"/>
      <c r="C40" s="4"/>
      <c r="D40" s="4"/>
      <c r="E40" s="4"/>
      <c r="F40" s="90" t="s">
        <v>75</v>
      </c>
      <c r="G40" s="4">
        <v>1</v>
      </c>
      <c r="H40" s="4">
        <v>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s="84" customFormat="1">
      <c r="A41" s="4"/>
      <c r="B41" s="4"/>
      <c r="C41" s="4"/>
      <c r="D41" s="4"/>
      <c r="E41" s="4"/>
      <c r="F41" s="90" t="s">
        <v>131</v>
      </c>
      <c r="G41" s="4">
        <v>0</v>
      </c>
      <c r="H41" s="4">
        <v>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s="84" customFormat="1">
      <c r="A42" s="4"/>
      <c r="B42" s="4"/>
      <c r="C42" s="4"/>
      <c r="D42" s="4"/>
      <c r="E42" s="4"/>
      <c r="F42" s="90" t="s">
        <v>124</v>
      </c>
      <c r="G42" s="4">
        <v>0</v>
      </c>
      <c r="H42" s="4"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F43" s="90" t="s">
        <v>36</v>
      </c>
      <c r="G43" s="4">
        <f>SUM(G36:G42)</f>
        <v>19</v>
      </c>
      <c r="H43" s="4">
        <f>SUM(H36:H42)</f>
        <v>19</v>
      </c>
    </row>
  </sheetData>
  <mergeCells count="3">
    <mergeCell ref="E3:G3"/>
    <mergeCell ref="H3:K3"/>
    <mergeCell ref="M15:O15"/>
  </mergeCells>
  <phoneticPr fontId="6" type="noConversion"/>
  <pageMargins left="0.7" right="0.7" top="0.75" bottom="0.75" header="0.3" footer="0.3"/>
  <pageSetup paperSize="9"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S40"/>
  <sheetViews>
    <sheetView topLeftCell="G4" zoomScale="70" zoomScaleNormal="70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3:19" s="6" customFormat="1" ht="19.149999999999999"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s="6" customFormat="1" ht="19.149999999999999">
      <c r="C2" s="5"/>
      <c r="D2" s="5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</row>
    <row r="3" spans="3:19" s="6" customFormat="1" ht="57">
      <c r="C3" s="5"/>
      <c r="D3" s="5"/>
      <c r="E3" s="1450">
        <v>42856</v>
      </c>
      <c r="F3" s="1450"/>
      <c r="G3" s="1450"/>
      <c r="H3" s="1451" t="s">
        <v>10</v>
      </c>
      <c r="I3" s="1452"/>
      <c r="J3" s="1452"/>
      <c r="K3" s="1452"/>
      <c r="L3" s="4"/>
      <c r="M3" s="4"/>
      <c r="N3" s="4"/>
      <c r="O3" s="4"/>
      <c r="P3" s="4"/>
      <c r="Q3" s="4"/>
      <c r="R3" s="4"/>
      <c r="S3" s="4"/>
    </row>
    <row r="4" spans="3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3:19" s="5" customFormat="1" ht="24.6" customHeight="1">
      <c r="E5" s="9"/>
      <c r="F5" s="35">
        <v>1</v>
      </c>
      <c r="G5" s="10">
        <v>2</v>
      </c>
      <c r="H5" s="35">
        <v>3</v>
      </c>
      <c r="I5" s="56">
        <v>4</v>
      </c>
      <c r="J5" s="35">
        <v>5</v>
      </c>
      <c r="K5" s="10">
        <v>6</v>
      </c>
      <c r="L5" s="4"/>
      <c r="M5" s="4"/>
      <c r="N5" s="4"/>
      <c r="R5" s="11"/>
      <c r="S5" s="4"/>
    </row>
    <row r="6" spans="3:19" s="5" customFormat="1" ht="24.6" customHeight="1">
      <c r="C6" s="12" t="s">
        <v>9</v>
      </c>
      <c r="D6" s="13"/>
      <c r="E6" s="14"/>
      <c r="F6" s="88" t="s">
        <v>145</v>
      </c>
      <c r="G6" s="1456" t="s">
        <v>137</v>
      </c>
      <c r="H6" s="1454" t="s">
        <v>93</v>
      </c>
      <c r="I6" s="36" t="s">
        <v>139</v>
      </c>
      <c r="J6" s="1454" t="s">
        <v>92</v>
      </c>
      <c r="K6" s="14"/>
      <c r="L6" s="4"/>
      <c r="M6" s="4"/>
      <c r="N6" s="4"/>
      <c r="R6" s="11"/>
      <c r="S6" s="4"/>
    </row>
    <row r="7" spans="3:19" s="5" customFormat="1" ht="24.6" customHeight="1">
      <c r="C7" s="16" t="s">
        <v>7</v>
      </c>
      <c r="D7" s="13"/>
      <c r="E7" s="14"/>
      <c r="F7" s="95" t="s">
        <v>138</v>
      </c>
      <c r="G7" s="1456"/>
      <c r="H7" s="1454"/>
      <c r="I7" s="36"/>
      <c r="J7" s="1455"/>
      <c r="K7" s="14"/>
      <c r="L7" s="4"/>
      <c r="M7" s="4"/>
      <c r="N7" s="4"/>
      <c r="R7" s="11"/>
      <c r="S7" s="4"/>
    </row>
    <row r="8" spans="3:19" s="5" customFormat="1" ht="24.6" customHeight="1">
      <c r="C8" s="17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3:19" s="5" customFormat="1" ht="24.6" customHeight="1">
      <c r="D9" s="13"/>
      <c r="E9" s="14"/>
      <c r="F9" s="14"/>
      <c r="G9" s="14"/>
      <c r="H9" s="14"/>
      <c r="I9" s="36"/>
      <c r="J9" s="14"/>
      <c r="K9" s="14"/>
      <c r="L9" s="4"/>
      <c r="M9" s="4"/>
      <c r="N9" s="4"/>
      <c r="R9" s="11"/>
      <c r="S9" s="4"/>
    </row>
    <row r="10" spans="3:19" s="6" customFormat="1" ht="24.6" customHeight="1">
      <c r="C10" s="5"/>
      <c r="D10" s="5"/>
      <c r="E10" s="23">
        <f>K5+1</f>
        <v>7</v>
      </c>
      <c r="F10" s="43">
        <f t="shared" ref="F10:K10" si="0">E10+1</f>
        <v>8</v>
      </c>
      <c r="G10" s="37">
        <f t="shared" si="0"/>
        <v>9</v>
      </c>
      <c r="H10" s="37">
        <f t="shared" si="0"/>
        <v>10</v>
      </c>
      <c r="I10" s="37">
        <f t="shared" si="0"/>
        <v>11</v>
      </c>
      <c r="J10" s="37">
        <f t="shared" si="0"/>
        <v>12</v>
      </c>
      <c r="K10" s="23">
        <f t="shared" si="0"/>
        <v>13</v>
      </c>
      <c r="L10" s="4"/>
      <c r="M10" s="4"/>
      <c r="N10" s="4"/>
      <c r="O10" s="4"/>
      <c r="P10" s="4"/>
      <c r="Q10" s="4"/>
      <c r="R10" s="4"/>
      <c r="S10" s="4"/>
    </row>
    <row r="11" spans="3:19" s="6" customFormat="1" ht="24.6" customHeight="1">
      <c r="C11" s="12" t="s">
        <v>9</v>
      </c>
      <c r="D11" s="13"/>
      <c r="E11" s="24"/>
      <c r="F11" s="88" t="s">
        <v>146</v>
      </c>
      <c r="G11" s="44" t="s">
        <v>147</v>
      </c>
      <c r="H11" s="46" t="s">
        <v>148</v>
      </c>
      <c r="I11" s="44" t="s">
        <v>149</v>
      </c>
      <c r="J11" s="45" t="s">
        <v>150</v>
      </c>
      <c r="K11" s="24"/>
      <c r="L11" s="4"/>
      <c r="M11" s="4"/>
      <c r="N11" s="4"/>
      <c r="O11" s="4"/>
      <c r="P11" s="4"/>
      <c r="Q11" s="4"/>
      <c r="R11" s="4"/>
      <c r="S11" s="4"/>
    </row>
    <row r="12" spans="3:19" s="6" customFormat="1" ht="24.6" customHeight="1">
      <c r="C12" s="16" t="s">
        <v>7</v>
      </c>
      <c r="D12" s="13"/>
      <c r="E12" s="24"/>
      <c r="F12" s="88" t="s">
        <v>151</v>
      </c>
      <c r="G12" s="32" t="s">
        <v>140</v>
      </c>
      <c r="H12" s="88" t="s">
        <v>152</v>
      </c>
      <c r="I12" s="89" t="s">
        <v>153</v>
      </c>
      <c r="J12" s="84"/>
      <c r="K12" s="24"/>
      <c r="L12" s="4"/>
      <c r="M12" s="4"/>
      <c r="N12" s="4"/>
      <c r="O12" s="4"/>
      <c r="P12" s="4"/>
      <c r="Q12" s="4"/>
      <c r="R12" s="4"/>
      <c r="S12" s="4"/>
    </row>
    <row r="13" spans="3:19" s="6" customFormat="1" ht="24.6" customHeight="1">
      <c r="C13" s="17" t="s">
        <v>8</v>
      </c>
      <c r="D13" s="13"/>
      <c r="E13" s="24"/>
      <c r="F13" s="32"/>
      <c r="G13" s="98" t="s">
        <v>32</v>
      </c>
      <c r="H13" s="24"/>
      <c r="I13" s="24"/>
      <c r="J13" s="24"/>
      <c r="K13" s="24"/>
      <c r="L13" s="4"/>
      <c r="M13" s="4"/>
      <c r="N13" s="4"/>
      <c r="O13" s="4"/>
      <c r="P13" s="4"/>
      <c r="Q13" s="4"/>
      <c r="R13" s="4"/>
      <c r="S13" s="4"/>
    </row>
    <row r="14" spans="3:19" s="6" customFormat="1" ht="24.6" customHeight="1">
      <c r="D14" s="13"/>
      <c r="E14" s="24"/>
      <c r="F14" s="24"/>
      <c r="G14" s="24"/>
      <c r="H14" s="24"/>
      <c r="I14" s="24"/>
      <c r="J14" s="24"/>
      <c r="K14" s="24"/>
      <c r="L14" s="4"/>
      <c r="M14" s="4"/>
      <c r="N14" s="4"/>
      <c r="O14" s="4"/>
      <c r="P14" s="4"/>
      <c r="Q14" s="4"/>
      <c r="R14" s="4"/>
      <c r="S14" s="4"/>
    </row>
    <row r="15" spans="3:19" s="6" customFormat="1" ht="24.6" customHeight="1">
      <c r="C15" s="5"/>
      <c r="D15" s="5"/>
      <c r="E15" s="26">
        <f>K10+1</f>
        <v>14</v>
      </c>
      <c r="F15" s="27">
        <f t="shared" ref="F15:K15" si="1">E15+1</f>
        <v>15</v>
      </c>
      <c r="G15" s="27">
        <f t="shared" si="1"/>
        <v>16</v>
      </c>
      <c r="H15" s="27">
        <f t="shared" si="1"/>
        <v>17</v>
      </c>
      <c r="I15" s="27">
        <f t="shared" si="1"/>
        <v>18</v>
      </c>
      <c r="J15" s="27">
        <f t="shared" si="1"/>
        <v>19</v>
      </c>
      <c r="K15" s="52">
        <f t="shared" si="1"/>
        <v>20</v>
      </c>
      <c r="L15" s="4"/>
      <c r="M15" s="1453"/>
      <c r="N15" s="1453"/>
      <c r="O15" s="1453"/>
      <c r="P15" s="4"/>
      <c r="Q15" s="4"/>
      <c r="R15" s="4"/>
      <c r="S15" s="4"/>
    </row>
    <row r="16" spans="3:19" s="6" customFormat="1" ht="24.6" customHeight="1">
      <c r="C16" s="12" t="s">
        <v>9</v>
      </c>
      <c r="D16" s="13"/>
      <c r="E16" s="14"/>
      <c r="F16" s="45" t="s">
        <v>171</v>
      </c>
      <c r="G16" s="88" t="s">
        <v>172</v>
      </c>
      <c r="H16" s="45" t="s">
        <v>175</v>
      </c>
      <c r="I16" s="88" t="s">
        <v>174</v>
      </c>
      <c r="J16" s="45" t="s">
        <v>176</v>
      </c>
      <c r="K16" s="14"/>
      <c r="L16" s="4"/>
      <c r="M16" s="4"/>
      <c r="N16" s="4"/>
      <c r="O16" s="4"/>
      <c r="P16" s="4"/>
      <c r="Q16" s="4"/>
      <c r="R16" s="4"/>
      <c r="S16" s="4"/>
    </row>
    <row r="17" spans="3:11" s="6" customFormat="1" ht="24.6" customHeight="1">
      <c r="C17" s="16" t="s">
        <v>7</v>
      </c>
      <c r="D17" s="13"/>
      <c r="E17" s="14"/>
      <c r="F17" s="89" t="s">
        <v>154</v>
      </c>
      <c r="G17" s="89" t="s">
        <v>155</v>
      </c>
      <c r="H17" s="88" t="s">
        <v>156</v>
      </c>
      <c r="I17" s="97" t="s">
        <v>157</v>
      </c>
      <c r="J17" s="88" t="s">
        <v>159</v>
      </c>
      <c r="K17" s="88" t="s">
        <v>145</v>
      </c>
    </row>
    <row r="18" spans="3:11" s="6" customFormat="1" ht="24.6" customHeight="1">
      <c r="C18" s="17" t="s">
        <v>8</v>
      </c>
      <c r="D18" s="13"/>
      <c r="E18" s="14"/>
      <c r="F18" s="14"/>
      <c r="G18" s="14"/>
      <c r="H18" s="33"/>
      <c r="I18" s="33"/>
      <c r="J18" s="33"/>
      <c r="K18" s="33"/>
    </row>
    <row r="19" spans="3:11" s="6" customFormat="1" ht="24.6" customHeight="1">
      <c r="D19" s="13"/>
      <c r="E19" s="14"/>
      <c r="F19" s="14"/>
      <c r="G19" s="14"/>
      <c r="H19" s="14"/>
      <c r="I19" s="14"/>
      <c r="J19" s="14"/>
      <c r="K19" s="14"/>
    </row>
    <row r="20" spans="3:11" s="6" customFormat="1" ht="24.6" customHeight="1">
      <c r="C20" s="5"/>
      <c r="D20" s="5"/>
      <c r="E20" s="23">
        <f>K15+1</f>
        <v>21</v>
      </c>
      <c r="F20" s="37">
        <f>E20+1</f>
        <v>22</v>
      </c>
      <c r="G20" s="37">
        <f>F20+1</f>
        <v>23</v>
      </c>
      <c r="H20" s="37">
        <f>G20+1</f>
        <v>24</v>
      </c>
      <c r="I20" s="37">
        <f>H20+1</f>
        <v>25</v>
      </c>
      <c r="J20" s="37">
        <v>26</v>
      </c>
      <c r="K20" s="23">
        <v>27</v>
      </c>
    </row>
    <row r="21" spans="3:11" s="6" customFormat="1" ht="24.6" customHeight="1">
      <c r="C21" s="12" t="s">
        <v>9</v>
      </c>
      <c r="D21" s="13"/>
      <c r="E21" s="88" t="s">
        <v>177</v>
      </c>
      <c r="F21" s="45" t="s">
        <v>178</v>
      </c>
      <c r="G21" s="88" t="s">
        <v>179</v>
      </c>
      <c r="H21" s="45" t="s">
        <v>180</v>
      </c>
      <c r="I21" s="44" t="s">
        <v>181</v>
      </c>
      <c r="J21" s="88" t="s">
        <v>182</v>
      </c>
      <c r="K21" s="24"/>
    </row>
    <row r="22" spans="3:11" s="6" customFormat="1" ht="24.6" customHeight="1">
      <c r="C22" s="16" t="s">
        <v>7</v>
      </c>
      <c r="D22" s="13"/>
      <c r="E22" s="24"/>
      <c r="F22" s="97" t="s">
        <v>158</v>
      </c>
      <c r="G22" s="88" t="s">
        <v>146</v>
      </c>
      <c r="H22" s="89" t="s">
        <v>147</v>
      </c>
      <c r="I22" s="86" t="s">
        <v>148</v>
      </c>
      <c r="J22" s="89" t="s">
        <v>149</v>
      </c>
      <c r="K22" s="32"/>
    </row>
    <row r="23" spans="3:11" s="6" customFormat="1" ht="24.6" customHeight="1">
      <c r="C23" s="17" t="s">
        <v>8</v>
      </c>
      <c r="D23" s="13"/>
      <c r="E23" s="24"/>
      <c r="G23" s="98" t="s">
        <v>32</v>
      </c>
      <c r="H23" s="24"/>
      <c r="I23" s="24"/>
      <c r="K23" s="32"/>
    </row>
    <row r="24" spans="3:11" s="6" customFormat="1" ht="24.6" customHeight="1">
      <c r="C24" s="30"/>
      <c r="D24" s="13"/>
      <c r="E24" s="24"/>
      <c r="F24" s="24"/>
      <c r="G24" s="24"/>
      <c r="H24" s="24"/>
      <c r="I24" s="24"/>
      <c r="K24" s="24"/>
    </row>
    <row r="25" spans="3:11" s="6" customFormat="1" ht="24.6" customHeight="1">
      <c r="C25" s="30"/>
      <c r="D25" s="13"/>
      <c r="E25" s="31">
        <f>K20+1</f>
        <v>28</v>
      </c>
      <c r="F25" s="27">
        <f>E25+1</f>
        <v>29</v>
      </c>
      <c r="G25" s="27">
        <f>F25+1</f>
        <v>30</v>
      </c>
      <c r="H25" s="27">
        <f>G25+1</f>
        <v>31</v>
      </c>
      <c r="I25" s="27"/>
      <c r="J25" s="27"/>
      <c r="K25" s="27"/>
    </row>
    <row r="26" spans="3:11" s="6" customFormat="1" ht="24.6" customHeight="1">
      <c r="C26" s="12" t="s">
        <v>9</v>
      </c>
      <c r="D26" s="13"/>
      <c r="E26" s="38"/>
      <c r="F26" s="14"/>
      <c r="G26" s="14"/>
      <c r="H26" s="39"/>
      <c r="I26" s="14"/>
      <c r="J26" s="14"/>
      <c r="K26" s="39"/>
    </row>
    <row r="27" spans="3:11" s="6" customFormat="1" ht="24.6" customHeight="1">
      <c r="C27" s="16" t="s">
        <v>7</v>
      </c>
      <c r="D27" s="13"/>
      <c r="E27" s="38"/>
      <c r="F27" s="14"/>
      <c r="G27" s="14"/>
      <c r="H27" s="14"/>
      <c r="I27" s="14"/>
      <c r="J27" s="14"/>
      <c r="K27" s="14"/>
    </row>
    <row r="28" spans="3:11" s="6" customFormat="1" ht="24.6" customHeight="1">
      <c r="C28" s="17" t="s">
        <v>8</v>
      </c>
      <c r="D28" s="13"/>
      <c r="E28" s="38"/>
      <c r="F28" s="38"/>
      <c r="G28" s="38"/>
      <c r="H28" s="36"/>
      <c r="I28" s="14"/>
      <c r="J28" s="14"/>
      <c r="K28" s="14"/>
    </row>
    <row r="29" spans="3:11" s="6" customFormat="1" ht="24.6" customHeight="1">
      <c r="D29" s="13"/>
      <c r="E29" s="36"/>
      <c r="F29" s="14"/>
      <c r="G29" s="14"/>
      <c r="H29" s="14"/>
      <c r="I29" s="14"/>
      <c r="J29" s="14"/>
      <c r="K29" s="14"/>
    </row>
    <row r="30" spans="3:11" s="6" customFormat="1" ht="24.6" customHeight="1">
      <c r="C30" s="5"/>
      <c r="D30" s="5"/>
      <c r="E30" s="23">
        <v>30</v>
      </c>
      <c r="F30" s="37"/>
      <c r="G30" s="37"/>
      <c r="H30" s="37"/>
      <c r="I30" s="37"/>
      <c r="J30" s="37"/>
      <c r="K30" s="23"/>
    </row>
    <row r="31" spans="3:11" s="6" customFormat="1" ht="24.6" customHeight="1">
      <c r="C31" s="12" t="s">
        <v>9</v>
      </c>
      <c r="D31" s="13"/>
      <c r="E31" s="24"/>
      <c r="F31" s="24"/>
      <c r="G31" s="32"/>
      <c r="H31" s="24"/>
      <c r="I31" s="32"/>
      <c r="K31" s="32"/>
    </row>
    <row r="32" spans="3:11" s="6" customFormat="1" ht="24.6" customHeight="1">
      <c r="C32" s="16" t="s">
        <v>7</v>
      </c>
      <c r="D32" s="13"/>
      <c r="E32" s="24"/>
      <c r="F32" s="24"/>
      <c r="G32" s="32"/>
      <c r="H32" s="24"/>
      <c r="I32" s="32"/>
      <c r="K32" s="32"/>
    </row>
    <row r="33" spans="1:19" ht="24.6" customHeight="1">
      <c r="A33" s="6"/>
      <c r="B33" s="6"/>
      <c r="C33" s="50" t="s">
        <v>8</v>
      </c>
      <c r="D33" s="47"/>
      <c r="E33" s="48"/>
      <c r="F33" s="24"/>
      <c r="G33" s="24"/>
      <c r="H33" s="48"/>
      <c r="I33" s="48"/>
      <c r="J33" s="51"/>
      <c r="K33" s="48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/>
      <c r="E34" s="49"/>
      <c r="F34" s="49"/>
      <c r="G34" s="49"/>
      <c r="L34" s="6"/>
      <c r="M34" s="6"/>
      <c r="N34" s="6"/>
      <c r="O34" s="6"/>
      <c r="P34" s="6"/>
      <c r="Q34" s="6"/>
      <c r="R34" s="6"/>
      <c r="S34" s="6"/>
    </row>
    <row r="35" spans="1:19">
      <c r="G35" s="90" t="s">
        <v>33</v>
      </c>
      <c r="H35" s="90" t="s">
        <v>34</v>
      </c>
    </row>
    <row r="36" spans="1:19">
      <c r="F36" s="90" t="s">
        <v>41</v>
      </c>
      <c r="G36" s="4">
        <v>13</v>
      </c>
      <c r="H36" s="4">
        <v>6</v>
      </c>
    </row>
    <row r="37" spans="1:19">
      <c r="F37" s="90" t="s">
        <v>42</v>
      </c>
      <c r="G37" s="4">
        <v>3</v>
      </c>
      <c r="H37" s="4">
        <v>5</v>
      </c>
    </row>
    <row r="38" spans="1:19">
      <c r="F38" s="90" t="s">
        <v>45</v>
      </c>
      <c r="G38" s="4">
        <v>1</v>
      </c>
      <c r="H38" s="4">
        <v>1</v>
      </c>
    </row>
    <row r="39" spans="1:19" s="84" customFormat="1">
      <c r="A39" s="4"/>
      <c r="B39" s="4"/>
      <c r="C39" s="4"/>
      <c r="D39" s="4"/>
      <c r="E39" s="4"/>
      <c r="F39" s="90" t="s">
        <v>162</v>
      </c>
      <c r="G39" s="4">
        <v>0</v>
      </c>
      <c r="H39" s="4">
        <v>2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F40" s="90" t="s">
        <v>36</v>
      </c>
      <c r="G40" s="4">
        <f>SUM(G36:G39)</f>
        <v>17</v>
      </c>
      <c r="H40" s="4">
        <f>SUM(H36:H39)</f>
        <v>14</v>
      </c>
    </row>
  </sheetData>
  <mergeCells count="6">
    <mergeCell ref="E3:G3"/>
    <mergeCell ref="H3:K3"/>
    <mergeCell ref="M15:O15"/>
    <mergeCell ref="J6:J7"/>
    <mergeCell ref="H6:H7"/>
    <mergeCell ref="G6:G7"/>
  </mergeCells>
  <phoneticPr fontId="6" type="noConversion"/>
  <pageMargins left="0.7" right="0.7" top="0.75" bottom="0.75" header="0.3" footer="0.3"/>
  <pageSetup paperSize="9" scale="53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S45"/>
  <sheetViews>
    <sheetView zoomScale="55" zoomScaleNormal="55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3:19" s="6" customFormat="1" ht="19.149999999999999"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s="6" customFormat="1" ht="19.149999999999999">
      <c r="C2" s="5"/>
      <c r="D2" s="5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</row>
    <row r="3" spans="3:19" s="6" customFormat="1" ht="57">
      <c r="C3" s="5"/>
      <c r="D3" s="5"/>
      <c r="E3" s="1450">
        <v>42887</v>
      </c>
      <c r="F3" s="1450"/>
      <c r="G3" s="1450"/>
      <c r="H3" s="1451" t="s">
        <v>10</v>
      </c>
      <c r="I3" s="1452"/>
      <c r="J3" s="1452"/>
      <c r="K3" s="1452"/>
      <c r="L3" s="4"/>
      <c r="M3" s="4"/>
      <c r="N3" s="4"/>
      <c r="O3" s="4"/>
      <c r="P3" s="4"/>
      <c r="Q3" s="4"/>
      <c r="R3" s="4"/>
      <c r="S3" s="4"/>
    </row>
    <row r="4" spans="3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3:19" s="5" customFormat="1" ht="24.6" customHeight="1">
      <c r="E5" s="9"/>
      <c r="F5" s="10"/>
      <c r="G5" s="10"/>
      <c r="H5" s="35"/>
      <c r="I5" s="74">
        <v>1</v>
      </c>
      <c r="J5" s="74">
        <v>2</v>
      </c>
      <c r="K5" s="35">
        <v>3</v>
      </c>
      <c r="L5" s="4"/>
      <c r="M5" s="4"/>
      <c r="N5" s="4"/>
      <c r="R5" s="11"/>
      <c r="S5" s="4"/>
    </row>
    <row r="6" spans="3:19" s="5" customFormat="1" ht="24.6" customHeight="1"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3:19" s="5" customFormat="1" ht="24.6" customHeight="1">
      <c r="C7" s="16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3:19" s="5" customFormat="1" ht="24.6" customHeight="1">
      <c r="C8" s="17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3:19" s="5" customFormat="1" ht="24.6" customHeight="1">
      <c r="D9" s="13"/>
      <c r="E9" s="14"/>
      <c r="F9" s="14"/>
      <c r="G9" s="14"/>
      <c r="H9" s="14"/>
      <c r="I9" s="36"/>
      <c r="J9" s="14"/>
      <c r="K9" s="14"/>
      <c r="L9" s="4"/>
      <c r="M9" s="4"/>
      <c r="N9" s="4"/>
      <c r="R9" s="11"/>
      <c r="S9" s="4"/>
    </row>
    <row r="10" spans="3:19" s="6" customFormat="1" ht="24.6" customHeight="1">
      <c r="C10" s="5"/>
      <c r="D10" s="5"/>
      <c r="E10" s="23">
        <f>K5+1</f>
        <v>4</v>
      </c>
      <c r="F10" s="58">
        <v>5</v>
      </c>
      <c r="G10" s="53">
        <v>6</v>
      </c>
      <c r="H10" s="58">
        <v>7</v>
      </c>
      <c r="I10" s="58">
        <v>8</v>
      </c>
      <c r="J10" s="58">
        <v>9</v>
      </c>
      <c r="K10" s="58">
        <v>10</v>
      </c>
      <c r="L10" s="4"/>
      <c r="M10" s="4"/>
      <c r="N10" s="4"/>
      <c r="O10" s="4"/>
      <c r="P10" s="4"/>
      <c r="Q10" s="4"/>
      <c r="R10" s="4"/>
      <c r="S10" s="4"/>
    </row>
    <row r="11" spans="3:19" s="6" customFormat="1" ht="24.6" customHeight="1">
      <c r="C11" s="12" t="s">
        <v>9</v>
      </c>
      <c r="D11" s="13"/>
      <c r="E11" s="24"/>
      <c r="F11" s="24"/>
      <c r="G11" s="1459" t="s">
        <v>91</v>
      </c>
      <c r="H11" s="24"/>
      <c r="I11" s="102" t="s">
        <v>165</v>
      </c>
      <c r="J11" s="101" t="s">
        <v>166</v>
      </c>
      <c r="K11" s="24"/>
      <c r="L11" s="4"/>
      <c r="M11" s="4"/>
      <c r="N11" s="4"/>
      <c r="O11" s="4"/>
      <c r="P11" s="4"/>
      <c r="Q11" s="4"/>
      <c r="R11" s="4"/>
      <c r="S11" s="4"/>
    </row>
    <row r="12" spans="3:19" s="6" customFormat="1" ht="24.6" customHeight="1">
      <c r="C12" s="16" t="s">
        <v>7</v>
      </c>
      <c r="D12" s="13"/>
      <c r="E12" s="24"/>
      <c r="F12" s="24"/>
      <c r="G12" s="1460"/>
      <c r="H12" s="88" t="s">
        <v>150</v>
      </c>
      <c r="I12" s="88" t="s">
        <v>168</v>
      </c>
      <c r="J12" s="88" t="s">
        <v>169</v>
      </c>
      <c r="K12" s="24"/>
      <c r="L12" s="4"/>
      <c r="M12" s="4"/>
      <c r="N12" s="4"/>
      <c r="O12" s="4"/>
      <c r="P12" s="4"/>
      <c r="Q12" s="4"/>
      <c r="R12" s="4"/>
      <c r="S12" s="4"/>
    </row>
    <row r="13" spans="3:19" s="6" customFormat="1" ht="24.6" customHeight="1">
      <c r="C13" s="17" t="s">
        <v>8</v>
      </c>
      <c r="D13" s="13"/>
      <c r="E13" s="24"/>
      <c r="F13" s="24"/>
      <c r="G13" s="1460"/>
      <c r="H13" s="24"/>
      <c r="I13" s="24"/>
      <c r="J13" s="24"/>
      <c r="K13" s="24"/>
      <c r="L13" s="4"/>
      <c r="M13" s="4"/>
      <c r="N13" s="4"/>
      <c r="O13" s="4"/>
      <c r="P13" s="4"/>
      <c r="Q13" s="4"/>
      <c r="R13" s="4"/>
      <c r="S13" s="4"/>
    </row>
    <row r="14" spans="3:19" s="6" customFormat="1" ht="24.6" customHeight="1">
      <c r="D14" s="13"/>
      <c r="E14" s="24"/>
      <c r="F14" s="24"/>
      <c r="G14" s="1461"/>
      <c r="H14" s="24"/>
      <c r="I14" s="24"/>
      <c r="J14" s="24"/>
      <c r="K14" s="24"/>
      <c r="L14" s="4"/>
      <c r="M14" s="4"/>
      <c r="N14" s="4"/>
      <c r="O14" s="4"/>
      <c r="P14" s="4"/>
      <c r="Q14" s="4"/>
      <c r="R14" s="4"/>
      <c r="S14" s="4"/>
    </row>
    <row r="15" spans="3:19" s="6" customFormat="1" ht="24.6" customHeight="1">
      <c r="C15" s="5"/>
      <c r="D15" s="5"/>
      <c r="E15" s="26">
        <f>K10+1</f>
        <v>11</v>
      </c>
      <c r="F15" s="27">
        <f t="shared" ref="F15:K15" si="0">E15+1</f>
        <v>12</v>
      </c>
      <c r="G15" s="27">
        <f t="shared" si="0"/>
        <v>13</v>
      </c>
      <c r="H15" s="27">
        <f t="shared" si="0"/>
        <v>14</v>
      </c>
      <c r="I15" s="27">
        <f t="shared" si="0"/>
        <v>15</v>
      </c>
      <c r="J15" s="27">
        <f t="shared" si="0"/>
        <v>16</v>
      </c>
      <c r="K15" s="52">
        <f t="shared" si="0"/>
        <v>17</v>
      </c>
      <c r="L15" s="4"/>
      <c r="M15" s="1453"/>
      <c r="N15" s="1453"/>
      <c r="O15" s="1453"/>
      <c r="P15" s="4"/>
      <c r="Q15" s="4"/>
      <c r="R15" s="4"/>
      <c r="S15" s="4"/>
    </row>
    <row r="16" spans="3:19" s="6" customFormat="1" ht="24.6" customHeight="1">
      <c r="C16" s="12" t="s">
        <v>9</v>
      </c>
      <c r="D16" s="13"/>
      <c r="E16" s="101" t="s">
        <v>167</v>
      </c>
      <c r="F16" s="101" t="s">
        <v>194</v>
      </c>
      <c r="G16" s="101" t="s">
        <v>13</v>
      </c>
      <c r="H16" s="33"/>
      <c r="I16" s="55" t="s">
        <v>195</v>
      </c>
      <c r="J16" s="55" t="s">
        <v>196</v>
      </c>
      <c r="K16" s="88" t="s">
        <v>167</v>
      </c>
      <c r="L16" s="4"/>
      <c r="M16" s="4"/>
      <c r="N16" s="4"/>
      <c r="O16" s="4"/>
      <c r="P16" s="4"/>
      <c r="Q16" s="4"/>
      <c r="R16" s="4"/>
      <c r="S16" s="4"/>
    </row>
    <row r="17" spans="3:11" s="6" customFormat="1" ht="24.6" customHeight="1">
      <c r="C17" s="16" t="s">
        <v>7</v>
      </c>
      <c r="D17" s="13"/>
      <c r="E17" s="14"/>
      <c r="F17" s="88" t="s">
        <v>171</v>
      </c>
      <c r="G17" s="88" t="s">
        <v>172</v>
      </c>
      <c r="H17" s="88" t="s">
        <v>170</v>
      </c>
      <c r="I17" s="88" t="s">
        <v>173</v>
      </c>
      <c r="J17" s="88" t="s">
        <v>174</v>
      </c>
      <c r="K17" s="14"/>
    </row>
    <row r="18" spans="3:11" s="6" customFormat="1" ht="24.6" customHeight="1">
      <c r="C18" s="17" t="s">
        <v>8</v>
      </c>
      <c r="D18" s="13"/>
      <c r="E18" s="14"/>
      <c r="F18" s="33"/>
      <c r="G18" s="33"/>
      <c r="H18" s="33"/>
      <c r="I18" s="33"/>
      <c r="J18" s="14"/>
      <c r="K18" s="14"/>
    </row>
    <row r="19" spans="3:11" s="6" customFormat="1" ht="24.6" customHeight="1">
      <c r="D19" s="13"/>
      <c r="E19" s="14"/>
      <c r="F19" s="14"/>
      <c r="G19" s="14"/>
      <c r="H19" s="33"/>
      <c r="I19" s="33"/>
      <c r="J19" s="14"/>
      <c r="K19" s="14"/>
    </row>
    <row r="20" spans="3:11" s="6" customFormat="1" ht="24.6" customHeight="1">
      <c r="C20" s="5"/>
      <c r="D20" s="5"/>
      <c r="E20" s="23">
        <f>K15+1</f>
        <v>18</v>
      </c>
      <c r="F20" s="37">
        <f t="shared" ref="F20:K20" si="1">E20+1</f>
        <v>19</v>
      </c>
      <c r="G20" s="37">
        <f t="shared" si="1"/>
        <v>20</v>
      </c>
      <c r="H20" s="37">
        <f t="shared" si="1"/>
        <v>21</v>
      </c>
      <c r="I20" s="37">
        <f t="shared" si="1"/>
        <v>22</v>
      </c>
      <c r="J20" s="37">
        <f t="shared" si="1"/>
        <v>23</v>
      </c>
      <c r="K20" s="23">
        <f t="shared" si="1"/>
        <v>24</v>
      </c>
    </row>
    <row r="21" spans="3:11" s="6" customFormat="1" ht="24.6" customHeight="1">
      <c r="C21" s="12" t="s">
        <v>9</v>
      </c>
      <c r="D21" s="13"/>
      <c r="E21" s="24"/>
      <c r="F21" s="24"/>
      <c r="G21" s="24"/>
      <c r="H21" s="24"/>
      <c r="I21" s="24"/>
      <c r="J21" s="24"/>
      <c r="K21" s="24"/>
    </row>
    <row r="22" spans="3:11" s="6" customFormat="1" ht="24.6" customHeight="1">
      <c r="C22" s="16" t="s">
        <v>7</v>
      </c>
      <c r="D22" s="13"/>
      <c r="E22" s="24"/>
      <c r="F22" s="88" t="s">
        <v>176</v>
      </c>
      <c r="G22" s="88" t="s">
        <v>177</v>
      </c>
      <c r="H22" s="88" t="s">
        <v>178</v>
      </c>
      <c r="I22" s="88" t="s">
        <v>179</v>
      </c>
      <c r="J22" s="24"/>
      <c r="K22" s="24"/>
    </row>
    <row r="23" spans="3:11" s="6" customFormat="1" ht="24.6" customHeight="1">
      <c r="C23" s="17" t="s">
        <v>8</v>
      </c>
      <c r="D23" s="13"/>
      <c r="E23" s="24"/>
      <c r="F23" s="24"/>
      <c r="G23" s="24"/>
      <c r="H23" s="24"/>
      <c r="I23" s="24"/>
      <c r="J23" s="24"/>
      <c r="K23" s="24"/>
    </row>
    <row r="24" spans="3:11" s="6" customFormat="1" ht="24.6" customHeight="1">
      <c r="C24" s="30"/>
      <c r="D24" s="13"/>
      <c r="E24" s="24"/>
      <c r="F24" s="1462" t="s">
        <v>163</v>
      </c>
      <c r="G24" s="1463"/>
      <c r="H24" s="1463"/>
      <c r="I24" s="1463"/>
      <c r="J24" s="1463"/>
      <c r="K24" s="99" t="s">
        <v>164</v>
      </c>
    </row>
    <row r="25" spans="3:11" s="6" customFormat="1" ht="24.6" customHeight="1">
      <c r="C25" s="30"/>
      <c r="D25" s="13"/>
      <c r="E25" s="31">
        <f>K20+1</f>
        <v>25</v>
      </c>
      <c r="F25" s="27">
        <f>E25+1</f>
        <v>26</v>
      </c>
      <c r="G25" s="27">
        <f>F25+1</f>
        <v>27</v>
      </c>
      <c r="H25" s="27">
        <f>G25+1</f>
        <v>28</v>
      </c>
      <c r="I25" s="27">
        <f>H25+1</f>
        <v>29</v>
      </c>
      <c r="J25" s="27">
        <f>I25+1</f>
        <v>30</v>
      </c>
      <c r="K25" s="27"/>
    </row>
    <row r="26" spans="3:11" s="6" customFormat="1" ht="24.6" customHeight="1">
      <c r="C26" s="12" t="s">
        <v>9</v>
      </c>
      <c r="D26" s="13"/>
      <c r="E26" s="38"/>
      <c r="F26" s="38"/>
      <c r="G26" s="38"/>
      <c r="H26" s="38"/>
      <c r="I26" s="38"/>
      <c r="J26" s="38"/>
      <c r="K26" s="39"/>
    </row>
    <row r="27" spans="3:11" s="6" customFormat="1" ht="24.6" customHeight="1">
      <c r="C27" s="16" t="s">
        <v>7</v>
      </c>
      <c r="D27" s="13"/>
      <c r="E27" s="38" t="s">
        <v>193</v>
      </c>
      <c r="F27" s="38" t="s">
        <v>193</v>
      </c>
      <c r="G27" s="38"/>
      <c r="H27" s="88" t="s">
        <v>180</v>
      </c>
      <c r="I27" s="89" t="s">
        <v>181</v>
      </c>
      <c r="J27" s="88" t="s">
        <v>182</v>
      </c>
      <c r="K27" s="14"/>
    </row>
    <row r="28" spans="3:11" s="6" customFormat="1" ht="24.6" customHeight="1">
      <c r="C28" s="17" t="s">
        <v>8</v>
      </c>
      <c r="D28" s="13"/>
      <c r="E28" s="38"/>
      <c r="F28" s="38"/>
      <c r="G28" s="38"/>
      <c r="H28" s="38"/>
      <c r="I28" s="38"/>
      <c r="J28" s="38"/>
      <c r="K28" s="14"/>
    </row>
    <row r="29" spans="3:11" s="6" customFormat="1" ht="24.6" customHeight="1">
      <c r="D29" s="13"/>
      <c r="E29" s="1457" t="s">
        <v>164</v>
      </c>
      <c r="F29" s="1457"/>
      <c r="G29" s="1458" t="s">
        <v>183</v>
      </c>
      <c r="H29" s="1458"/>
      <c r="I29" s="1458"/>
      <c r="J29" s="38"/>
      <c r="K29" s="14"/>
    </row>
    <row r="30" spans="3:11" s="6" customFormat="1" ht="24.6" customHeight="1">
      <c r="C30" s="5"/>
      <c r="D30" s="5"/>
      <c r="E30" s="23">
        <v>30</v>
      </c>
      <c r="F30" s="37"/>
      <c r="G30" s="37"/>
      <c r="H30" s="37"/>
      <c r="I30" s="37"/>
      <c r="J30" s="37"/>
      <c r="K30" s="23"/>
    </row>
    <row r="31" spans="3:11" s="6" customFormat="1" ht="24.6" customHeight="1">
      <c r="C31" s="12" t="s">
        <v>9</v>
      </c>
      <c r="D31" s="13"/>
      <c r="E31" s="24"/>
      <c r="F31" s="24"/>
      <c r="G31" s="32"/>
      <c r="H31" s="24"/>
      <c r="I31" s="32"/>
      <c r="K31" s="32"/>
    </row>
    <row r="32" spans="3:11" s="6" customFormat="1" ht="24.6" customHeight="1">
      <c r="C32" s="16" t="s">
        <v>7</v>
      </c>
      <c r="D32" s="13"/>
      <c r="E32" s="24"/>
      <c r="F32" s="24"/>
      <c r="G32" s="32"/>
      <c r="H32" s="24"/>
      <c r="I32" s="32"/>
      <c r="K32" s="32"/>
    </row>
    <row r="33" spans="1:19" ht="24.6" customHeight="1">
      <c r="A33" s="6"/>
      <c r="B33" s="6"/>
      <c r="C33" s="50" t="s">
        <v>8</v>
      </c>
      <c r="D33" s="47"/>
      <c r="E33" s="48"/>
      <c r="F33" s="24"/>
      <c r="G33" s="24"/>
      <c r="H33" s="48"/>
      <c r="I33" s="48"/>
      <c r="J33" s="51"/>
      <c r="K33" s="48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/>
      <c r="E34" s="49"/>
      <c r="F34" s="49"/>
      <c r="G34" s="49"/>
      <c r="L34" s="6"/>
      <c r="M34" s="6"/>
      <c r="N34" s="6"/>
      <c r="O34" s="6"/>
      <c r="P34" s="6"/>
      <c r="Q34" s="6"/>
      <c r="R34" s="6"/>
      <c r="S34" s="6"/>
    </row>
    <row r="36" spans="1:19">
      <c r="G36" s="90" t="s">
        <v>79</v>
      </c>
      <c r="H36" s="90" t="s">
        <v>80</v>
      </c>
    </row>
    <row r="37" spans="1:19">
      <c r="F37" s="90" t="s">
        <v>76</v>
      </c>
      <c r="G37" s="4">
        <v>6</v>
      </c>
      <c r="H37" s="4">
        <v>11</v>
      </c>
    </row>
    <row r="38" spans="1:19">
      <c r="F38" s="90" t="s">
        <v>77</v>
      </c>
      <c r="G38" s="4">
        <v>0</v>
      </c>
      <c r="H38" s="4">
        <v>1</v>
      </c>
    </row>
    <row r="39" spans="1:19">
      <c r="F39" s="90" t="s">
        <v>78</v>
      </c>
      <c r="G39" s="4">
        <v>0</v>
      </c>
      <c r="H39" s="4">
        <v>0</v>
      </c>
    </row>
    <row r="40" spans="1:19" s="84" customFormat="1">
      <c r="A40" s="4"/>
      <c r="B40" s="4"/>
      <c r="C40" s="4"/>
      <c r="D40" s="4"/>
      <c r="E40" s="4"/>
      <c r="F40" s="90" t="s">
        <v>187</v>
      </c>
      <c r="G40" s="4">
        <v>1</v>
      </c>
      <c r="H40" s="4"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s="84" customFormat="1">
      <c r="A41" s="4"/>
      <c r="B41" s="4"/>
      <c r="C41" s="4"/>
      <c r="D41" s="4"/>
      <c r="E41" s="4"/>
      <c r="F41" s="90" t="s">
        <v>188</v>
      </c>
      <c r="G41" s="4">
        <v>1</v>
      </c>
      <c r="H41" s="4">
        <v>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s="84" customFormat="1">
      <c r="A42" s="4"/>
      <c r="B42" s="4"/>
      <c r="C42" s="4"/>
      <c r="D42" s="4"/>
      <c r="E42" s="4"/>
      <c r="F42" s="90" t="s">
        <v>191</v>
      </c>
      <c r="G42" s="4">
        <v>0</v>
      </c>
      <c r="H42" s="90">
        <v>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s="84" customFormat="1">
      <c r="A43" s="4"/>
      <c r="B43" s="4"/>
      <c r="C43" s="4"/>
      <c r="D43" s="4"/>
      <c r="E43" s="4"/>
      <c r="F43" s="90" t="s">
        <v>189</v>
      </c>
      <c r="G43" s="4">
        <v>0</v>
      </c>
      <c r="H43" s="90">
        <v>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s="84" customFormat="1">
      <c r="A44" s="4"/>
      <c r="B44" s="4"/>
      <c r="C44" s="4"/>
      <c r="D44" s="4"/>
      <c r="E44" s="4"/>
      <c r="F44" s="90" t="s">
        <v>190</v>
      </c>
      <c r="G44" s="4">
        <v>0</v>
      </c>
      <c r="H44" s="4">
        <v>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ht="11.25" customHeight="1">
      <c r="F45" s="90" t="s">
        <v>90</v>
      </c>
      <c r="G45" s="4">
        <f>SUM(G37:G44)</f>
        <v>8</v>
      </c>
      <c r="H45" s="4">
        <f>SUM(H37:H44)</f>
        <v>15</v>
      </c>
    </row>
  </sheetData>
  <mergeCells count="7">
    <mergeCell ref="E29:F29"/>
    <mergeCell ref="G29:I29"/>
    <mergeCell ref="E3:G3"/>
    <mergeCell ref="H3:K3"/>
    <mergeCell ref="M15:O15"/>
    <mergeCell ref="G11:G14"/>
    <mergeCell ref="F24:J24"/>
  </mergeCells>
  <phoneticPr fontId="6" type="noConversion"/>
  <pageMargins left="0.7" right="0.7" top="0.75" bottom="0.75" header="0.3" footer="0.3"/>
  <pageSetup paperSize="9" scale="4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S43"/>
  <sheetViews>
    <sheetView topLeftCell="B7" zoomScale="55" zoomScaleNormal="55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3:19" s="6" customFormat="1" ht="19.149999999999999"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s="6" customFormat="1" ht="19.149999999999999">
      <c r="C2" s="5"/>
      <c r="D2" s="5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</row>
    <row r="3" spans="3:19" s="6" customFormat="1" ht="57">
      <c r="C3" s="5"/>
      <c r="D3" s="5"/>
      <c r="E3" s="1450">
        <v>42917</v>
      </c>
      <c r="F3" s="1450"/>
      <c r="G3" s="1450"/>
      <c r="H3" s="1451" t="s">
        <v>10</v>
      </c>
      <c r="I3" s="1452"/>
      <c r="J3" s="1452"/>
      <c r="K3" s="1452"/>
      <c r="L3" s="4"/>
      <c r="M3" s="4"/>
      <c r="N3" s="4"/>
      <c r="O3" s="4"/>
      <c r="P3" s="4"/>
      <c r="Q3" s="4"/>
      <c r="R3" s="4"/>
      <c r="S3" s="4"/>
    </row>
    <row r="4" spans="3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3:19" s="5" customFormat="1" ht="24.6" customHeight="1">
      <c r="E5" s="9"/>
      <c r="F5" s="10"/>
      <c r="G5" s="10"/>
      <c r="H5" s="35"/>
      <c r="I5" s="56"/>
      <c r="J5" s="14"/>
      <c r="K5" s="56">
        <v>1</v>
      </c>
      <c r="L5" s="4"/>
      <c r="M5" s="4"/>
      <c r="N5" s="4"/>
      <c r="R5" s="11"/>
      <c r="S5" s="4"/>
    </row>
    <row r="6" spans="3:19" s="5" customFormat="1" ht="24.6" customHeight="1">
      <c r="C6" s="12" t="s">
        <v>9</v>
      </c>
      <c r="D6" s="13"/>
      <c r="E6" s="14"/>
      <c r="F6" s="14"/>
      <c r="G6" s="14"/>
      <c r="H6" s="14"/>
      <c r="I6" s="36"/>
      <c r="J6" s="14"/>
      <c r="K6" s="14"/>
      <c r="L6" s="4"/>
      <c r="M6" s="4"/>
      <c r="N6" s="4"/>
      <c r="R6" s="11"/>
      <c r="S6" s="4"/>
    </row>
    <row r="7" spans="3:19" s="5" customFormat="1" ht="24.6" customHeight="1">
      <c r="C7" s="16" t="s">
        <v>7</v>
      </c>
      <c r="D7" s="13"/>
      <c r="E7" s="14"/>
      <c r="F7" s="14"/>
      <c r="G7" s="14"/>
      <c r="H7" s="14"/>
      <c r="I7" s="36"/>
      <c r="J7" s="14"/>
      <c r="K7" s="14"/>
      <c r="L7" s="4"/>
      <c r="M7" s="4"/>
      <c r="N7" s="4"/>
      <c r="R7" s="11"/>
      <c r="S7" s="4"/>
    </row>
    <row r="8" spans="3:19" s="5" customFormat="1" ht="24.6" customHeight="1">
      <c r="C8" s="17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3:19" s="5" customFormat="1" ht="24.6" customHeight="1">
      <c r="D9" s="13"/>
      <c r="E9" s="14"/>
      <c r="F9" s="14"/>
      <c r="G9" s="14"/>
      <c r="H9" s="14"/>
      <c r="I9" s="36"/>
      <c r="J9" s="14"/>
      <c r="K9" s="14"/>
      <c r="L9" s="4"/>
      <c r="M9" s="4"/>
      <c r="N9" s="4"/>
      <c r="R9" s="11"/>
      <c r="S9" s="4"/>
    </row>
    <row r="10" spans="3:19" s="6" customFormat="1" ht="24.6" customHeight="1">
      <c r="C10" s="5"/>
      <c r="D10" s="5"/>
      <c r="E10" s="23">
        <f>K5+1</f>
        <v>2</v>
      </c>
      <c r="F10" s="58">
        <v>3</v>
      </c>
      <c r="G10" s="58">
        <v>4</v>
      </c>
      <c r="H10" s="58">
        <v>5</v>
      </c>
      <c r="I10" s="58">
        <v>6</v>
      </c>
      <c r="J10" s="58">
        <v>7</v>
      </c>
      <c r="K10" s="58">
        <v>8</v>
      </c>
      <c r="L10" s="4"/>
      <c r="M10" s="4"/>
      <c r="N10" s="4"/>
      <c r="O10" s="4"/>
      <c r="P10" s="4"/>
      <c r="Q10" s="4"/>
      <c r="R10" s="4"/>
      <c r="S10" s="4"/>
    </row>
    <row r="11" spans="3:19" s="6" customFormat="1" ht="24.6" customHeight="1">
      <c r="C11" s="12" t="s">
        <v>9</v>
      </c>
      <c r="D11" s="13"/>
      <c r="E11" s="24"/>
      <c r="F11" s="24"/>
      <c r="G11" s="24"/>
      <c r="H11" s="24"/>
      <c r="I11" s="24"/>
      <c r="J11" s="24"/>
      <c r="K11" s="24"/>
      <c r="L11" s="4"/>
      <c r="M11" s="4"/>
      <c r="N11" s="4"/>
      <c r="O11" s="4"/>
      <c r="P11" s="4"/>
      <c r="Q11" s="4"/>
      <c r="R11" s="4"/>
      <c r="S11" s="4"/>
    </row>
    <row r="12" spans="3:19" s="6" customFormat="1" ht="24.6" customHeight="1">
      <c r="C12" s="16" t="s">
        <v>7</v>
      </c>
      <c r="D12" s="13"/>
      <c r="E12" s="24"/>
      <c r="F12" s="24"/>
      <c r="G12" s="24"/>
      <c r="H12" s="24"/>
      <c r="I12" s="24"/>
      <c r="J12" s="24"/>
      <c r="K12" s="24"/>
      <c r="L12" s="4"/>
      <c r="M12" s="4"/>
      <c r="N12" s="4"/>
      <c r="O12" s="4"/>
      <c r="P12" s="4"/>
      <c r="Q12" s="4"/>
      <c r="R12" s="4"/>
      <c r="S12" s="4"/>
    </row>
    <row r="13" spans="3:19" s="6" customFormat="1" ht="24.6" customHeight="1">
      <c r="C13" s="17" t="s">
        <v>8</v>
      </c>
      <c r="D13" s="13"/>
      <c r="E13" s="24"/>
      <c r="F13" s="24"/>
      <c r="G13" s="24"/>
      <c r="H13" s="24"/>
      <c r="I13" s="24"/>
      <c r="J13" s="24"/>
      <c r="K13" s="24"/>
      <c r="L13" s="4"/>
      <c r="M13" s="4"/>
      <c r="N13" s="4"/>
      <c r="O13" s="4"/>
      <c r="P13" s="4"/>
      <c r="Q13" s="4"/>
      <c r="R13" s="4"/>
      <c r="S13" s="4"/>
    </row>
    <row r="14" spans="3:19" s="6" customFormat="1" ht="24.6" customHeight="1">
      <c r="D14" s="13"/>
      <c r="E14" s="24"/>
      <c r="F14" s="24"/>
      <c r="G14" s="100" t="s">
        <v>184</v>
      </c>
      <c r="H14" s="1465" t="s">
        <v>185</v>
      </c>
      <c r="I14" s="1465"/>
      <c r="J14" s="1465"/>
      <c r="K14" s="1466"/>
      <c r="L14" s="4"/>
      <c r="M14" s="4"/>
      <c r="N14" s="4"/>
      <c r="O14" s="4"/>
      <c r="P14" s="4"/>
      <c r="Q14" s="4"/>
      <c r="R14" s="4"/>
      <c r="S14" s="4"/>
    </row>
    <row r="15" spans="3:19" s="6" customFormat="1" ht="24.6" customHeight="1">
      <c r="C15" s="5"/>
      <c r="D15" s="5"/>
      <c r="E15" s="26">
        <f>K10+1</f>
        <v>9</v>
      </c>
      <c r="F15" s="27">
        <f t="shared" ref="F15:K15" si="0">E15+1</f>
        <v>10</v>
      </c>
      <c r="G15" s="27">
        <f t="shared" si="0"/>
        <v>11</v>
      </c>
      <c r="H15" s="27">
        <f t="shared" si="0"/>
        <v>12</v>
      </c>
      <c r="I15" s="27">
        <f t="shared" si="0"/>
        <v>13</v>
      </c>
      <c r="J15" s="27">
        <f t="shared" si="0"/>
        <v>14</v>
      </c>
      <c r="K15" s="52">
        <f t="shared" si="0"/>
        <v>15</v>
      </c>
      <c r="L15" s="4"/>
      <c r="M15" s="1453"/>
      <c r="N15" s="1453"/>
      <c r="O15" s="1453"/>
      <c r="P15" s="4"/>
      <c r="Q15" s="4"/>
      <c r="R15" s="4"/>
      <c r="S15" s="4"/>
    </row>
    <row r="16" spans="3:19" s="6" customFormat="1" ht="24.6" customHeight="1">
      <c r="C16" s="12" t="s">
        <v>9</v>
      </c>
      <c r="D16" s="13"/>
      <c r="E16" s="14"/>
      <c r="F16" s="14"/>
      <c r="G16" s="14"/>
      <c r="H16" s="14"/>
      <c r="I16" s="88" t="s">
        <v>250</v>
      </c>
      <c r="J16" s="88" t="s">
        <v>251</v>
      </c>
      <c r="K16" s="14"/>
      <c r="L16" s="4"/>
      <c r="M16" s="4"/>
      <c r="N16" s="4"/>
      <c r="O16" s="4"/>
      <c r="P16" s="4"/>
      <c r="Q16" s="4"/>
      <c r="R16" s="4"/>
      <c r="S16" s="4"/>
    </row>
    <row r="17" spans="3:11" s="6" customFormat="1" ht="24.6" customHeight="1">
      <c r="C17" s="16" t="s">
        <v>7</v>
      </c>
      <c r="D17" s="13"/>
      <c r="E17" s="14"/>
      <c r="F17" s="14"/>
      <c r="G17" s="14"/>
      <c r="H17" s="14"/>
      <c r="I17" s="14"/>
      <c r="J17" s="14"/>
      <c r="K17" s="14"/>
    </row>
    <row r="18" spans="3:11" s="6" customFormat="1" ht="24.6" customHeight="1">
      <c r="C18" s="17" t="s">
        <v>8</v>
      </c>
      <c r="D18" s="13"/>
      <c r="E18" s="14"/>
      <c r="F18" s="14"/>
      <c r="G18" s="14"/>
      <c r="H18" s="14"/>
      <c r="I18" s="14"/>
      <c r="J18" s="14"/>
      <c r="K18" s="14"/>
    </row>
    <row r="19" spans="3:11" s="6" customFormat="1" ht="24.6" customHeight="1">
      <c r="D19" s="13"/>
      <c r="E19" s="1464" t="s">
        <v>186</v>
      </c>
      <c r="F19" s="1465"/>
      <c r="G19" s="1466"/>
      <c r="H19" s="14"/>
      <c r="I19" s="14"/>
      <c r="J19" s="14"/>
      <c r="K19" s="14"/>
    </row>
    <row r="20" spans="3:11" s="6" customFormat="1" ht="24.6" customHeight="1">
      <c r="C20" s="5"/>
      <c r="D20" s="5"/>
      <c r="E20" s="23">
        <f>K15+1</f>
        <v>16</v>
      </c>
      <c r="F20" s="37">
        <f t="shared" ref="F20:K20" si="1">E20+1</f>
        <v>17</v>
      </c>
      <c r="G20" s="37">
        <f t="shared" si="1"/>
        <v>18</v>
      </c>
      <c r="H20" s="37">
        <f t="shared" si="1"/>
        <v>19</v>
      </c>
      <c r="I20" s="37">
        <f t="shared" si="1"/>
        <v>20</v>
      </c>
      <c r="J20" s="37">
        <f t="shared" si="1"/>
        <v>21</v>
      </c>
      <c r="K20" s="23">
        <f t="shared" si="1"/>
        <v>22</v>
      </c>
    </row>
    <row r="21" spans="3:11" s="6" customFormat="1" ht="24.6" customHeight="1">
      <c r="C21" s="12" t="s">
        <v>9</v>
      </c>
      <c r="D21" s="13"/>
      <c r="E21" s="88" t="s">
        <v>252</v>
      </c>
      <c r="F21" s="24"/>
      <c r="G21" s="24"/>
      <c r="H21" s="24"/>
      <c r="I21" s="88" t="s">
        <v>253</v>
      </c>
      <c r="J21" s="88" t="s">
        <v>247</v>
      </c>
      <c r="K21" s="24"/>
    </row>
    <row r="22" spans="3:11" s="6" customFormat="1" ht="24.6" customHeight="1">
      <c r="C22" s="16" t="s">
        <v>7</v>
      </c>
      <c r="D22" s="13"/>
      <c r="E22" s="24"/>
      <c r="F22" s="24"/>
      <c r="G22" s="24"/>
      <c r="H22" s="24"/>
      <c r="I22" s="24"/>
      <c r="J22" s="84"/>
      <c r="K22" s="32"/>
    </row>
    <row r="23" spans="3:11" s="6" customFormat="1" ht="24.6" customHeight="1">
      <c r="C23" s="17" t="s">
        <v>8</v>
      </c>
      <c r="D23" s="13"/>
      <c r="E23" s="24"/>
      <c r="F23" s="32"/>
      <c r="G23" s="24"/>
      <c r="H23" s="24"/>
      <c r="I23" s="24"/>
      <c r="K23" s="24"/>
    </row>
    <row r="24" spans="3:11" s="6" customFormat="1" ht="24.6" customHeight="1">
      <c r="C24" s="30"/>
      <c r="D24" s="13"/>
      <c r="E24" s="24"/>
      <c r="F24" s="24"/>
      <c r="G24" s="24"/>
      <c r="H24" s="24"/>
      <c r="I24" s="24"/>
      <c r="K24" s="24"/>
    </row>
    <row r="25" spans="3:11" s="6" customFormat="1" ht="24.6" customHeight="1">
      <c r="C25" s="30"/>
      <c r="D25" s="13"/>
      <c r="E25" s="31">
        <f>K20+1</f>
        <v>23</v>
      </c>
      <c r="F25" s="27">
        <f t="shared" ref="F25:K25" si="2">E25+1</f>
        <v>24</v>
      </c>
      <c r="G25" s="27">
        <f t="shared" si="2"/>
        <v>25</v>
      </c>
      <c r="H25" s="27">
        <f t="shared" si="2"/>
        <v>26</v>
      </c>
      <c r="I25" s="27">
        <f t="shared" si="2"/>
        <v>27</v>
      </c>
      <c r="J25" s="27">
        <f t="shared" si="2"/>
        <v>28</v>
      </c>
      <c r="K25" s="27">
        <f t="shared" si="2"/>
        <v>29</v>
      </c>
    </row>
    <row r="26" spans="3:11" s="6" customFormat="1" ht="24.6" customHeight="1">
      <c r="C26" s="12" t="s">
        <v>9</v>
      </c>
      <c r="D26" s="13"/>
      <c r="E26" s="38"/>
      <c r="F26" s="45" t="s">
        <v>248</v>
      </c>
      <c r="G26" s="38"/>
      <c r="H26" s="36"/>
      <c r="I26" s="14"/>
      <c r="J26" s="14"/>
      <c r="K26" s="15" t="s">
        <v>24</v>
      </c>
    </row>
    <row r="27" spans="3:11" s="6" customFormat="1" ht="24.6" customHeight="1">
      <c r="C27" s="16" t="s">
        <v>7</v>
      </c>
      <c r="D27" s="13"/>
      <c r="E27" s="38"/>
      <c r="F27" s="88" t="s">
        <v>249</v>
      </c>
      <c r="G27" s="14"/>
      <c r="H27" s="14"/>
      <c r="I27" s="14"/>
      <c r="J27" s="14"/>
      <c r="K27" s="14"/>
    </row>
    <row r="28" spans="3:11" s="6" customFormat="1" ht="24.6" customHeight="1">
      <c r="C28" s="17" t="s">
        <v>8</v>
      </c>
      <c r="D28" s="13"/>
      <c r="E28" s="38"/>
      <c r="F28" s="38"/>
      <c r="G28" s="38"/>
      <c r="H28" s="106"/>
      <c r="I28" s="14"/>
      <c r="J28" s="14"/>
      <c r="K28" s="14"/>
    </row>
    <row r="29" spans="3:11" s="6" customFormat="1" ht="24.6" customHeight="1">
      <c r="D29" s="13"/>
      <c r="E29" s="36"/>
      <c r="F29" s="14"/>
      <c r="G29" s="14"/>
      <c r="H29" s="14"/>
      <c r="I29" s="14"/>
      <c r="J29" s="14"/>
      <c r="K29" s="14"/>
    </row>
    <row r="30" spans="3:11" s="6" customFormat="1" ht="24.6" customHeight="1">
      <c r="C30" s="5"/>
      <c r="D30" s="5"/>
      <c r="E30" s="23">
        <v>30</v>
      </c>
      <c r="F30" s="37">
        <v>31</v>
      </c>
      <c r="G30" s="37"/>
      <c r="H30" s="37"/>
      <c r="I30" s="37"/>
      <c r="J30" s="37"/>
      <c r="K30" s="23"/>
    </row>
    <row r="31" spans="3:11" s="6" customFormat="1" ht="24.6" customHeight="1">
      <c r="C31" s="12" t="s">
        <v>9</v>
      </c>
      <c r="D31" s="13"/>
      <c r="E31" s="32"/>
      <c r="F31" s="84"/>
      <c r="G31" s="32"/>
      <c r="H31" s="32"/>
      <c r="I31" s="32"/>
      <c r="K31" s="32"/>
    </row>
    <row r="32" spans="3:11" s="6" customFormat="1" ht="24.6" customHeight="1">
      <c r="C32" s="16" t="s">
        <v>7</v>
      </c>
      <c r="D32" s="13"/>
      <c r="E32" s="32"/>
      <c r="F32" s="84"/>
      <c r="G32" s="32"/>
      <c r="H32" s="32"/>
      <c r="I32" s="32"/>
      <c r="K32" s="32"/>
    </row>
    <row r="33" spans="1:19" ht="24.6" customHeight="1">
      <c r="A33" s="6"/>
      <c r="B33" s="6"/>
      <c r="C33" s="50" t="s">
        <v>8</v>
      </c>
      <c r="D33" s="47"/>
      <c r="E33" s="48"/>
      <c r="F33" s="24"/>
      <c r="G33" s="24"/>
      <c r="H33" s="48"/>
      <c r="I33" s="48"/>
      <c r="J33" s="51"/>
      <c r="K33" s="48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/>
      <c r="E34" s="49"/>
      <c r="F34" s="49"/>
      <c r="G34" s="49"/>
      <c r="L34" s="6"/>
      <c r="M34" s="6"/>
      <c r="N34" s="6"/>
      <c r="O34" s="6"/>
      <c r="P34" s="6"/>
      <c r="Q34" s="6"/>
      <c r="R34" s="6"/>
      <c r="S34" s="6"/>
    </row>
    <row r="37" spans="1:19">
      <c r="G37" s="90" t="s">
        <v>79</v>
      </c>
      <c r="H37" s="90"/>
    </row>
    <row r="38" spans="1:19">
      <c r="F38" s="90" t="s">
        <v>76</v>
      </c>
      <c r="G38" s="4">
        <v>10</v>
      </c>
    </row>
    <row r="39" spans="1:19">
      <c r="F39" s="90" t="s">
        <v>77</v>
      </c>
      <c r="G39" s="4">
        <v>3</v>
      </c>
    </row>
    <row r="40" spans="1:19">
      <c r="F40" s="90" t="s">
        <v>78</v>
      </c>
      <c r="G40" s="4">
        <v>1</v>
      </c>
    </row>
    <row r="41" spans="1:19" s="84" customFormat="1">
      <c r="A41" s="4"/>
      <c r="B41" s="4"/>
      <c r="C41" s="4"/>
      <c r="D41" s="4"/>
      <c r="E41" s="4"/>
      <c r="F41" s="90" t="s">
        <v>129</v>
      </c>
      <c r="G41" s="4"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s="84" customFormat="1">
      <c r="A42" s="4"/>
      <c r="B42" s="4"/>
      <c r="C42" s="4"/>
      <c r="D42" s="4"/>
      <c r="E42" s="4"/>
      <c r="F42" s="90" t="s">
        <v>192</v>
      </c>
      <c r="G42" s="4"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ht="14.25" customHeight="1">
      <c r="F43" s="90" t="s">
        <v>36</v>
      </c>
      <c r="G43" s="4">
        <f>SUM(G38:G42)</f>
        <v>14</v>
      </c>
    </row>
  </sheetData>
  <mergeCells count="5">
    <mergeCell ref="E19:G19"/>
    <mergeCell ref="E3:G3"/>
    <mergeCell ref="H3:K3"/>
    <mergeCell ref="M15:O15"/>
    <mergeCell ref="H14:K14"/>
  </mergeCells>
  <phoneticPr fontId="6" type="noConversion"/>
  <pageMargins left="0.7" right="0.7" top="0.75" bottom="0.75" header="0.3" footer="0.3"/>
  <pageSetup paperSize="9" scale="4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S44"/>
  <sheetViews>
    <sheetView topLeftCell="D7" zoomScale="70" zoomScaleNormal="70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3:19" s="6" customFormat="1" ht="19.149999999999999"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s="6" customFormat="1" ht="19.149999999999999">
      <c r="C2" s="5"/>
      <c r="D2" s="5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</row>
    <row r="3" spans="3:19" s="6" customFormat="1" ht="57">
      <c r="C3" s="5"/>
      <c r="D3" s="5"/>
      <c r="E3" s="1450">
        <v>42948</v>
      </c>
      <c r="F3" s="1450"/>
      <c r="G3" s="1450"/>
      <c r="H3" s="1451" t="s">
        <v>10</v>
      </c>
      <c r="I3" s="1452"/>
      <c r="J3" s="1452"/>
      <c r="K3" s="1452"/>
      <c r="L3" s="4"/>
      <c r="M3" s="4"/>
      <c r="N3" s="4"/>
      <c r="O3" s="4"/>
      <c r="P3" s="4"/>
      <c r="Q3" s="4"/>
      <c r="R3" s="4"/>
      <c r="S3" s="4"/>
    </row>
    <row r="4" spans="3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3:19" s="5" customFormat="1" ht="24.6" customHeight="1">
      <c r="E5" s="9"/>
      <c r="F5" s="10"/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4"/>
      <c r="M5" s="4"/>
      <c r="N5" s="4"/>
      <c r="R5" s="11"/>
      <c r="S5" s="4"/>
    </row>
    <row r="6" spans="3:19" s="5" customFormat="1" ht="24.6" customHeight="1"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3:19" s="5" customFormat="1" ht="24.6" customHeight="1">
      <c r="C7" s="16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3:19" s="5" customFormat="1" ht="24.6" customHeight="1">
      <c r="C8" s="17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3:19" s="5" customFormat="1" ht="24.6" customHeight="1">
      <c r="D9" s="13"/>
      <c r="E9" s="14"/>
      <c r="F9" s="103" t="s">
        <v>197</v>
      </c>
      <c r="G9" s="103" t="s">
        <v>198</v>
      </c>
      <c r="H9" s="104"/>
      <c r="I9" s="104" t="s">
        <v>199</v>
      </c>
      <c r="J9" s="104" t="s">
        <v>200</v>
      </c>
      <c r="K9" s="105" t="s">
        <v>201</v>
      </c>
      <c r="L9" s="4"/>
      <c r="M9" s="4"/>
      <c r="N9" s="4"/>
      <c r="R9" s="11"/>
      <c r="S9" s="4"/>
    </row>
    <row r="10" spans="3:19" s="6" customFormat="1" ht="24.6" customHeight="1">
      <c r="C10" s="5"/>
      <c r="D10" s="5"/>
      <c r="E10" s="23">
        <f>K5+1</f>
        <v>6</v>
      </c>
      <c r="F10" s="58">
        <v>7</v>
      </c>
      <c r="G10" s="58">
        <v>8</v>
      </c>
      <c r="H10" s="58">
        <v>9</v>
      </c>
      <c r="I10" s="58">
        <v>10</v>
      </c>
      <c r="J10" s="58">
        <v>11</v>
      </c>
      <c r="K10" s="58">
        <v>12</v>
      </c>
      <c r="L10" s="4"/>
      <c r="M10" s="4"/>
      <c r="N10" s="4"/>
      <c r="O10" s="4"/>
      <c r="P10" s="4"/>
      <c r="Q10" s="4"/>
      <c r="R10" s="4"/>
      <c r="S10" s="4"/>
    </row>
    <row r="11" spans="3:19" s="6" customFormat="1" ht="24.6" customHeight="1">
      <c r="C11" s="12" t="s">
        <v>9</v>
      </c>
      <c r="D11" s="13"/>
      <c r="E11" s="24"/>
      <c r="F11" s="24"/>
      <c r="G11" s="32"/>
      <c r="H11" s="88" t="s">
        <v>203</v>
      </c>
      <c r="I11" s="88" t="s">
        <v>204</v>
      </c>
      <c r="J11" s="88" t="s">
        <v>205</v>
      </c>
      <c r="K11" s="32"/>
      <c r="M11" s="4"/>
      <c r="N11" s="4"/>
      <c r="O11" s="4"/>
      <c r="P11" s="4"/>
      <c r="Q11" s="4"/>
      <c r="R11" s="4"/>
      <c r="S11" s="4"/>
    </row>
    <row r="12" spans="3:19" s="6" customFormat="1" ht="24.6" customHeight="1">
      <c r="C12" s="16" t="s">
        <v>7</v>
      </c>
      <c r="D12" s="13"/>
      <c r="E12" s="24"/>
      <c r="F12" s="24"/>
      <c r="G12" s="32"/>
      <c r="H12" s="24"/>
      <c r="I12" s="32"/>
      <c r="J12" s="84"/>
      <c r="K12" s="32"/>
      <c r="L12" s="4"/>
      <c r="M12" s="4"/>
      <c r="N12" s="4"/>
      <c r="O12" s="4"/>
      <c r="P12" s="4"/>
      <c r="Q12" s="4"/>
      <c r="R12" s="4"/>
      <c r="S12" s="4"/>
    </row>
    <row r="13" spans="3:19" s="6" customFormat="1" ht="24.6" customHeight="1">
      <c r="C13" s="17" t="s">
        <v>8</v>
      </c>
      <c r="D13" s="13"/>
      <c r="E13" s="24"/>
      <c r="F13" s="24"/>
      <c r="G13" s="32"/>
      <c r="H13" s="24"/>
      <c r="I13" s="32"/>
      <c r="J13" s="84"/>
      <c r="K13" s="32"/>
      <c r="L13" s="4"/>
      <c r="M13" s="4"/>
      <c r="N13" s="4"/>
      <c r="O13" s="4"/>
      <c r="P13" s="4"/>
      <c r="Q13" s="4"/>
      <c r="R13" s="4"/>
      <c r="S13" s="4"/>
    </row>
    <row r="14" spans="3:19" s="6" customFormat="1" ht="24.6" customHeight="1">
      <c r="D14" s="13"/>
      <c r="E14" s="48"/>
      <c r="F14" s="32" t="s">
        <v>202</v>
      </c>
      <c r="G14" s="24"/>
      <c r="H14" s="48"/>
      <c r="I14" s="48"/>
      <c r="J14" s="51"/>
      <c r="K14" s="48"/>
      <c r="L14" s="4"/>
      <c r="M14" s="4"/>
      <c r="N14" s="4"/>
      <c r="O14" s="4"/>
      <c r="P14" s="4"/>
      <c r="Q14" s="4"/>
      <c r="R14" s="4"/>
      <c r="S14" s="4"/>
    </row>
    <row r="15" spans="3:19" s="6" customFormat="1" ht="24.6" customHeight="1">
      <c r="C15" s="5"/>
      <c r="D15" s="5"/>
      <c r="E15" s="26">
        <f>K10+1</f>
        <v>13</v>
      </c>
      <c r="F15" s="27">
        <f t="shared" ref="F15:K15" si="0">E15+1</f>
        <v>14</v>
      </c>
      <c r="G15" s="27">
        <f t="shared" si="0"/>
        <v>15</v>
      </c>
      <c r="H15" s="27">
        <f t="shared" si="0"/>
        <v>16</v>
      </c>
      <c r="I15" s="27">
        <f t="shared" si="0"/>
        <v>17</v>
      </c>
      <c r="J15" s="27">
        <f t="shared" si="0"/>
        <v>18</v>
      </c>
      <c r="K15" s="52">
        <f t="shared" si="0"/>
        <v>19</v>
      </c>
      <c r="L15" s="4"/>
      <c r="M15" s="1453"/>
      <c r="N15" s="1453"/>
      <c r="O15" s="1453"/>
      <c r="P15" s="4"/>
      <c r="Q15" s="4"/>
      <c r="R15" s="4"/>
      <c r="S15" s="4"/>
    </row>
    <row r="16" spans="3:19" s="6" customFormat="1" ht="24.6" customHeight="1">
      <c r="C16" s="12" t="s">
        <v>9</v>
      </c>
      <c r="D16" s="13"/>
      <c r="E16" s="14"/>
      <c r="F16" s="88" t="s">
        <v>235</v>
      </c>
      <c r="G16" s="115" t="s">
        <v>259</v>
      </c>
      <c r="H16" s="33"/>
      <c r="I16" s="33"/>
      <c r="J16" s="88" t="s">
        <v>236</v>
      </c>
      <c r="K16" s="14"/>
      <c r="L16" s="4"/>
      <c r="M16" s="4"/>
      <c r="N16" s="4"/>
      <c r="O16" s="4"/>
      <c r="P16" s="4"/>
      <c r="Q16" s="4"/>
      <c r="R16" s="4"/>
      <c r="S16" s="4"/>
    </row>
    <row r="17" spans="3:11" s="6" customFormat="1" ht="24.6" customHeight="1">
      <c r="C17" s="16" t="s">
        <v>7</v>
      </c>
      <c r="D17" s="13"/>
      <c r="E17" s="14"/>
      <c r="F17" s="55" t="s">
        <v>195</v>
      </c>
      <c r="G17" s="55" t="s">
        <v>196</v>
      </c>
      <c r="H17" s="33"/>
      <c r="I17" s="33"/>
      <c r="J17" s="14"/>
      <c r="K17" s="14"/>
    </row>
    <row r="18" spans="3:11" s="6" customFormat="1" ht="24.6" customHeight="1">
      <c r="C18" s="17" t="s">
        <v>8</v>
      </c>
      <c r="D18" s="13"/>
      <c r="E18" s="14"/>
      <c r="F18" s="14"/>
      <c r="G18" s="14"/>
      <c r="H18" s="33"/>
      <c r="I18" s="33"/>
      <c r="J18" s="14"/>
      <c r="K18" s="14"/>
    </row>
    <row r="19" spans="3:11" s="6" customFormat="1" ht="24.6" customHeight="1">
      <c r="D19" s="13"/>
      <c r="E19" s="14"/>
      <c r="F19" s="14"/>
      <c r="G19" s="14"/>
      <c r="H19" s="33"/>
      <c r="I19" s="33"/>
      <c r="J19" s="14"/>
      <c r="K19" s="14"/>
    </row>
    <row r="20" spans="3:11" s="6" customFormat="1" ht="24.6" customHeight="1">
      <c r="C20" s="5"/>
      <c r="D20" s="5"/>
      <c r="E20" s="23">
        <f>K15+1</f>
        <v>20</v>
      </c>
      <c r="F20" s="37">
        <f t="shared" ref="F20:K20" si="1">E20+1</f>
        <v>21</v>
      </c>
      <c r="G20" s="37">
        <f t="shared" si="1"/>
        <v>22</v>
      </c>
      <c r="H20" s="37">
        <f t="shared" si="1"/>
        <v>23</v>
      </c>
      <c r="I20" s="37">
        <f t="shared" si="1"/>
        <v>24</v>
      </c>
      <c r="J20" s="37">
        <f t="shared" si="1"/>
        <v>25</v>
      </c>
      <c r="K20" s="23">
        <f t="shared" si="1"/>
        <v>26</v>
      </c>
    </row>
    <row r="21" spans="3:11" s="6" customFormat="1" ht="24.6" customHeight="1">
      <c r="C21" s="12" t="s">
        <v>9</v>
      </c>
      <c r="D21" s="13"/>
      <c r="E21" s="24"/>
      <c r="F21" s="88" t="s">
        <v>237</v>
      </c>
      <c r="H21" s="88" t="s">
        <v>238</v>
      </c>
      <c r="I21" s="24"/>
      <c r="J21" s="86" t="s">
        <v>239</v>
      </c>
      <c r="K21" s="32"/>
    </row>
    <row r="22" spans="3:11" s="6" customFormat="1" ht="24.6" customHeight="1">
      <c r="C22" s="16" t="s">
        <v>7</v>
      </c>
      <c r="D22" s="13"/>
      <c r="E22" s="24"/>
      <c r="F22" s="88" t="s">
        <v>206</v>
      </c>
      <c r="G22" s="88" t="s">
        <v>243</v>
      </c>
      <c r="H22" s="88" t="s">
        <v>244</v>
      </c>
      <c r="I22" s="88" t="s">
        <v>245</v>
      </c>
      <c r="J22" s="24"/>
      <c r="K22" s="24"/>
    </row>
    <row r="23" spans="3:11" s="6" customFormat="1" ht="24.6" customHeight="1">
      <c r="C23" s="17" t="s">
        <v>8</v>
      </c>
      <c r="D23" s="13"/>
      <c r="E23" s="24"/>
      <c r="F23" s="24"/>
      <c r="G23" s="24"/>
      <c r="H23" s="24"/>
      <c r="I23" s="24"/>
      <c r="K23" s="24"/>
    </row>
    <row r="24" spans="3:11" s="6" customFormat="1" ht="24.6" customHeight="1">
      <c r="C24" s="30"/>
      <c r="D24" s="13"/>
      <c r="E24" s="24"/>
      <c r="G24" s="24"/>
      <c r="H24" s="24"/>
      <c r="I24" s="24"/>
      <c r="K24" s="24"/>
    </row>
    <row r="25" spans="3:11" s="6" customFormat="1" ht="24.6" customHeight="1">
      <c r="C25" s="30"/>
      <c r="D25" s="13"/>
      <c r="E25" s="31">
        <f>K20+1</f>
        <v>27</v>
      </c>
      <c r="F25" s="27">
        <f>E25+1</f>
        <v>28</v>
      </c>
      <c r="G25" s="27">
        <f>F25+1</f>
        <v>29</v>
      </c>
      <c r="H25" s="27">
        <f>G25+1</f>
        <v>30</v>
      </c>
      <c r="I25" s="27">
        <f>H25+1</f>
        <v>31</v>
      </c>
      <c r="J25" s="27"/>
      <c r="K25" s="27"/>
    </row>
    <row r="26" spans="3:11" s="6" customFormat="1" ht="24.6" customHeight="1">
      <c r="C26" s="12" t="s">
        <v>9</v>
      </c>
      <c r="D26" s="13"/>
      <c r="E26" s="38"/>
      <c r="F26" s="89" t="s">
        <v>240</v>
      </c>
      <c r="G26" s="38"/>
      <c r="H26" s="89" t="s">
        <v>241</v>
      </c>
      <c r="I26" s="38"/>
      <c r="J26" s="14"/>
      <c r="K26" s="14"/>
    </row>
    <row r="27" spans="3:11" s="6" customFormat="1" ht="24.6" customHeight="1">
      <c r="C27" s="16" t="s">
        <v>7</v>
      </c>
      <c r="D27" s="13"/>
      <c r="E27" s="38"/>
      <c r="F27" s="38"/>
      <c r="G27" s="88" t="s">
        <v>246</v>
      </c>
      <c r="H27" s="88" t="s">
        <v>247</v>
      </c>
      <c r="I27" s="14"/>
      <c r="J27" s="14"/>
      <c r="K27" s="14"/>
    </row>
    <row r="28" spans="3:11" s="6" customFormat="1" ht="24.6" customHeight="1">
      <c r="C28" s="17" t="s">
        <v>8</v>
      </c>
      <c r="D28" s="13"/>
      <c r="E28" s="38"/>
      <c r="F28" s="38"/>
      <c r="G28" s="38"/>
      <c r="H28" s="36"/>
      <c r="I28" s="14"/>
      <c r="J28" s="14"/>
      <c r="K28" s="14"/>
    </row>
    <row r="29" spans="3:11" s="6" customFormat="1" ht="24.6" customHeight="1">
      <c r="D29" s="13"/>
      <c r="E29" s="36"/>
      <c r="F29" s="14"/>
      <c r="G29" s="14"/>
      <c r="H29" s="14"/>
      <c r="I29" s="14"/>
      <c r="J29" s="14"/>
      <c r="K29" s="14"/>
    </row>
    <row r="30" spans="3:11" s="6" customFormat="1" ht="24.6" customHeight="1">
      <c r="C30" s="5"/>
      <c r="D30" s="5"/>
      <c r="E30" s="23">
        <v>30</v>
      </c>
      <c r="F30" s="37">
        <v>31</v>
      </c>
      <c r="G30" s="37"/>
      <c r="H30" s="37"/>
      <c r="I30" s="37"/>
      <c r="J30" s="37"/>
      <c r="K30" s="23"/>
    </row>
    <row r="31" spans="3:11" s="6" customFormat="1" ht="24.6" customHeight="1">
      <c r="C31" s="12" t="s">
        <v>9</v>
      </c>
      <c r="D31" s="13"/>
      <c r="E31" s="24"/>
      <c r="F31" s="24"/>
      <c r="G31" s="32"/>
      <c r="H31" s="24"/>
      <c r="I31" s="32"/>
      <c r="K31" s="32"/>
    </row>
    <row r="32" spans="3:11" s="6" customFormat="1" ht="24.6" customHeight="1">
      <c r="C32" s="16" t="s">
        <v>7</v>
      </c>
      <c r="D32" s="13"/>
      <c r="E32" s="24"/>
      <c r="F32" s="24"/>
      <c r="G32" s="32"/>
      <c r="H32" s="24"/>
      <c r="I32" s="32"/>
      <c r="K32" s="32"/>
    </row>
    <row r="33" spans="3:11" s="6" customFormat="1" ht="24.6" customHeight="1">
      <c r="C33" s="50" t="s">
        <v>8</v>
      </c>
      <c r="D33" s="47"/>
      <c r="E33" s="48"/>
      <c r="F33" s="24"/>
      <c r="G33" s="24"/>
      <c r="H33" s="48"/>
      <c r="I33" s="48"/>
      <c r="J33" s="51"/>
      <c r="K33" s="48"/>
    </row>
    <row r="34" spans="3:11" s="6" customFormat="1">
      <c r="C34" s="4"/>
      <c r="D34" s="4"/>
      <c r="E34" s="49"/>
      <c r="F34" s="49"/>
      <c r="G34" s="49"/>
      <c r="H34" s="4"/>
      <c r="I34" s="4"/>
      <c r="J34" s="4"/>
      <c r="K34" s="4"/>
    </row>
    <row r="38" spans="3:11">
      <c r="H38" s="90" t="s">
        <v>79</v>
      </c>
      <c r="I38" s="90" t="s">
        <v>207</v>
      </c>
    </row>
    <row r="39" spans="3:11">
      <c r="G39" s="90" t="s">
        <v>76</v>
      </c>
      <c r="H39" s="4">
        <v>8</v>
      </c>
      <c r="I39" s="4">
        <v>8</v>
      </c>
    </row>
    <row r="40" spans="3:11">
      <c r="G40" s="90" t="s">
        <v>77</v>
      </c>
      <c r="H40" s="4">
        <v>2</v>
      </c>
      <c r="I40" s="4">
        <v>0</v>
      </c>
    </row>
    <row r="41" spans="3:11">
      <c r="G41" s="90" t="s">
        <v>78</v>
      </c>
      <c r="H41" s="4">
        <v>1</v>
      </c>
      <c r="I41" s="4">
        <v>0</v>
      </c>
    </row>
    <row r="42" spans="3:11">
      <c r="G42" s="90" t="s">
        <v>129</v>
      </c>
      <c r="H42" s="4">
        <v>0</v>
      </c>
      <c r="I42" s="4">
        <v>0</v>
      </c>
    </row>
    <row r="43" spans="3:11">
      <c r="G43" s="90" t="s">
        <v>105</v>
      </c>
      <c r="H43" s="4">
        <v>0</v>
      </c>
      <c r="I43" s="4">
        <v>0</v>
      </c>
    </row>
    <row r="44" spans="3:11">
      <c r="G44" s="90" t="s">
        <v>36</v>
      </c>
      <c r="H44" s="4">
        <f>SUM(H39:H43)</f>
        <v>11</v>
      </c>
      <c r="I44" s="4">
        <f>SUM(I39:I43)</f>
        <v>8</v>
      </c>
    </row>
  </sheetData>
  <mergeCells count="3">
    <mergeCell ref="E3:G3"/>
    <mergeCell ref="H3:K3"/>
    <mergeCell ref="M15:O15"/>
  </mergeCells>
  <phoneticPr fontId="6" type="noConversion"/>
  <pageMargins left="0.7" right="0.7" top="0.75" bottom="0.75" header="0.3" footer="0.3"/>
  <pageSetup paperSize="9"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S44"/>
  <sheetViews>
    <sheetView topLeftCell="E4" zoomScale="70" zoomScaleNormal="70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3:19" s="6" customFormat="1" ht="19.149999999999999"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s="6" customFormat="1" ht="19.149999999999999">
      <c r="C2" s="5"/>
      <c r="D2" s="5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</row>
    <row r="3" spans="3:19" s="6" customFormat="1" ht="57">
      <c r="C3" s="5"/>
      <c r="D3" s="5"/>
      <c r="E3" s="1450">
        <v>42979</v>
      </c>
      <c r="F3" s="1450"/>
      <c r="G3" s="1450"/>
      <c r="H3" s="1451" t="s">
        <v>10</v>
      </c>
      <c r="I3" s="1452"/>
      <c r="J3" s="1452"/>
      <c r="K3" s="1452"/>
      <c r="L3" s="4"/>
      <c r="M3" s="4"/>
      <c r="N3" s="4"/>
      <c r="O3" s="4"/>
      <c r="P3" s="4"/>
      <c r="Q3" s="4"/>
      <c r="R3" s="4"/>
      <c r="S3" s="4"/>
    </row>
    <row r="4" spans="3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3:19" s="5" customFormat="1" ht="24.6" customHeight="1">
      <c r="E5" s="9"/>
      <c r="F5" s="10"/>
      <c r="G5" s="10"/>
      <c r="H5" s="35"/>
      <c r="I5" s="56"/>
      <c r="J5" s="56">
        <v>1</v>
      </c>
      <c r="K5" s="56">
        <v>2</v>
      </c>
      <c r="L5" s="4"/>
      <c r="M5" s="4"/>
      <c r="N5" s="4"/>
      <c r="R5" s="11"/>
      <c r="S5" s="4"/>
    </row>
    <row r="6" spans="3:19" s="5" customFormat="1" ht="24.6" customHeight="1">
      <c r="C6" s="12" t="s">
        <v>9</v>
      </c>
      <c r="D6" s="13"/>
      <c r="E6" s="14"/>
      <c r="F6" s="14"/>
      <c r="G6" s="14"/>
      <c r="H6" s="14"/>
      <c r="I6" s="36"/>
      <c r="J6" s="88" t="s">
        <v>242</v>
      </c>
      <c r="K6" s="14"/>
      <c r="L6" s="4"/>
      <c r="M6" s="4"/>
      <c r="N6" s="4"/>
      <c r="R6" s="11"/>
      <c r="S6" s="4"/>
    </row>
    <row r="7" spans="3:19" s="5" customFormat="1" ht="24.6" customHeight="1">
      <c r="C7" s="16" t="s">
        <v>7</v>
      </c>
      <c r="D7" s="13"/>
      <c r="E7" s="14"/>
      <c r="F7" s="14"/>
      <c r="G7" s="14"/>
      <c r="H7" s="14"/>
      <c r="I7" s="36"/>
      <c r="J7" s="113"/>
      <c r="K7" s="14"/>
      <c r="L7" s="4"/>
      <c r="M7" s="4"/>
      <c r="N7" s="4"/>
      <c r="R7" s="11"/>
      <c r="S7" s="4"/>
    </row>
    <row r="8" spans="3:19" s="5" customFormat="1" ht="24.6" customHeight="1">
      <c r="C8" s="17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3:19" s="5" customFormat="1" ht="24.6" customHeight="1">
      <c r="D9" s="13"/>
      <c r="E9" s="14"/>
      <c r="F9" s="14"/>
      <c r="G9" s="14"/>
      <c r="H9" s="14"/>
      <c r="I9" s="36"/>
      <c r="J9" s="14"/>
      <c r="K9" s="14"/>
      <c r="L9" s="4"/>
      <c r="M9" s="4"/>
      <c r="N9" s="4"/>
      <c r="R9" s="11"/>
      <c r="S9" s="4"/>
    </row>
    <row r="10" spans="3:19" s="6" customFormat="1" ht="24.6" customHeight="1">
      <c r="C10" s="5"/>
      <c r="D10" s="5"/>
      <c r="E10" s="23">
        <f>K5+1</f>
        <v>3</v>
      </c>
      <c r="F10" s="58">
        <v>4</v>
      </c>
      <c r="G10" s="58">
        <v>5</v>
      </c>
      <c r="H10" s="58">
        <v>6</v>
      </c>
      <c r="I10" s="58">
        <v>7</v>
      </c>
      <c r="J10" s="58">
        <v>8</v>
      </c>
      <c r="K10" s="23">
        <v>9</v>
      </c>
      <c r="L10" s="4"/>
      <c r="M10" s="4"/>
      <c r="N10" s="4"/>
      <c r="O10" s="4"/>
      <c r="P10" s="4"/>
      <c r="Q10" s="4"/>
      <c r="R10" s="4"/>
      <c r="S10" s="4"/>
    </row>
    <row r="11" spans="3:19" s="6" customFormat="1" ht="24.6" customHeight="1">
      <c r="C11" s="12" t="s">
        <v>9</v>
      </c>
      <c r="D11" s="13"/>
      <c r="E11" s="24"/>
      <c r="F11" s="86" t="s">
        <v>271</v>
      </c>
      <c r="H11" s="24"/>
      <c r="I11" s="89" t="s">
        <v>263</v>
      </c>
      <c r="K11" s="24"/>
      <c r="L11" s="4"/>
      <c r="M11" s="4"/>
      <c r="N11" s="4"/>
      <c r="O11" s="4"/>
      <c r="P11" s="4"/>
      <c r="Q11" s="4"/>
      <c r="R11" s="4"/>
      <c r="S11" s="4"/>
    </row>
    <row r="12" spans="3:19" s="6" customFormat="1" ht="24.6" customHeight="1">
      <c r="C12" s="16" t="s">
        <v>7</v>
      </c>
      <c r="D12" s="13"/>
      <c r="E12" s="24"/>
      <c r="F12" s="88" t="s">
        <v>248</v>
      </c>
      <c r="G12" s="24"/>
      <c r="H12" s="24"/>
      <c r="I12" s="88" t="s">
        <v>235</v>
      </c>
      <c r="J12" s="88" t="s">
        <v>236</v>
      </c>
      <c r="K12" s="24"/>
      <c r="L12" s="4"/>
      <c r="M12" s="4"/>
      <c r="N12" s="4"/>
      <c r="O12" s="4"/>
      <c r="P12" s="4"/>
      <c r="Q12" s="4"/>
      <c r="R12" s="4"/>
      <c r="S12" s="4"/>
    </row>
    <row r="13" spans="3:19" s="6" customFormat="1" ht="24.6" customHeight="1">
      <c r="C13" s="17" t="s">
        <v>8</v>
      </c>
      <c r="D13" s="13"/>
      <c r="E13" s="24"/>
      <c r="F13" s="24"/>
      <c r="G13" s="24"/>
      <c r="H13" s="24"/>
      <c r="I13" s="24"/>
      <c r="J13" s="24"/>
      <c r="K13" s="24"/>
      <c r="L13" s="4"/>
      <c r="M13" s="4"/>
      <c r="N13" s="4"/>
      <c r="O13" s="4"/>
      <c r="P13" s="4"/>
      <c r="Q13" s="4"/>
      <c r="R13" s="4"/>
      <c r="S13" s="4"/>
    </row>
    <row r="14" spans="3:19" s="6" customFormat="1" ht="24.6" customHeight="1">
      <c r="D14" s="13"/>
      <c r="E14" s="24"/>
      <c r="F14" s="24"/>
      <c r="G14" s="24"/>
      <c r="H14" s="24"/>
      <c r="I14" s="24"/>
      <c r="J14" s="24"/>
      <c r="K14" s="24"/>
      <c r="L14" s="4"/>
      <c r="M14" s="4"/>
      <c r="N14" s="4"/>
      <c r="O14" s="4"/>
      <c r="P14" s="4"/>
      <c r="Q14" s="4"/>
      <c r="R14" s="4"/>
      <c r="S14" s="4"/>
    </row>
    <row r="15" spans="3:19" s="6" customFormat="1" ht="24.6" customHeight="1">
      <c r="C15" s="5"/>
      <c r="D15" s="5"/>
      <c r="E15" s="26">
        <f>K10+1</f>
        <v>10</v>
      </c>
      <c r="F15" s="27">
        <f t="shared" ref="F15:K15" si="0">E15+1</f>
        <v>11</v>
      </c>
      <c r="G15" s="27">
        <f t="shared" si="0"/>
        <v>12</v>
      </c>
      <c r="H15" s="27">
        <f t="shared" si="0"/>
        <v>13</v>
      </c>
      <c r="I15" s="27">
        <f t="shared" si="0"/>
        <v>14</v>
      </c>
      <c r="J15" s="27">
        <f t="shared" si="0"/>
        <v>15</v>
      </c>
      <c r="K15" s="52">
        <f t="shared" si="0"/>
        <v>16</v>
      </c>
      <c r="L15" s="4"/>
      <c r="M15" s="1453"/>
      <c r="N15" s="1453"/>
      <c r="O15" s="1453"/>
      <c r="P15" s="4"/>
      <c r="Q15" s="4"/>
      <c r="R15" s="4"/>
      <c r="S15" s="4"/>
    </row>
    <row r="16" spans="3:19" s="6" customFormat="1" ht="24.6" customHeight="1">
      <c r="C16" s="12" t="s">
        <v>9</v>
      </c>
      <c r="D16" s="13"/>
      <c r="E16" s="14"/>
      <c r="F16" s="89" t="s">
        <v>267</v>
      </c>
      <c r="G16" s="14"/>
      <c r="H16" s="33"/>
      <c r="I16" s="44" t="s">
        <v>266</v>
      </c>
      <c r="J16" s="14"/>
      <c r="K16" s="14"/>
      <c r="L16" s="4"/>
      <c r="M16" s="4"/>
      <c r="N16" s="4"/>
      <c r="O16" s="4"/>
      <c r="P16" s="4"/>
      <c r="Q16" s="4"/>
      <c r="R16" s="4"/>
      <c r="S16" s="4"/>
    </row>
    <row r="17" spans="3:11" s="6" customFormat="1" ht="24.6" customHeight="1">
      <c r="C17" s="16" t="s">
        <v>7</v>
      </c>
      <c r="D17" s="13"/>
      <c r="E17" s="14"/>
      <c r="F17" s="88" t="s">
        <v>260</v>
      </c>
      <c r="G17" s="14"/>
      <c r="H17" s="33"/>
      <c r="I17" s="88" t="s">
        <v>265</v>
      </c>
      <c r="J17" s="86" t="s">
        <v>264</v>
      </c>
      <c r="K17" s="14"/>
    </row>
    <row r="18" spans="3:11" s="6" customFormat="1" ht="24.6" customHeight="1">
      <c r="C18" s="17" t="s">
        <v>8</v>
      </c>
      <c r="D18" s="13"/>
      <c r="E18" s="14"/>
      <c r="F18" s="14"/>
      <c r="G18" s="14"/>
      <c r="H18" s="33"/>
      <c r="I18" s="33"/>
      <c r="J18" s="14"/>
      <c r="K18" s="14"/>
    </row>
    <row r="19" spans="3:11" s="6" customFormat="1" ht="24.6" customHeight="1">
      <c r="D19" s="13"/>
      <c r="E19" s="14"/>
      <c r="F19" s="14"/>
      <c r="G19" s="14"/>
      <c r="H19" s="33"/>
      <c r="I19" s="33"/>
      <c r="J19" s="14"/>
      <c r="K19" s="14"/>
    </row>
    <row r="20" spans="3:11" s="6" customFormat="1" ht="24.6" customHeight="1">
      <c r="C20" s="5"/>
      <c r="D20" s="5"/>
      <c r="E20" s="23">
        <f>K15+1</f>
        <v>17</v>
      </c>
      <c r="F20" s="37">
        <f t="shared" ref="F20:K20" si="1">E20+1</f>
        <v>18</v>
      </c>
      <c r="G20" s="37">
        <f t="shared" si="1"/>
        <v>19</v>
      </c>
      <c r="H20" s="37">
        <f t="shared" si="1"/>
        <v>20</v>
      </c>
      <c r="I20" s="37">
        <f t="shared" si="1"/>
        <v>21</v>
      </c>
      <c r="J20" s="37">
        <f t="shared" si="1"/>
        <v>22</v>
      </c>
      <c r="K20" s="23">
        <f t="shared" si="1"/>
        <v>23</v>
      </c>
    </row>
    <row r="21" spans="3:11" s="6" customFormat="1" ht="24.6" customHeight="1">
      <c r="C21" s="12" t="s">
        <v>9</v>
      </c>
      <c r="D21" s="13"/>
      <c r="E21" s="24"/>
      <c r="F21" s="89" t="s">
        <v>268</v>
      </c>
      <c r="G21" s="24"/>
      <c r="H21" s="89" t="s">
        <v>269</v>
      </c>
      <c r="I21" s="24"/>
      <c r="J21" s="89" t="s">
        <v>270</v>
      </c>
      <c r="K21" s="24"/>
    </row>
    <row r="22" spans="3:11" s="6" customFormat="1" ht="24.6" customHeight="1">
      <c r="C22" s="16" t="s">
        <v>7</v>
      </c>
      <c r="D22" s="13"/>
      <c r="E22" s="24"/>
      <c r="F22" s="88" t="s">
        <v>261</v>
      </c>
      <c r="G22" s="86" t="s">
        <v>271</v>
      </c>
      <c r="I22" s="24"/>
      <c r="J22" s="24"/>
      <c r="K22" s="32"/>
    </row>
    <row r="23" spans="3:11" s="6" customFormat="1" ht="24.6" customHeight="1">
      <c r="C23" s="17" t="s">
        <v>8</v>
      </c>
      <c r="D23" s="13"/>
      <c r="E23" s="24"/>
      <c r="F23" s="24"/>
      <c r="G23" s="24"/>
      <c r="H23" s="24"/>
      <c r="I23" s="24"/>
      <c r="K23" s="24"/>
    </row>
    <row r="24" spans="3:11" s="6" customFormat="1" ht="24.6" customHeight="1">
      <c r="C24" s="30"/>
      <c r="D24" s="13"/>
      <c r="E24" s="24"/>
      <c r="F24" s="24"/>
      <c r="G24" s="24"/>
      <c r="H24" s="24"/>
      <c r="I24" s="24"/>
      <c r="K24" s="24"/>
    </row>
    <row r="25" spans="3:11" s="6" customFormat="1" ht="24.6" customHeight="1">
      <c r="C25" s="30"/>
      <c r="D25" s="13"/>
      <c r="E25" s="31">
        <f>K20+1</f>
        <v>24</v>
      </c>
      <c r="F25" s="27">
        <f t="shared" ref="F25:K25" si="2">E25+1</f>
        <v>25</v>
      </c>
      <c r="G25" s="27">
        <f t="shared" si="2"/>
        <v>26</v>
      </c>
      <c r="H25" s="27">
        <f t="shared" si="2"/>
        <v>27</v>
      </c>
      <c r="I25" s="27">
        <f t="shared" si="2"/>
        <v>28</v>
      </c>
      <c r="J25" s="27">
        <f t="shared" si="2"/>
        <v>29</v>
      </c>
      <c r="K25" s="27">
        <f t="shared" si="2"/>
        <v>30</v>
      </c>
    </row>
    <row r="26" spans="3:11" s="6" customFormat="1" ht="24.6" customHeight="1">
      <c r="C26" s="12" t="s">
        <v>9</v>
      </c>
      <c r="D26" s="13"/>
      <c r="E26" s="38"/>
      <c r="F26" s="55" t="s">
        <v>273</v>
      </c>
      <c r="G26" s="38"/>
      <c r="H26" s="55" t="s">
        <v>273</v>
      </c>
      <c r="I26" s="14"/>
      <c r="J26" s="55" t="s">
        <v>272</v>
      </c>
      <c r="K26" s="14"/>
    </row>
    <row r="27" spans="3:11" s="6" customFormat="1" ht="24.6" customHeight="1">
      <c r="C27" s="16" t="s">
        <v>7</v>
      </c>
      <c r="D27" s="13"/>
      <c r="E27" s="38"/>
      <c r="F27" s="89" t="s">
        <v>276</v>
      </c>
      <c r="G27" s="89" t="s">
        <v>262</v>
      </c>
      <c r="H27" s="89" t="s">
        <v>263</v>
      </c>
      <c r="I27" s="14"/>
      <c r="J27" s="14"/>
      <c r="K27" s="14"/>
    </row>
    <row r="28" spans="3:11" s="6" customFormat="1" ht="24.6" customHeight="1">
      <c r="C28" s="17" t="s">
        <v>8</v>
      </c>
      <c r="D28" s="13"/>
      <c r="E28" s="38"/>
      <c r="F28" s="38"/>
      <c r="G28" s="38"/>
      <c r="H28" s="36"/>
      <c r="I28" s="14"/>
      <c r="J28" s="14"/>
      <c r="K28" s="14"/>
    </row>
    <row r="29" spans="3:11" s="6" customFormat="1" ht="24.6" customHeight="1">
      <c r="D29" s="13"/>
      <c r="E29" s="36"/>
      <c r="F29" s="14"/>
      <c r="G29" s="14"/>
      <c r="H29" s="14"/>
      <c r="I29" s="14"/>
      <c r="J29" s="14"/>
      <c r="K29" s="14"/>
    </row>
    <row r="30" spans="3:11" s="6" customFormat="1" ht="24.6" customHeight="1">
      <c r="C30" s="5"/>
      <c r="D30" s="5"/>
      <c r="E30" s="23"/>
      <c r="F30" s="37"/>
      <c r="G30" s="37"/>
      <c r="H30" s="37"/>
      <c r="I30" s="37"/>
      <c r="J30" s="37"/>
      <c r="K30" s="23"/>
    </row>
    <row r="31" spans="3:11" s="6" customFormat="1" ht="24.6" customHeight="1">
      <c r="C31" s="12" t="s">
        <v>9</v>
      </c>
      <c r="D31" s="13"/>
      <c r="E31" s="24"/>
      <c r="F31" s="24"/>
      <c r="G31" s="59"/>
      <c r="H31" s="59"/>
      <c r="I31" s="32"/>
      <c r="K31" s="32"/>
    </row>
    <row r="32" spans="3:11" s="6" customFormat="1" ht="24.6" customHeight="1">
      <c r="C32" s="16" t="s">
        <v>7</v>
      </c>
      <c r="D32" s="13"/>
      <c r="E32" s="24"/>
      <c r="F32" s="24"/>
      <c r="G32" s="32"/>
      <c r="H32" s="24"/>
      <c r="I32" s="32"/>
      <c r="K32" s="32"/>
    </row>
    <row r="33" spans="3:11" s="6" customFormat="1" ht="24.6" customHeight="1">
      <c r="C33" s="50" t="s">
        <v>8</v>
      </c>
      <c r="D33" s="47"/>
      <c r="E33" s="48"/>
      <c r="F33" s="24"/>
      <c r="G33" s="24"/>
      <c r="H33" s="48"/>
      <c r="I33" s="48"/>
      <c r="J33" s="51"/>
      <c r="K33" s="48"/>
    </row>
    <row r="34" spans="3:11" s="6" customFormat="1">
      <c r="C34" s="4"/>
      <c r="D34" s="4"/>
      <c r="E34" s="49"/>
      <c r="F34" s="49"/>
      <c r="G34" s="49"/>
      <c r="H34" s="4"/>
      <c r="I34" s="4"/>
      <c r="J34" s="4"/>
      <c r="K34" s="4"/>
    </row>
    <row r="38" spans="3:11">
      <c r="I38" s="90" t="s">
        <v>79</v>
      </c>
      <c r="J38" s="90" t="s">
        <v>207</v>
      </c>
    </row>
    <row r="39" spans="3:11">
      <c r="H39" s="90" t="s">
        <v>76</v>
      </c>
      <c r="I39" s="4">
        <v>1</v>
      </c>
      <c r="J39" s="4">
        <v>6</v>
      </c>
    </row>
    <row r="40" spans="3:11">
      <c r="H40" s="90" t="s">
        <v>77</v>
      </c>
      <c r="I40" s="4">
        <v>8</v>
      </c>
      <c r="J40" s="4">
        <v>3</v>
      </c>
    </row>
    <row r="41" spans="3:11">
      <c r="H41" s="90" t="s">
        <v>78</v>
      </c>
      <c r="I41" s="4">
        <v>2</v>
      </c>
      <c r="J41" s="4">
        <v>2</v>
      </c>
    </row>
    <row r="42" spans="3:11">
      <c r="H42" s="90" t="s">
        <v>129</v>
      </c>
      <c r="I42" s="4">
        <v>0</v>
      </c>
      <c r="J42" s="4">
        <v>0</v>
      </c>
    </row>
    <row r="43" spans="3:11">
      <c r="H43" s="90" t="s">
        <v>105</v>
      </c>
      <c r="I43" s="4">
        <v>0</v>
      </c>
      <c r="J43" s="4">
        <v>0</v>
      </c>
    </row>
    <row r="44" spans="3:11">
      <c r="H44" s="90" t="s">
        <v>36</v>
      </c>
      <c r="I44" s="4">
        <f>SUM(I39:I43)</f>
        <v>11</v>
      </c>
      <c r="J44" s="4">
        <f>SUM(J39:J43)</f>
        <v>11</v>
      </c>
    </row>
  </sheetData>
  <mergeCells count="3">
    <mergeCell ref="E3:G3"/>
    <mergeCell ref="H3:K3"/>
    <mergeCell ref="M15:O15"/>
  </mergeCells>
  <phoneticPr fontId="6" type="noConversion"/>
  <pageMargins left="0.7" right="0.7" top="0.75" bottom="0.75" header="0.3" footer="0.3"/>
  <pageSetup paperSize="9"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S44"/>
  <sheetViews>
    <sheetView topLeftCell="A4" zoomScale="70" zoomScaleNormal="70" workbookViewId="0">
      <selection activeCell="K37" sqref="K37"/>
    </sheetView>
  </sheetViews>
  <sheetFormatPr defaultColWidth="8.88671875" defaultRowHeight="16.899999999999999"/>
  <cols>
    <col min="1" max="2" width="1.664062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3:19" s="6" customFormat="1" ht="19.149999999999999">
      <c r="C1" s="5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3:19" s="6" customFormat="1" ht="19.149999999999999">
      <c r="C2" s="5"/>
      <c r="D2" s="5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</row>
    <row r="3" spans="3:19" s="6" customFormat="1" ht="57">
      <c r="C3" s="5"/>
      <c r="D3" s="5"/>
      <c r="E3" s="1450">
        <v>43009</v>
      </c>
      <c r="F3" s="1450"/>
      <c r="G3" s="1450"/>
      <c r="H3" s="1451" t="s">
        <v>10</v>
      </c>
      <c r="I3" s="1452"/>
      <c r="J3" s="1452"/>
      <c r="K3" s="1452"/>
      <c r="L3" s="4"/>
      <c r="M3" s="4"/>
      <c r="N3" s="4"/>
      <c r="O3" s="4"/>
      <c r="P3" s="4"/>
      <c r="Q3" s="4"/>
      <c r="R3" s="4"/>
      <c r="S3" s="4"/>
    </row>
    <row r="4" spans="3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3:19" s="5" customFormat="1" ht="24.6" customHeight="1">
      <c r="E5" s="9">
        <v>1</v>
      </c>
      <c r="F5" s="60">
        <v>2</v>
      </c>
      <c r="G5" s="61">
        <v>3</v>
      </c>
      <c r="H5" s="61">
        <v>4</v>
      </c>
      <c r="I5" s="61">
        <v>5</v>
      </c>
      <c r="J5" s="61">
        <v>6</v>
      </c>
      <c r="K5" s="9">
        <v>7</v>
      </c>
      <c r="L5" s="4"/>
      <c r="M5" s="4"/>
      <c r="N5" s="4"/>
      <c r="R5" s="11"/>
      <c r="S5" s="4"/>
    </row>
    <row r="6" spans="3:19" s="5" customFormat="1" ht="24.6" customHeight="1">
      <c r="C6" s="12" t="s">
        <v>9</v>
      </c>
      <c r="D6" s="13"/>
      <c r="E6" s="14"/>
      <c r="F6" s="14"/>
      <c r="G6" s="62" t="s">
        <v>14</v>
      </c>
      <c r="H6" s="63" t="s">
        <v>15</v>
      </c>
      <c r="I6" s="36"/>
      <c r="J6" s="62" t="s">
        <v>16</v>
      </c>
      <c r="K6" s="14"/>
      <c r="L6" s="4"/>
      <c r="M6" s="4"/>
      <c r="N6" s="4"/>
      <c r="R6" s="11"/>
      <c r="S6" s="4"/>
    </row>
    <row r="7" spans="3:19" s="5" customFormat="1" ht="24.6" customHeight="1">
      <c r="C7" s="16" t="s">
        <v>7</v>
      </c>
      <c r="D7" s="13"/>
      <c r="E7" s="14"/>
      <c r="F7" s="14"/>
      <c r="G7" s="14"/>
      <c r="H7" s="14"/>
      <c r="I7" s="36"/>
      <c r="J7" s="14"/>
      <c r="K7" s="14"/>
      <c r="L7" s="4"/>
      <c r="M7" s="4"/>
      <c r="N7" s="4"/>
      <c r="R7" s="11"/>
      <c r="S7" s="4"/>
    </row>
    <row r="8" spans="3:19" s="5" customFormat="1" ht="24.6" customHeight="1">
      <c r="C8" s="17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3:19" s="5" customFormat="1" ht="24.6" customHeight="1">
      <c r="D9" s="13"/>
      <c r="E9" s="14"/>
      <c r="F9" s="14"/>
      <c r="G9" s="14"/>
      <c r="H9" s="14"/>
      <c r="I9" s="36"/>
      <c r="J9" s="14"/>
      <c r="K9" s="14"/>
      <c r="L9" s="4"/>
      <c r="M9" s="4"/>
      <c r="N9" s="4"/>
      <c r="R9" s="11"/>
      <c r="S9" s="4"/>
    </row>
    <row r="10" spans="3:19" s="6" customFormat="1" ht="24.6" customHeight="1">
      <c r="C10" s="5"/>
      <c r="D10" s="5"/>
      <c r="E10" s="23">
        <f>K5+1</f>
        <v>8</v>
      </c>
      <c r="F10" s="53">
        <v>9</v>
      </c>
      <c r="G10" s="58">
        <v>10</v>
      </c>
      <c r="H10" s="58">
        <v>11</v>
      </c>
      <c r="I10" s="58">
        <v>12</v>
      </c>
      <c r="J10" s="58">
        <v>13</v>
      </c>
      <c r="K10" s="23">
        <v>14</v>
      </c>
      <c r="L10" s="4"/>
      <c r="M10" s="4"/>
      <c r="N10" s="4"/>
      <c r="O10" s="4"/>
      <c r="P10" s="4"/>
      <c r="Q10" s="4"/>
      <c r="R10" s="4"/>
      <c r="S10" s="4"/>
    </row>
    <row r="11" spans="3:19" s="6" customFormat="1" ht="24.6" customHeight="1">
      <c r="C11" s="12" t="s">
        <v>9</v>
      </c>
      <c r="D11" s="13"/>
      <c r="E11" s="24"/>
      <c r="F11" s="117" t="s">
        <v>274</v>
      </c>
      <c r="G11" s="24"/>
      <c r="H11" s="24"/>
      <c r="I11" s="24"/>
      <c r="J11" s="24"/>
      <c r="K11" s="24"/>
      <c r="L11" s="4"/>
      <c r="M11" s="4"/>
      <c r="N11" s="4"/>
      <c r="O11" s="4"/>
      <c r="P11" s="4"/>
      <c r="Q11" s="4"/>
      <c r="R11" s="4"/>
      <c r="S11" s="4"/>
    </row>
    <row r="12" spans="3:19" s="6" customFormat="1" ht="24.6" customHeight="1">
      <c r="C12" s="16" t="s">
        <v>7</v>
      </c>
      <c r="D12" s="13"/>
      <c r="E12" s="24"/>
      <c r="F12" s="89" t="s">
        <v>267</v>
      </c>
      <c r="G12" s="89" t="s">
        <v>266</v>
      </c>
      <c r="I12" s="24"/>
      <c r="J12" s="24"/>
      <c r="K12" s="24"/>
      <c r="L12" s="4"/>
      <c r="M12" s="4"/>
      <c r="N12" s="4"/>
      <c r="O12" s="4"/>
      <c r="P12" s="4"/>
      <c r="Q12" s="4"/>
      <c r="R12" s="4"/>
      <c r="S12" s="4"/>
    </row>
    <row r="13" spans="3:19" s="6" customFormat="1" ht="24.6" customHeight="1">
      <c r="C13" s="17" t="s">
        <v>8</v>
      </c>
      <c r="D13" s="13"/>
      <c r="E13" s="24"/>
      <c r="F13" s="24"/>
      <c r="G13" s="24"/>
      <c r="H13" s="24"/>
      <c r="I13" s="24"/>
      <c r="J13" s="24"/>
      <c r="K13" s="24"/>
      <c r="L13" s="4"/>
      <c r="M13" s="4"/>
      <c r="N13" s="4"/>
      <c r="O13" s="4"/>
      <c r="P13" s="4"/>
      <c r="Q13" s="4"/>
      <c r="R13" s="4"/>
      <c r="S13" s="4"/>
    </row>
    <row r="14" spans="3:19" s="6" customFormat="1" ht="24.6" customHeight="1">
      <c r="D14" s="13"/>
      <c r="E14" s="24"/>
      <c r="F14" s="24"/>
      <c r="G14" s="24"/>
      <c r="H14" s="24"/>
      <c r="I14" s="24"/>
      <c r="J14" s="24"/>
      <c r="K14" s="24"/>
      <c r="L14" s="4"/>
      <c r="M14" s="4"/>
      <c r="N14" s="4"/>
      <c r="O14" s="4"/>
      <c r="P14" s="4"/>
      <c r="Q14" s="4"/>
      <c r="R14" s="4"/>
      <c r="S14" s="4"/>
    </row>
    <row r="15" spans="3:19" s="6" customFormat="1" ht="24.6" customHeight="1">
      <c r="C15" s="5"/>
      <c r="D15" s="5"/>
      <c r="E15" s="26">
        <f>K10+1</f>
        <v>15</v>
      </c>
      <c r="F15" s="27">
        <f t="shared" ref="F15:K15" si="0">E15+1</f>
        <v>16</v>
      </c>
      <c r="G15" s="27">
        <f t="shared" si="0"/>
        <v>17</v>
      </c>
      <c r="H15" s="27">
        <f t="shared" si="0"/>
        <v>18</v>
      </c>
      <c r="I15" s="27">
        <f t="shared" si="0"/>
        <v>19</v>
      </c>
      <c r="J15" s="27">
        <f t="shared" si="0"/>
        <v>20</v>
      </c>
      <c r="K15" s="52">
        <f t="shared" si="0"/>
        <v>21</v>
      </c>
      <c r="L15" s="4"/>
      <c r="M15" s="1453"/>
      <c r="N15" s="1453"/>
      <c r="O15" s="1453"/>
      <c r="P15" s="4"/>
      <c r="Q15" s="4"/>
      <c r="R15" s="4"/>
      <c r="S15" s="4"/>
    </row>
    <row r="16" spans="3:19" s="6" customFormat="1" ht="24.6" customHeight="1">
      <c r="C16" s="12" t="s">
        <v>9</v>
      </c>
      <c r="D16" s="13"/>
      <c r="E16" s="14"/>
      <c r="F16" s="14"/>
      <c r="G16" s="14"/>
      <c r="H16" s="33"/>
      <c r="I16" s="14"/>
      <c r="J16" s="33"/>
      <c r="K16" s="14"/>
      <c r="L16" s="4"/>
      <c r="M16" s="4"/>
      <c r="N16" s="4"/>
      <c r="O16" s="4"/>
      <c r="P16" s="4"/>
      <c r="Q16" s="4"/>
      <c r="R16" s="4"/>
      <c r="S16" s="4"/>
    </row>
    <row r="17" spans="3:11" s="6" customFormat="1" ht="24.6" customHeight="1">
      <c r="C17" s="16" t="s">
        <v>7</v>
      </c>
      <c r="D17" s="13"/>
      <c r="E17" s="14"/>
      <c r="F17" s="14"/>
      <c r="G17" s="14"/>
      <c r="H17" s="33"/>
      <c r="I17" s="14"/>
      <c r="J17" s="33"/>
      <c r="K17" s="14"/>
    </row>
    <row r="18" spans="3:11" s="6" customFormat="1" ht="24.6" customHeight="1">
      <c r="C18" s="17" t="s">
        <v>8</v>
      </c>
      <c r="D18" s="13"/>
      <c r="E18" s="14"/>
      <c r="F18" s="14"/>
      <c r="G18" s="14"/>
      <c r="H18" s="33"/>
      <c r="I18" s="33"/>
      <c r="J18" s="14"/>
      <c r="K18" s="14"/>
    </row>
    <row r="19" spans="3:11" s="6" customFormat="1" ht="24.6" customHeight="1">
      <c r="D19" s="13"/>
      <c r="E19" s="14"/>
      <c r="F19" s="14"/>
      <c r="G19" s="14"/>
      <c r="H19" s="33"/>
      <c r="I19" s="33"/>
      <c r="J19" s="14"/>
      <c r="K19" s="14"/>
    </row>
    <row r="20" spans="3:11" s="6" customFormat="1" ht="24.6" customHeight="1">
      <c r="C20" s="5"/>
      <c r="D20" s="5"/>
      <c r="E20" s="23">
        <f>K15+1</f>
        <v>22</v>
      </c>
      <c r="F20" s="37">
        <f t="shared" ref="F20:K20" si="1">E20+1</f>
        <v>23</v>
      </c>
      <c r="G20" s="37">
        <f t="shared" si="1"/>
        <v>24</v>
      </c>
      <c r="H20" s="37">
        <f t="shared" si="1"/>
        <v>25</v>
      </c>
      <c r="I20" s="37">
        <f>H20+1</f>
        <v>26</v>
      </c>
      <c r="J20" s="37">
        <f t="shared" si="1"/>
        <v>27</v>
      </c>
      <c r="K20" s="23">
        <f t="shared" si="1"/>
        <v>28</v>
      </c>
    </row>
    <row r="21" spans="3:11" s="6" customFormat="1" ht="24.6" customHeight="1">
      <c r="C21" s="12" t="s">
        <v>9</v>
      </c>
      <c r="D21" s="13"/>
      <c r="E21" s="32"/>
      <c r="F21" s="32"/>
      <c r="G21" s="32"/>
      <c r="H21" s="4"/>
      <c r="I21" s="32"/>
      <c r="J21" s="4"/>
      <c r="K21" s="24"/>
    </row>
    <row r="22" spans="3:11" s="6" customFormat="1" ht="24.6" customHeight="1">
      <c r="C22" s="16" t="s">
        <v>7</v>
      </c>
      <c r="D22" s="13"/>
      <c r="E22" s="24"/>
      <c r="F22" s="24"/>
      <c r="G22" s="24"/>
      <c r="H22" s="24"/>
      <c r="I22" s="24"/>
      <c r="K22" s="32"/>
    </row>
    <row r="23" spans="3:11" s="6" customFormat="1" ht="24.6" customHeight="1">
      <c r="C23" s="17" t="s">
        <v>8</v>
      </c>
      <c r="D23" s="13"/>
      <c r="E23" s="24"/>
      <c r="F23" s="24"/>
      <c r="G23" s="24"/>
      <c r="H23" s="24"/>
      <c r="I23" s="24"/>
      <c r="K23" s="24"/>
    </row>
    <row r="24" spans="3:11" s="6" customFormat="1" ht="24.6" customHeight="1">
      <c r="C24" s="30"/>
      <c r="D24" s="13"/>
      <c r="E24" s="24"/>
      <c r="F24" s="24"/>
      <c r="G24" s="24"/>
      <c r="H24" s="24"/>
      <c r="I24" s="24"/>
      <c r="K24" s="24"/>
    </row>
    <row r="25" spans="3:11" s="6" customFormat="1" ht="24.6" customHeight="1">
      <c r="C25" s="30"/>
      <c r="D25" s="13"/>
      <c r="E25" s="31">
        <f>K20+1</f>
        <v>29</v>
      </c>
      <c r="F25" s="27">
        <f>E25+1</f>
        <v>30</v>
      </c>
      <c r="G25" s="27">
        <f>F25+1</f>
        <v>31</v>
      </c>
      <c r="H25" s="27"/>
      <c r="I25" s="27"/>
      <c r="J25" s="27"/>
      <c r="K25" s="27"/>
    </row>
    <row r="26" spans="3:11" s="6" customFormat="1" ht="24.6" customHeight="1">
      <c r="C26" s="12" t="s">
        <v>9</v>
      </c>
      <c r="D26" s="13"/>
      <c r="E26" s="38"/>
      <c r="F26" s="38"/>
      <c r="G26" s="38"/>
      <c r="H26" s="36"/>
      <c r="I26" s="14"/>
      <c r="J26" s="14"/>
      <c r="K26" s="14"/>
    </row>
    <row r="27" spans="3:11" s="6" customFormat="1" ht="24.6" customHeight="1">
      <c r="C27" s="16" t="s">
        <v>7</v>
      </c>
      <c r="D27" s="13"/>
      <c r="E27" s="38"/>
      <c r="F27" s="38"/>
      <c r="G27" s="38"/>
      <c r="H27" s="118"/>
      <c r="I27" s="14"/>
      <c r="J27" s="14"/>
      <c r="K27" s="14"/>
    </row>
    <row r="28" spans="3:11" s="6" customFormat="1" ht="24.6" customHeight="1">
      <c r="C28" s="17" t="s">
        <v>8</v>
      </c>
      <c r="D28" s="13"/>
      <c r="E28" s="38"/>
      <c r="F28" s="38"/>
      <c r="G28" s="38"/>
      <c r="H28" s="36"/>
      <c r="I28" s="14"/>
      <c r="J28" s="14"/>
      <c r="K28" s="14"/>
    </row>
    <row r="29" spans="3:11" s="6" customFormat="1" ht="24.6" customHeight="1">
      <c r="D29" s="13"/>
      <c r="E29" s="36"/>
      <c r="F29" s="14"/>
      <c r="G29" s="14"/>
      <c r="H29" s="14"/>
      <c r="I29" s="14"/>
      <c r="J29" s="14"/>
      <c r="K29" s="14"/>
    </row>
    <row r="30" spans="3:11" s="6" customFormat="1" ht="24.6" customHeight="1">
      <c r="C30" s="5"/>
      <c r="D30" s="5"/>
      <c r="E30" s="23"/>
      <c r="F30" s="37"/>
      <c r="G30" s="37"/>
      <c r="H30" s="37"/>
      <c r="I30" s="37"/>
      <c r="J30" s="37"/>
      <c r="K30" s="23"/>
    </row>
    <row r="31" spans="3:11" s="6" customFormat="1" ht="24.6" customHeight="1">
      <c r="C31" s="12" t="s">
        <v>9</v>
      </c>
      <c r="D31" s="13"/>
      <c r="E31" s="24"/>
      <c r="F31" s="24"/>
      <c r="G31" s="59"/>
      <c r="H31" s="59"/>
      <c r="I31" s="32"/>
      <c r="K31" s="32"/>
    </row>
    <row r="32" spans="3:11" s="6" customFormat="1" ht="24.6" customHeight="1">
      <c r="C32" s="16" t="s">
        <v>7</v>
      </c>
      <c r="D32" s="13"/>
      <c r="E32" s="24"/>
      <c r="F32" s="24"/>
      <c r="G32" s="32"/>
      <c r="H32" s="24"/>
      <c r="I32" s="32"/>
      <c r="K32" s="32"/>
    </row>
    <row r="33" spans="3:11" s="6" customFormat="1" ht="24.6" customHeight="1">
      <c r="C33" s="50" t="s">
        <v>8</v>
      </c>
      <c r="D33" s="47"/>
      <c r="E33" s="48"/>
      <c r="F33" s="24"/>
      <c r="G33" s="24"/>
      <c r="H33" s="48"/>
      <c r="I33" s="48"/>
      <c r="J33" s="51"/>
      <c r="K33" s="48"/>
    </row>
    <row r="34" spans="3:11" s="6" customFormat="1">
      <c r="C34" s="4"/>
      <c r="D34" s="4"/>
      <c r="E34" s="49"/>
      <c r="F34" s="49"/>
      <c r="G34" s="49"/>
      <c r="H34" s="4"/>
      <c r="I34" s="4"/>
      <c r="J34" s="4"/>
      <c r="K34" s="4"/>
    </row>
    <row r="38" spans="3:11">
      <c r="I38" s="90" t="s">
        <v>79</v>
      </c>
      <c r="J38" s="90" t="s">
        <v>207</v>
      </c>
    </row>
    <row r="39" spans="3:11">
      <c r="H39" s="90" t="s">
        <v>76</v>
      </c>
      <c r="I39" s="4">
        <v>0</v>
      </c>
      <c r="J39" s="4">
        <v>0</v>
      </c>
    </row>
    <row r="40" spans="3:11">
      <c r="H40" s="90" t="s">
        <v>77</v>
      </c>
      <c r="I40" s="4">
        <v>0</v>
      </c>
      <c r="J40" s="4">
        <v>7</v>
      </c>
    </row>
    <row r="41" spans="3:11">
      <c r="H41" s="90" t="s">
        <v>78</v>
      </c>
      <c r="I41" s="4">
        <v>0</v>
      </c>
      <c r="J41" s="4">
        <v>1</v>
      </c>
    </row>
    <row r="42" spans="3:11">
      <c r="H42" s="90" t="s">
        <v>129</v>
      </c>
      <c r="I42" s="4">
        <v>0</v>
      </c>
      <c r="J42" s="4">
        <v>0</v>
      </c>
    </row>
    <row r="43" spans="3:11">
      <c r="H43" s="90" t="s">
        <v>105</v>
      </c>
      <c r="I43" s="4">
        <v>0</v>
      </c>
      <c r="J43" s="4">
        <v>2</v>
      </c>
    </row>
    <row r="44" spans="3:11">
      <c r="H44" s="90" t="s">
        <v>36</v>
      </c>
      <c r="I44" s="4">
        <f>SUM(I39:I43)</f>
        <v>0</v>
      </c>
      <c r="J44" s="4">
        <f>SUM(J39:J43)</f>
        <v>10</v>
      </c>
    </row>
  </sheetData>
  <mergeCells count="3">
    <mergeCell ref="E3:G3"/>
    <mergeCell ref="H3:K3"/>
    <mergeCell ref="M15:O15"/>
  </mergeCells>
  <phoneticPr fontId="6" type="noConversion"/>
  <pageMargins left="0.7" right="0.7" top="0.75" bottom="0.75" header="0.3" footer="0.3"/>
  <pageSetup paperSize="9"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S52"/>
  <sheetViews>
    <sheetView topLeftCell="B7" zoomScale="70" zoomScaleNormal="70" workbookViewId="0">
      <selection activeCell="K37" sqref="K37"/>
    </sheetView>
  </sheetViews>
  <sheetFormatPr defaultColWidth="8.88671875" defaultRowHeight="16.899999999999999"/>
  <cols>
    <col min="1" max="1" width="1.6640625" style="4" customWidth="1"/>
    <col min="2" max="2" width="11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1:19" ht="19.149999999999999">
      <c r="A1" s="6"/>
      <c r="B1" s="6"/>
      <c r="C1" s="5"/>
      <c r="D1" s="5"/>
    </row>
    <row r="2" spans="1:19" ht="19.149999999999999">
      <c r="A2" s="6"/>
      <c r="B2" s="6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6"/>
      <c r="B3" s="6"/>
      <c r="C3" s="5"/>
      <c r="D3" s="5"/>
      <c r="E3" s="1450">
        <v>43040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1"/>
      <c r="H5" s="64">
        <v>1</v>
      </c>
      <c r="I5" s="64">
        <v>2</v>
      </c>
      <c r="J5" s="64">
        <v>3</v>
      </c>
      <c r="K5" s="61">
        <v>4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290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19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25" t="s">
        <v>8</v>
      </c>
      <c r="D8" s="13"/>
      <c r="E8" s="14"/>
      <c r="F8" s="14"/>
      <c r="G8" s="14"/>
      <c r="H8" s="14"/>
      <c r="I8" s="36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 t="s">
        <v>287</v>
      </c>
      <c r="C9" s="126" t="s">
        <v>291</v>
      </c>
      <c r="D9" s="13"/>
      <c r="E9" s="14"/>
      <c r="F9" s="14"/>
      <c r="G9" s="14"/>
      <c r="H9" s="14"/>
      <c r="I9" s="123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/>
      <c r="C10" s="127" t="s">
        <v>292</v>
      </c>
      <c r="D10" s="13"/>
      <c r="E10" s="14"/>
      <c r="F10" s="14"/>
      <c r="G10" s="14"/>
      <c r="H10" s="14"/>
      <c r="I10" s="123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D11" s="13"/>
      <c r="E11" s="14"/>
      <c r="F11" s="14"/>
      <c r="G11" s="14"/>
      <c r="H11" s="14"/>
      <c r="I11" s="36"/>
      <c r="J11" s="14"/>
      <c r="K11" s="14"/>
      <c r="L11" s="4"/>
      <c r="M11" s="4"/>
      <c r="N11" s="4"/>
      <c r="R11" s="11"/>
      <c r="S11" s="4"/>
    </row>
    <row r="12" spans="1:19" ht="24.6" customHeight="1">
      <c r="A12" s="6"/>
      <c r="B12" s="6"/>
      <c r="C12" s="5"/>
      <c r="D12" s="5"/>
      <c r="E12" s="23">
        <f>K5+1</f>
        <v>5</v>
      </c>
      <c r="F12" s="65">
        <v>6</v>
      </c>
      <c r="G12" s="65">
        <v>7</v>
      </c>
      <c r="H12" s="65">
        <v>8</v>
      </c>
      <c r="I12" s="65">
        <v>9</v>
      </c>
      <c r="J12" s="65">
        <v>10</v>
      </c>
      <c r="K12" s="23">
        <v>11</v>
      </c>
    </row>
    <row r="13" spans="1:19" ht="24.6" customHeight="1">
      <c r="A13" s="6"/>
      <c r="B13" s="1467" t="s">
        <v>288</v>
      </c>
      <c r="C13" s="12" t="s">
        <v>290</v>
      </c>
      <c r="D13" s="13"/>
      <c r="E13" s="24"/>
      <c r="F13" s="24"/>
      <c r="G13" s="24"/>
      <c r="H13" s="24"/>
      <c r="I13" s="24"/>
      <c r="J13" s="24"/>
      <c r="K13" s="24"/>
    </row>
    <row r="14" spans="1:19" ht="24.6" customHeight="1">
      <c r="A14" s="6"/>
      <c r="B14" s="1467"/>
      <c r="C14" s="124" t="s">
        <v>7</v>
      </c>
      <c r="D14" s="13"/>
      <c r="E14" s="6"/>
      <c r="F14" s="94" t="s">
        <v>275</v>
      </c>
      <c r="G14" s="6"/>
      <c r="H14" s="24"/>
      <c r="I14" s="89" t="s">
        <v>268</v>
      </c>
      <c r="J14" s="6"/>
      <c r="K14" s="24"/>
    </row>
    <row r="15" spans="1:19" ht="24" customHeight="1">
      <c r="A15" s="6"/>
      <c r="B15" s="1467"/>
      <c r="C15" s="125" t="s">
        <v>8</v>
      </c>
      <c r="D15" s="13"/>
      <c r="E15" s="24"/>
      <c r="F15" s="24"/>
      <c r="G15" s="24"/>
      <c r="H15" s="24"/>
      <c r="I15" s="24"/>
      <c r="J15" s="24"/>
      <c r="K15" s="24"/>
    </row>
    <row r="16" spans="1:19" s="84" customFormat="1" ht="24" customHeight="1">
      <c r="B16" s="1467" t="s">
        <v>289</v>
      </c>
      <c r="C16" s="126" t="s">
        <v>291</v>
      </c>
      <c r="D16" s="13"/>
      <c r="E16" s="24"/>
      <c r="F16" s="24"/>
      <c r="G16" s="24"/>
      <c r="H16" s="24"/>
      <c r="I16" s="24"/>
      <c r="J16" s="24"/>
      <c r="K16" s="24"/>
      <c r="L16" s="4"/>
      <c r="M16" s="4"/>
      <c r="N16" s="4"/>
      <c r="O16" s="4"/>
      <c r="P16" s="4"/>
      <c r="Q16" s="4"/>
      <c r="R16" s="4"/>
      <c r="S16" s="4"/>
    </row>
    <row r="17" spans="1:19" s="84" customFormat="1" ht="24" customHeight="1">
      <c r="B17" s="1467"/>
      <c r="C17" s="127" t="s">
        <v>292</v>
      </c>
      <c r="D17" s="13"/>
      <c r="E17" s="24"/>
      <c r="F17" s="24"/>
      <c r="G17" s="24"/>
      <c r="H17" s="24"/>
      <c r="I17" s="24"/>
      <c r="J17" s="24"/>
      <c r="K17" s="24"/>
      <c r="L17" s="4"/>
      <c r="M17" s="4"/>
      <c r="N17" s="4"/>
      <c r="O17" s="4"/>
      <c r="P17" s="4"/>
      <c r="Q17" s="4"/>
      <c r="R17" s="4"/>
      <c r="S17" s="4"/>
    </row>
    <row r="18" spans="1:19" ht="24.6" customHeight="1">
      <c r="A18" s="6"/>
      <c r="B18" s="6"/>
      <c r="C18" s="6"/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6"/>
      <c r="B19" s="6"/>
      <c r="C19" s="5"/>
      <c r="D19" s="5"/>
      <c r="E19" s="26">
        <f>K12+1</f>
        <v>12</v>
      </c>
      <c r="F19" s="27">
        <f t="shared" ref="F19:K19" si="0">E19+1</f>
        <v>13</v>
      </c>
      <c r="G19" s="27">
        <f t="shared" si="0"/>
        <v>14</v>
      </c>
      <c r="H19" s="27">
        <f t="shared" si="0"/>
        <v>15</v>
      </c>
      <c r="I19" s="27">
        <f t="shared" si="0"/>
        <v>16</v>
      </c>
      <c r="J19" s="27">
        <f t="shared" si="0"/>
        <v>17</v>
      </c>
      <c r="K19" s="52">
        <f t="shared" si="0"/>
        <v>18</v>
      </c>
      <c r="M19" s="1453"/>
      <c r="N19" s="1453"/>
      <c r="O19" s="1453"/>
    </row>
    <row r="20" spans="1:19" ht="24.6" customHeight="1">
      <c r="A20" s="6"/>
      <c r="B20" s="1467" t="s">
        <v>288</v>
      </c>
      <c r="C20" s="12" t="s">
        <v>290</v>
      </c>
      <c r="D20" s="13"/>
      <c r="E20" s="14"/>
      <c r="F20" s="14"/>
      <c r="G20" s="14"/>
      <c r="H20" s="33"/>
      <c r="I20" s="33"/>
      <c r="J20" s="33"/>
      <c r="K20" s="14"/>
    </row>
    <row r="21" spans="1:19" ht="24.6" customHeight="1">
      <c r="A21" s="6"/>
      <c r="B21" s="1467"/>
      <c r="C21" s="124" t="s">
        <v>7</v>
      </c>
      <c r="D21" s="13"/>
      <c r="E21" s="14"/>
      <c r="F21" s="89" t="s">
        <v>269</v>
      </c>
      <c r="G21" s="89" t="s">
        <v>270</v>
      </c>
      <c r="H21" s="33"/>
      <c r="I21" s="33"/>
      <c r="J21" s="14"/>
      <c r="K21" s="14"/>
      <c r="L21" s="6"/>
      <c r="M21" s="6"/>
      <c r="N21" s="6"/>
      <c r="O21" s="6"/>
      <c r="P21" s="6"/>
      <c r="Q21" s="6"/>
      <c r="R21" s="6"/>
      <c r="S21" s="6"/>
    </row>
    <row r="22" spans="1:19" ht="24.6" customHeight="1">
      <c r="A22" s="6"/>
      <c r="B22" s="1467"/>
      <c r="C22" s="125" t="s">
        <v>8</v>
      </c>
      <c r="D22" s="13"/>
      <c r="E22" s="14"/>
      <c r="F22" s="14"/>
      <c r="G22" s="14"/>
      <c r="H22" s="33"/>
      <c r="I22" s="33"/>
      <c r="J22" s="14"/>
      <c r="K22" s="14"/>
      <c r="L22" s="6"/>
      <c r="M22" s="6"/>
      <c r="N22" s="6"/>
      <c r="O22" s="6"/>
      <c r="P22" s="6"/>
      <c r="Q22" s="6"/>
      <c r="R22" s="6"/>
      <c r="S22" s="6"/>
    </row>
    <row r="23" spans="1:19" s="84" customFormat="1" ht="24.6" customHeight="1">
      <c r="B23" s="1467" t="s">
        <v>289</v>
      </c>
      <c r="C23" s="126" t="s">
        <v>291</v>
      </c>
      <c r="D23" s="13"/>
      <c r="E23" s="14"/>
      <c r="F23" s="14"/>
      <c r="G23" s="1471" t="s">
        <v>304</v>
      </c>
      <c r="H23" s="1472"/>
      <c r="I23" s="33"/>
      <c r="J23" s="14"/>
      <c r="K23" s="14"/>
    </row>
    <row r="24" spans="1:19" s="84" customFormat="1" ht="24.6" customHeight="1">
      <c r="B24" s="1467"/>
      <c r="C24" s="127" t="s">
        <v>292</v>
      </c>
      <c r="D24" s="13"/>
      <c r="E24" s="14"/>
      <c r="F24" s="14"/>
      <c r="G24" s="14"/>
      <c r="H24" s="33"/>
      <c r="I24" s="33"/>
      <c r="J24" s="14"/>
      <c r="K24" s="14"/>
    </row>
    <row r="25" spans="1:19" ht="24.6" customHeight="1">
      <c r="A25" s="6"/>
      <c r="B25" s="6"/>
      <c r="C25" s="6"/>
      <c r="D25" s="13"/>
      <c r="E25" s="14"/>
      <c r="F25" s="14"/>
      <c r="G25" s="14"/>
      <c r="H25" s="33"/>
      <c r="I25" s="33"/>
      <c r="J25" s="14"/>
      <c r="K25" s="14"/>
      <c r="L25" s="6"/>
      <c r="M25" s="6"/>
      <c r="N25" s="6"/>
      <c r="O25" s="6"/>
      <c r="P25" s="6"/>
      <c r="Q25" s="6"/>
      <c r="R25" s="6"/>
      <c r="S25" s="6"/>
    </row>
    <row r="26" spans="1:19" ht="24.6" customHeight="1">
      <c r="A26" s="6"/>
      <c r="B26" s="6"/>
      <c r="C26" s="5"/>
      <c r="D26" s="5"/>
      <c r="E26" s="23">
        <f>K19+1</f>
        <v>19</v>
      </c>
      <c r="F26" s="37">
        <f t="shared" ref="F26:K26" si="1">E26+1</f>
        <v>20</v>
      </c>
      <c r="G26" s="37">
        <f t="shared" si="1"/>
        <v>21</v>
      </c>
      <c r="H26" s="37">
        <f t="shared" si="1"/>
        <v>22</v>
      </c>
      <c r="I26" s="37">
        <f t="shared" si="1"/>
        <v>23</v>
      </c>
      <c r="J26" s="37">
        <f t="shared" si="1"/>
        <v>24</v>
      </c>
      <c r="K26" s="23">
        <f t="shared" si="1"/>
        <v>25</v>
      </c>
      <c r="L26" s="6"/>
      <c r="M26" s="6"/>
      <c r="N26" s="6"/>
      <c r="O26" s="6"/>
      <c r="P26" s="6"/>
      <c r="Q26" s="6"/>
      <c r="R26" s="6"/>
      <c r="S26" s="6"/>
    </row>
    <row r="27" spans="1:19" ht="24.6" customHeight="1">
      <c r="A27" s="6"/>
      <c r="B27" s="1467" t="s">
        <v>288</v>
      </c>
      <c r="C27" s="12" t="s">
        <v>290</v>
      </c>
      <c r="D27" s="13"/>
      <c r="E27" s="24"/>
      <c r="F27" s="89" t="s">
        <v>278</v>
      </c>
      <c r="G27" s="24"/>
      <c r="H27" s="24"/>
      <c r="I27" s="94" t="s">
        <v>283</v>
      </c>
      <c r="J27" s="89" t="s">
        <v>282</v>
      </c>
      <c r="K27" s="32"/>
      <c r="L27" s="6"/>
      <c r="M27" s="6"/>
      <c r="N27" s="6"/>
      <c r="O27" s="6"/>
      <c r="P27" s="6"/>
      <c r="Q27" s="6"/>
      <c r="R27" s="6"/>
      <c r="S27" s="6"/>
    </row>
    <row r="28" spans="1:19" ht="24.6" customHeight="1">
      <c r="A28" s="6"/>
      <c r="B28" s="1467"/>
      <c r="C28" s="124" t="s">
        <v>7</v>
      </c>
      <c r="D28" s="13"/>
      <c r="E28" s="24"/>
      <c r="F28" s="24"/>
      <c r="G28" s="24"/>
      <c r="H28" s="55" t="s">
        <v>281</v>
      </c>
      <c r="I28" s="24"/>
      <c r="J28" s="24"/>
      <c r="K28" s="32"/>
      <c r="L28" s="6"/>
      <c r="M28" s="6"/>
      <c r="N28" s="6"/>
      <c r="O28" s="6"/>
      <c r="P28" s="6"/>
      <c r="Q28" s="6"/>
      <c r="R28" s="6"/>
      <c r="S28" s="6"/>
    </row>
    <row r="29" spans="1:19" ht="24.6" customHeight="1">
      <c r="A29" s="6"/>
      <c r="B29" s="1467"/>
      <c r="C29" s="125" t="s">
        <v>8</v>
      </c>
      <c r="D29" s="13"/>
      <c r="E29" s="24"/>
      <c r="F29" s="24"/>
      <c r="G29" s="1468" t="s">
        <v>293</v>
      </c>
      <c r="H29" s="1469"/>
      <c r="I29" s="1469"/>
      <c r="J29" s="1470"/>
      <c r="K29" s="24"/>
      <c r="L29" s="6"/>
      <c r="M29" s="6"/>
      <c r="N29" s="6"/>
      <c r="O29" s="6"/>
      <c r="P29" s="6"/>
      <c r="Q29" s="6"/>
      <c r="R29" s="6"/>
      <c r="S29" s="6"/>
    </row>
    <row r="30" spans="1:19" s="84" customFormat="1" ht="24.6" customHeight="1">
      <c r="B30" s="1467" t="s">
        <v>289</v>
      </c>
      <c r="C30" s="126" t="s">
        <v>291</v>
      </c>
      <c r="D30" s="13"/>
      <c r="E30" s="24"/>
      <c r="F30" s="24"/>
      <c r="G30" s="24"/>
      <c r="H30" s="24"/>
      <c r="I30" s="24"/>
      <c r="K30" s="24"/>
    </row>
    <row r="31" spans="1:19" s="84" customFormat="1" ht="24.6" customHeight="1">
      <c r="B31" s="1467"/>
      <c r="C31" s="127" t="s">
        <v>292</v>
      </c>
      <c r="D31" s="13"/>
      <c r="E31" s="24"/>
      <c r="F31" s="24"/>
      <c r="G31" s="24"/>
      <c r="H31" s="24"/>
      <c r="I31" s="24"/>
      <c r="K31" s="24"/>
    </row>
    <row r="32" spans="1:19" ht="24.6" customHeight="1">
      <c r="A32" s="6"/>
      <c r="B32" s="6"/>
      <c r="C32" s="30"/>
      <c r="D32" s="13"/>
      <c r="E32" s="24"/>
      <c r="F32" s="24"/>
      <c r="G32" s="24"/>
      <c r="H32" s="24"/>
      <c r="I32" s="24"/>
      <c r="J32" s="24"/>
      <c r="K32" s="32"/>
      <c r="L32" s="6"/>
      <c r="M32" s="6"/>
      <c r="N32" s="6"/>
      <c r="O32" s="6"/>
      <c r="P32" s="6"/>
      <c r="Q32" s="6"/>
      <c r="R32" s="6"/>
      <c r="S32" s="6"/>
    </row>
    <row r="33" spans="1:19" ht="24.6" customHeight="1">
      <c r="A33" s="6"/>
      <c r="B33" s="6"/>
      <c r="C33" s="30"/>
      <c r="D33" s="13"/>
      <c r="E33" s="31">
        <f>K26+1</f>
        <v>26</v>
      </c>
      <c r="F33" s="27">
        <f>E33+1</f>
        <v>27</v>
      </c>
      <c r="G33" s="27">
        <f>F33+1</f>
        <v>28</v>
      </c>
      <c r="H33" s="27">
        <f>G33+1</f>
        <v>29</v>
      </c>
      <c r="I33" s="27">
        <f>H33+1</f>
        <v>30</v>
      </c>
      <c r="J33" s="27"/>
      <c r="K33" s="27"/>
      <c r="L33" s="6"/>
      <c r="M33" s="6"/>
      <c r="N33" s="6"/>
      <c r="O33" s="6"/>
      <c r="P33" s="6"/>
      <c r="Q33" s="6"/>
      <c r="R33" s="6"/>
      <c r="S33" s="6"/>
    </row>
    <row r="34" spans="1:19" ht="24.6" customHeight="1">
      <c r="A34" s="6"/>
      <c r="B34" s="1467" t="s">
        <v>288</v>
      </c>
      <c r="C34" s="12" t="s">
        <v>290</v>
      </c>
      <c r="D34" s="13"/>
      <c r="E34" s="38"/>
      <c r="F34" s="1473" t="s">
        <v>294</v>
      </c>
      <c r="G34" s="1474"/>
      <c r="H34" s="120"/>
      <c r="I34" s="101" t="s">
        <v>313</v>
      </c>
      <c r="J34" s="14"/>
      <c r="K34" s="14"/>
      <c r="L34" s="6"/>
      <c r="M34" s="6"/>
      <c r="N34" s="6"/>
      <c r="O34" s="6"/>
      <c r="P34" s="6"/>
      <c r="Q34" s="6"/>
      <c r="R34" s="6"/>
      <c r="S34" s="6"/>
    </row>
    <row r="35" spans="1:19" ht="24.6" customHeight="1">
      <c r="A35" s="6"/>
      <c r="B35" s="1467"/>
      <c r="C35" s="124" t="s">
        <v>7</v>
      </c>
      <c r="D35" s="13"/>
      <c r="E35" s="38"/>
      <c r="F35" s="117" t="s">
        <v>279</v>
      </c>
      <c r="G35" s="38"/>
      <c r="H35" s="120"/>
      <c r="I35" s="128" t="s">
        <v>296</v>
      </c>
      <c r="J35" s="14"/>
      <c r="K35" s="14"/>
      <c r="L35" s="6"/>
      <c r="M35" s="6"/>
      <c r="N35" s="6"/>
      <c r="O35" s="6"/>
      <c r="P35" s="6"/>
      <c r="Q35" s="6"/>
      <c r="R35" s="6"/>
      <c r="S35" s="6"/>
    </row>
    <row r="36" spans="1:19" ht="24.6" customHeight="1">
      <c r="A36" s="6"/>
      <c r="B36" s="1467"/>
      <c r="C36" s="125" t="s">
        <v>8</v>
      </c>
      <c r="D36" s="13"/>
      <c r="E36" s="38"/>
      <c r="F36" s="1468" t="s">
        <v>293</v>
      </c>
      <c r="G36" s="1469"/>
      <c r="H36" s="1469"/>
      <c r="I36" s="1470"/>
      <c r="J36" s="14"/>
      <c r="K36" s="14"/>
      <c r="L36" s="6"/>
      <c r="M36" s="6"/>
      <c r="N36" s="6"/>
      <c r="O36" s="6"/>
      <c r="P36" s="6"/>
      <c r="Q36" s="6"/>
      <c r="R36" s="6"/>
      <c r="S36" s="6"/>
    </row>
    <row r="37" spans="1:19" s="84" customFormat="1" ht="24.6" customHeight="1">
      <c r="B37" s="1467" t="s">
        <v>289</v>
      </c>
      <c r="C37" s="126" t="s">
        <v>291</v>
      </c>
      <c r="D37" s="13"/>
      <c r="E37" s="38"/>
      <c r="F37" s="38"/>
      <c r="G37" s="1471" t="s">
        <v>295</v>
      </c>
      <c r="H37" s="1472"/>
      <c r="I37" s="14"/>
      <c r="J37" s="14"/>
      <c r="K37" s="14"/>
    </row>
    <row r="38" spans="1:19" s="84" customFormat="1" ht="24.6" customHeight="1">
      <c r="B38" s="1467"/>
      <c r="C38" s="127" t="s">
        <v>292</v>
      </c>
      <c r="D38" s="13"/>
      <c r="E38" s="38"/>
      <c r="F38" s="38"/>
      <c r="G38" s="38"/>
      <c r="H38" s="123"/>
      <c r="I38" s="14"/>
      <c r="J38" s="14"/>
      <c r="K38" s="14"/>
    </row>
    <row r="39" spans="1:19" ht="24.6" customHeight="1">
      <c r="A39" s="6"/>
      <c r="B39" s="6"/>
      <c r="C39" s="5"/>
      <c r="D39" s="5"/>
      <c r="E39" s="23"/>
      <c r="F39" s="37"/>
      <c r="G39" s="37"/>
      <c r="H39" s="37"/>
      <c r="I39" s="37"/>
      <c r="J39" s="37"/>
      <c r="K39" s="23"/>
      <c r="L39" s="6"/>
      <c r="M39" s="6"/>
      <c r="N39" s="6"/>
      <c r="O39" s="6"/>
      <c r="P39" s="6"/>
      <c r="Q39" s="6"/>
      <c r="R39" s="6"/>
      <c r="S39" s="6"/>
    </row>
    <row r="40" spans="1:19" ht="24.6" customHeight="1">
      <c r="A40" s="6"/>
      <c r="B40" s="6"/>
      <c r="C40" s="84"/>
      <c r="D40" s="13"/>
      <c r="E40" s="24"/>
      <c r="F40" s="24"/>
      <c r="G40" s="24"/>
      <c r="H40" s="24"/>
      <c r="I40" s="32"/>
      <c r="J40" s="6"/>
      <c r="K40" s="32"/>
      <c r="L40" s="6"/>
      <c r="M40" s="6"/>
      <c r="N40" s="6"/>
      <c r="O40" s="6"/>
      <c r="P40" s="6"/>
      <c r="Q40" s="6"/>
      <c r="R40" s="6"/>
      <c r="S40" s="6"/>
    </row>
    <row r="41" spans="1:19" ht="24.6" customHeight="1">
      <c r="A41" s="6"/>
      <c r="B41" s="6"/>
      <c r="C41" s="84"/>
      <c r="D41" s="13"/>
      <c r="E41" s="24"/>
      <c r="F41" s="24"/>
      <c r="G41" s="24"/>
      <c r="H41" s="24"/>
      <c r="I41" s="32"/>
      <c r="J41" s="6"/>
      <c r="K41" s="32"/>
      <c r="L41" s="6"/>
      <c r="M41" s="6"/>
      <c r="N41" s="6"/>
      <c r="O41" s="6"/>
      <c r="P41" s="6"/>
      <c r="Q41" s="6"/>
      <c r="R41" s="6"/>
      <c r="S41" s="6"/>
    </row>
    <row r="42" spans="1:19" ht="24.6" customHeight="1">
      <c r="A42" s="6"/>
      <c r="B42" s="6"/>
      <c r="C42" s="84"/>
      <c r="D42" s="47"/>
      <c r="E42" s="48"/>
      <c r="F42" s="24"/>
      <c r="G42" s="24"/>
      <c r="H42" s="48"/>
      <c r="I42" s="48"/>
      <c r="J42" s="51"/>
      <c r="K42" s="48"/>
      <c r="L42" s="6"/>
      <c r="M42" s="6"/>
      <c r="N42" s="6"/>
      <c r="O42" s="6"/>
      <c r="P42" s="6"/>
      <c r="Q42" s="6"/>
      <c r="R42" s="6"/>
      <c r="S42" s="6"/>
    </row>
    <row r="43" spans="1:19">
      <c r="A43" s="6"/>
      <c r="B43" s="6"/>
      <c r="E43" s="49"/>
      <c r="F43" s="49"/>
      <c r="G43" s="49"/>
      <c r="L43" s="6"/>
      <c r="M43" s="6"/>
      <c r="N43" s="6"/>
      <c r="O43" s="6"/>
      <c r="P43" s="6"/>
      <c r="Q43" s="6"/>
      <c r="R43" s="6"/>
      <c r="S43" s="6"/>
    </row>
    <row r="46" spans="1:19">
      <c r="I46" s="90" t="s">
        <v>79</v>
      </c>
      <c r="J46" s="90" t="s">
        <v>207</v>
      </c>
    </row>
    <row r="47" spans="1:19" s="84" customFormat="1">
      <c r="A47" s="4"/>
      <c r="B47" s="4"/>
      <c r="C47" s="4"/>
      <c r="D47" s="4"/>
      <c r="E47" s="4"/>
      <c r="F47" s="4"/>
      <c r="G47" s="4"/>
      <c r="H47" s="90" t="s">
        <v>305</v>
      </c>
      <c r="I47" s="90">
        <v>1</v>
      </c>
      <c r="J47" s="90">
        <v>0</v>
      </c>
      <c r="K47" s="4"/>
      <c r="L47" s="4"/>
      <c r="M47" s="4"/>
      <c r="N47" s="4"/>
      <c r="O47" s="4"/>
      <c r="P47" s="4"/>
      <c r="Q47" s="4"/>
      <c r="R47" s="4"/>
      <c r="S47" s="4"/>
    </row>
    <row r="48" spans="1:19">
      <c r="H48" s="90" t="s">
        <v>77</v>
      </c>
      <c r="I48" s="4">
        <v>2</v>
      </c>
      <c r="J48" s="4">
        <v>3</v>
      </c>
    </row>
    <row r="49" spans="8:10">
      <c r="H49" s="90" t="s">
        <v>78</v>
      </c>
      <c r="I49" s="4">
        <v>0</v>
      </c>
      <c r="J49" s="4">
        <v>0</v>
      </c>
    </row>
    <row r="50" spans="8:10">
      <c r="H50" s="90" t="s">
        <v>129</v>
      </c>
      <c r="I50" s="4">
        <v>0</v>
      </c>
      <c r="J50" s="4">
        <v>0</v>
      </c>
    </row>
    <row r="51" spans="8:10">
      <c r="H51" s="90" t="s">
        <v>105</v>
      </c>
      <c r="I51" s="4">
        <v>3</v>
      </c>
      <c r="J51" s="4">
        <v>5</v>
      </c>
    </row>
    <row r="52" spans="8:10">
      <c r="H52" s="90" t="s">
        <v>36</v>
      </c>
      <c r="I52" s="4">
        <f>SUM(I48:I51)</f>
        <v>5</v>
      </c>
      <c r="J52" s="4">
        <f>SUM(J48:J51)</f>
        <v>8</v>
      </c>
    </row>
  </sheetData>
  <mergeCells count="18">
    <mergeCell ref="G23:H23"/>
    <mergeCell ref="E3:G3"/>
    <mergeCell ref="H3:K3"/>
    <mergeCell ref="M19:O19"/>
    <mergeCell ref="B6:B8"/>
    <mergeCell ref="B9:B10"/>
    <mergeCell ref="B13:B15"/>
    <mergeCell ref="B16:B17"/>
    <mergeCell ref="B20:B22"/>
    <mergeCell ref="B23:B24"/>
    <mergeCell ref="B27:B29"/>
    <mergeCell ref="B30:B31"/>
    <mergeCell ref="B34:B36"/>
    <mergeCell ref="B37:B38"/>
    <mergeCell ref="G29:J29"/>
    <mergeCell ref="F36:I36"/>
    <mergeCell ref="G37:H37"/>
    <mergeCell ref="F34:G34"/>
  </mergeCells>
  <phoneticPr fontId="6" type="noConversion"/>
  <pageMargins left="0.7" right="0.7" top="0.75" bottom="0.75" header="0.3" footer="0.3"/>
  <pageSetup paperSize="9" scale="4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S55"/>
  <sheetViews>
    <sheetView topLeftCell="C4" zoomScale="70" zoomScaleNormal="70" workbookViewId="0">
      <selection activeCell="K37" sqref="K37"/>
    </sheetView>
  </sheetViews>
  <sheetFormatPr defaultColWidth="8.88671875" defaultRowHeight="16.899999999999999"/>
  <cols>
    <col min="1" max="1" width="1.6640625" style="4" customWidth="1"/>
    <col min="2" max="2" width="10.8867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6"/>
  </cols>
  <sheetData>
    <row r="1" spans="1:19" ht="19.149999999999999">
      <c r="A1" s="6"/>
      <c r="B1" s="6"/>
      <c r="C1" s="5"/>
      <c r="D1" s="5"/>
    </row>
    <row r="2" spans="1:19" ht="19.149999999999999">
      <c r="A2" s="6"/>
      <c r="B2" s="6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6"/>
      <c r="B3" s="6"/>
      <c r="C3" s="5"/>
      <c r="D3" s="5"/>
      <c r="E3" s="1450">
        <v>43070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1"/>
      <c r="H5" s="64"/>
      <c r="I5" s="64"/>
      <c r="J5" s="64">
        <v>1</v>
      </c>
      <c r="K5" s="61">
        <v>2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290</v>
      </c>
      <c r="D6" s="13"/>
      <c r="E6" s="14"/>
      <c r="F6" s="14"/>
      <c r="G6" s="62"/>
      <c r="H6" s="14"/>
      <c r="I6" s="36"/>
      <c r="J6" s="120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36"/>
      <c r="J7" s="117" t="s">
        <v>297</v>
      </c>
      <c r="K7" s="117" t="s">
        <v>297</v>
      </c>
      <c r="L7" s="4"/>
      <c r="M7" s="4"/>
      <c r="N7" s="4"/>
      <c r="R7" s="11"/>
      <c r="S7" s="4"/>
    </row>
    <row r="8" spans="1:19" s="5" customFormat="1" ht="24.6" customHeight="1">
      <c r="B8" s="1467"/>
      <c r="C8" s="125" t="s">
        <v>8</v>
      </c>
      <c r="D8" s="13"/>
      <c r="E8" s="14"/>
      <c r="F8" s="14"/>
      <c r="G8" s="14"/>
      <c r="H8" s="14"/>
      <c r="I8" s="36"/>
      <c r="J8" s="116"/>
      <c r="K8" s="14"/>
      <c r="L8" s="4"/>
      <c r="M8" s="4"/>
      <c r="N8" s="4"/>
      <c r="R8" s="11"/>
      <c r="S8" s="4"/>
    </row>
    <row r="9" spans="1:19" s="5" customFormat="1" ht="24.6" customHeight="1">
      <c r="B9" s="1467" t="s">
        <v>287</v>
      </c>
      <c r="C9" s="126" t="s">
        <v>291</v>
      </c>
      <c r="D9" s="13"/>
      <c r="E9" s="14"/>
      <c r="F9" s="14"/>
      <c r="G9" s="14"/>
      <c r="H9" s="14"/>
      <c r="I9" s="123"/>
      <c r="J9" s="123"/>
      <c r="K9" s="14"/>
      <c r="L9" s="4"/>
      <c r="M9" s="4"/>
      <c r="N9" s="4"/>
      <c r="R9" s="11"/>
      <c r="S9" s="4"/>
    </row>
    <row r="10" spans="1:19" s="5" customFormat="1" ht="24.6" customHeight="1">
      <c r="B10" s="1467"/>
      <c r="C10" s="127" t="s">
        <v>292</v>
      </c>
      <c r="D10" s="13"/>
      <c r="E10" s="14"/>
      <c r="F10" s="14"/>
      <c r="G10" s="14"/>
      <c r="H10" s="14"/>
      <c r="I10" s="123"/>
      <c r="J10" s="123"/>
      <c r="K10" s="14"/>
      <c r="L10" s="4"/>
      <c r="M10" s="4"/>
      <c r="N10" s="4"/>
      <c r="R10" s="11"/>
      <c r="S10" s="4"/>
    </row>
    <row r="11" spans="1:19" s="5" customFormat="1" ht="24.6" customHeight="1">
      <c r="D11" s="13"/>
      <c r="E11" s="14"/>
      <c r="F11" s="14"/>
      <c r="G11" s="14"/>
      <c r="H11" s="14"/>
      <c r="I11" s="36"/>
      <c r="J11" s="14"/>
      <c r="K11" s="14"/>
      <c r="L11" s="4"/>
      <c r="M11" s="4"/>
      <c r="N11" s="4"/>
      <c r="R11" s="11"/>
      <c r="S11" s="4"/>
    </row>
    <row r="12" spans="1:19" ht="24.6" customHeight="1">
      <c r="A12" s="6"/>
      <c r="B12" s="6"/>
      <c r="C12" s="5"/>
      <c r="D12" s="5"/>
      <c r="E12" s="23">
        <f>K5+1</f>
        <v>3</v>
      </c>
      <c r="F12" s="65">
        <v>4</v>
      </c>
      <c r="G12" s="65">
        <v>5</v>
      </c>
      <c r="H12" s="65">
        <v>6</v>
      </c>
      <c r="I12" s="65">
        <v>7</v>
      </c>
      <c r="J12" s="65">
        <v>8</v>
      </c>
      <c r="K12" s="53">
        <v>9</v>
      </c>
    </row>
    <row r="13" spans="1:19" ht="24.6" customHeight="1">
      <c r="A13" s="6"/>
      <c r="B13" s="1467" t="s">
        <v>286</v>
      </c>
      <c r="C13" s="12" t="s">
        <v>290</v>
      </c>
      <c r="D13" s="13"/>
      <c r="E13" s="24"/>
      <c r="F13" s="1482" t="s">
        <v>308</v>
      </c>
      <c r="G13" s="1483"/>
      <c r="H13" s="1484"/>
      <c r="I13" s="1473" t="s">
        <v>299</v>
      </c>
      <c r="J13" s="1474"/>
      <c r="K13" s="130" t="s">
        <v>285</v>
      </c>
    </row>
    <row r="14" spans="1:19" ht="24.6" customHeight="1">
      <c r="A14" s="6"/>
      <c r="B14" s="1467"/>
      <c r="C14" s="124" t="s">
        <v>7</v>
      </c>
      <c r="D14" s="13"/>
      <c r="E14" s="24"/>
      <c r="F14" s="117" t="s">
        <v>280</v>
      </c>
      <c r="G14" s="117" t="s">
        <v>312</v>
      </c>
      <c r="H14" s="24"/>
      <c r="I14" s="24"/>
      <c r="J14" s="84"/>
      <c r="K14" s="24"/>
    </row>
    <row r="15" spans="1:19" ht="24.6" customHeight="1">
      <c r="A15" s="6"/>
      <c r="B15" s="1467"/>
      <c r="C15" s="125" t="s">
        <v>8</v>
      </c>
      <c r="D15" s="13"/>
      <c r="E15" s="24"/>
      <c r="F15" s="24"/>
      <c r="G15" s="1468" t="s">
        <v>298</v>
      </c>
      <c r="H15" s="1469"/>
      <c r="I15" s="1469"/>
      <c r="J15" s="1470"/>
      <c r="K15" s="24"/>
    </row>
    <row r="16" spans="1:19" s="84" customFormat="1" ht="24.6" customHeight="1">
      <c r="B16" s="1467" t="s">
        <v>287</v>
      </c>
      <c r="C16" s="126" t="s">
        <v>291</v>
      </c>
      <c r="D16" s="13"/>
      <c r="E16" s="24"/>
      <c r="F16" s="24"/>
      <c r="G16" s="24"/>
      <c r="H16" s="24"/>
      <c r="I16" s="24"/>
      <c r="J16" s="24"/>
      <c r="K16" s="24"/>
      <c r="L16" s="4"/>
      <c r="M16" s="4"/>
      <c r="N16" s="4"/>
      <c r="O16" s="4"/>
      <c r="P16" s="4"/>
      <c r="Q16" s="4"/>
      <c r="R16" s="4"/>
      <c r="S16" s="4"/>
    </row>
    <row r="17" spans="1:19" s="84" customFormat="1" ht="24.6" customHeight="1">
      <c r="B17" s="1467"/>
      <c r="C17" s="127" t="s">
        <v>292</v>
      </c>
      <c r="D17" s="13"/>
      <c r="E17" s="24"/>
      <c r="F17" s="1471" t="s">
        <v>300</v>
      </c>
      <c r="G17" s="1472"/>
      <c r="H17" s="24"/>
      <c r="I17" s="24"/>
      <c r="J17" s="24"/>
      <c r="K17" s="24"/>
      <c r="L17" s="4"/>
      <c r="M17" s="4"/>
      <c r="N17" s="4"/>
      <c r="O17" s="4"/>
      <c r="P17" s="4"/>
      <c r="Q17" s="4"/>
      <c r="R17" s="4"/>
      <c r="S17" s="4"/>
    </row>
    <row r="18" spans="1:19" ht="24.6" customHeight="1">
      <c r="A18" s="6"/>
      <c r="B18" s="6"/>
      <c r="C18" s="6"/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6"/>
      <c r="B19" s="6"/>
      <c r="C19" s="5"/>
      <c r="D19" s="5"/>
      <c r="E19" s="26">
        <f>K12+1</f>
        <v>10</v>
      </c>
      <c r="F19" s="27">
        <f t="shared" ref="F19:K19" si="0">E19+1</f>
        <v>11</v>
      </c>
      <c r="G19" s="27">
        <f t="shared" si="0"/>
        <v>12</v>
      </c>
      <c r="H19" s="27">
        <f t="shared" si="0"/>
        <v>13</v>
      </c>
      <c r="I19" s="27">
        <f t="shared" si="0"/>
        <v>14</v>
      </c>
      <c r="J19" s="27">
        <f t="shared" si="0"/>
        <v>15</v>
      </c>
      <c r="K19" s="52">
        <f t="shared" si="0"/>
        <v>16</v>
      </c>
      <c r="M19" s="1453"/>
      <c r="N19" s="1453"/>
      <c r="O19" s="1453"/>
    </row>
    <row r="20" spans="1:19" ht="24.6" customHeight="1">
      <c r="A20" s="6"/>
      <c r="B20" s="1467" t="s">
        <v>286</v>
      </c>
      <c r="C20" s="12" t="s">
        <v>290</v>
      </c>
      <c r="D20" s="13"/>
      <c r="E20" s="130" t="s">
        <v>285</v>
      </c>
      <c r="F20" s="1478" t="s">
        <v>307</v>
      </c>
      <c r="G20" s="1479"/>
      <c r="H20" s="1480" t="s">
        <v>309</v>
      </c>
      <c r="I20" s="1481"/>
      <c r="J20" s="14"/>
      <c r="K20" s="14"/>
    </row>
    <row r="21" spans="1:19" ht="24.6" customHeight="1">
      <c r="A21" s="6"/>
      <c r="B21" s="1467"/>
      <c r="C21" s="124" t="s">
        <v>7</v>
      </c>
      <c r="D21" s="13"/>
      <c r="E21" s="14"/>
      <c r="F21" s="33"/>
      <c r="G21" s="33"/>
      <c r="H21" s="33"/>
      <c r="I21" s="33"/>
      <c r="J21" s="14"/>
      <c r="K21" s="14"/>
      <c r="L21" s="6"/>
      <c r="M21" s="6"/>
      <c r="N21" s="6"/>
      <c r="O21" s="6"/>
      <c r="P21" s="6"/>
      <c r="Q21" s="6"/>
      <c r="R21" s="6"/>
      <c r="S21" s="6"/>
    </row>
    <row r="22" spans="1:19" ht="24.6" customHeight="1">
      <c r="A22" s="6"/>
      <c r="B22" s="1467"/>
      <c r="C22" s="125" t="s">
        <v>8</v>
      </c>
      <c r="D22" s="13"/>
      <c r="E22" s="14"/>
      <c r="F22" s="1468" t="s">
        <v>298</v>
      </c>
      <c r="G22" s="1469"/>
      <c r="H22" s="1469"/>
      <c r="I22" s="1470"/>
      <c r="J22" s="14"/>
      <c r="K22" s="14"/>
      <c r="L22" s="6"/>
      <c r="M22" s="6"/>
      <c r="N22" s="6"/>
      <c r="O22" s="6"/>
      <c r="P22" s="6"/>
      <c r="Q22" s="6"/>
      <c r="R22" s="6"/>
      <c r="S22" s="6"/>
    </row>
    <row r="23" spans="1:19" s="84" customFormat="1" ht="24.6" customHeight="1">
      <c r="B23" s="1467" t="s">
        <v>287</v>
      </c>
      <c r="C23" s="126" t="s">
        <v>291</v>
      </c>
      <c r="D23" s="13"/>
      <c r="E23" s="14"/>
      <c r="F23" s="14"/>
      <c r="G23" s="14"/>
      <c r="H23" s="33"/>
      <c r="I23" s="33"/>
      <c r="J23" s="14"/>
      <c r="K23" s="14"/>
    </row>
    <row r="24" spans="1:19" s="84" customFormat="1" ht="24.6" customHeight="1">
      <c r="B24" s="1467"/>
      <c r="C24" s="127" t="s">
        <v>292</v>
      </c>
      <c r="D24" s="13"/>
      <c r="E24" s="14"/>
      <c r="F24" s="1471" t="s">
        <v>301</v>
      </c>
      <c r="G24" s="1472"/>
      <c r="H24" s="33"/>
      <c r="I24" s="33"/>
      <c r="J24" s="14"/>
      <c r="K24" s="14"/>
    </row>
    <row r="25" spans="1:19" ht="24.6" customHeight="1">
      <c r="A25" s="6"/>
      <c r="B25" s="6"/>
      <c r="C25" s="6"/>
      <c r="D25" s="13"/>
      <c r="E25" s="14"/>
      <c r="F25" s="14"/>
      <c r="G25" s="14"/>
      <c r="H25" s="33"/>
      <c r="I25" s="33"/>
      <c r="J25" s="122" t="s">
        <v>284</v>
      </c>
      <c r="K25" s="122" t="s">
        <v>284</v>
      </c>
      <c r="L25" s="6"/>
      <c r="M25" s="6"/>
      <c r="N25" s="6"/>
      <c r="O25" s="6"/>
      <c r="P25" s="6"/>
      <c r="Q25" s="6"/>
      <c r="R25" s="6"/>
      <c r="S25" s="6"/>
    </row>
    <row r="26" spans="1:19" ht="24.6" customHeight="1">
      <c r="A26" s="6"/>
      <c r="B26" s="6"/>
      <c r="C26" s="5"/>
      <c r="D26" s="5"/>
      <c r="E26" s="23">
        <f>K19+1</f>
        <v>17</v>
      </c>
      <c r="F26" s="37">
        <f t="shared" ref="F26:K26" si="1">E26+1</f>
        <v>18</v>
      </c>
      <c r="G26" s="37">
        <f t="shared" si="1"/>
        <v>19</v>
      </c>
      <c r="H26" s="37">
        <f t="shared" si="1"/>
        <v>20</v>
      </c>
      <c r="I26" s="37">
        <f t="shared" si="1"/>
        <v>21</v>
      </c>
      <c r="J26" s="37">
        <f t="shared" si="1"/>
        <v>22</v>
      </c>
      <c r="K26" s="23">
        <f t="shared" si="1"/>
        <v>23</v>
      </c>
      <c r="L26" s="6"/>
      <c r="M26" s="6"/>
      <c r="N26" s="6"/>
      <c r="O26" s="6"/>
      <c r="P26" s="6"/>
      <c r="Q26" s="6"/>
      <c r="R26" s="6"/>
      <c r="S26" s="6"/>
    </row>
    <row r="27" spans="1:19" ht="24.6" customHeight="1">
      <c r="A27" s="6"/>
      <c r="B27" s="1467" t="s">
        <v>286</v>
      </c>
      <c r="C27" s="12" t="s">
        <v>290</v>
      </c>
      <c r="D27" s="13"/>
      <c r="E27" s="24"/>
      <c r="F27" s="24"/>
      <c r="G27" s="24"/>
      <c r="H27" s="24"/>
      <c r="I27" s="24"/>
      <c r="J27" s="24"/>
      <c r="K27" s="32"/>
      <c r="L27" s="6"/>
      <c r="M27" s="6"/>
      <c r="N27" s="6"/>
      <c r="O27" s="6"/>
      <c r="P27" s="6"/>
      <c r="Q27" s="6"/>
      <c r="R27" s="6"/>
      <c r="S27" s="6"/>
    </row>
    <row r="28" spans="1:19" ht="24.6" customHeight="1">
      <c r="A28" s="6"/>
      <c r="B28" s="1467"/>
      <c r="C28" s="124" t="s">
        <v>7</v>
      </c>
      <c r="D28" s="13"/>
      <c r="E28" s="24"/>
      <c r="F28" s="24"/>
      <c r="G28" s="24"/>
      <c r="H28" s="117" t="s">
        <v>311</v>
      </c>
      <c r="I28" s="24"/>
      <c r="J28" s="84"/>
      <c r="K28" s="32"/>
      <c r="L28" s="6"/>
      <c r="M28" s="6"/>
      <c r="N28" s="6"/>
      <c r="O28" s="6"/>
      <c r="P28" s="6"/>
      <c r="Q28" s="6"/>
      <c r="R28" s="6"/>
      <c r="S28" s="6"/>
    </row>
    <row r="29" spans="1:19" ht="24.6" customHeight="1">
      <c r="A29" s="6"/>
      <c r="B29" s="1467"/>
      <c r="C29" s="125" t="s">
        <v>8</v>
      </c>
      <c r="D29" s="13"/>
      <c r="E29" s="24"/>
      <c r="F29" s="24"/>
      <c r="G29" s="1468" t="s">
        <v>303</v>
      </c>
      <c r="H29" s="1469"/>
      <c r="I29" s="1469"/>
      <c r="J29" s="1470"/>
      <c r="K29" s="24"/>
      <c r="L29" s="6"/>
      <c r="M29" s="6"/>
      <c r="N29" s="6"/>
      <c r="O29" s="6"/>
      <c r="P29" s="6"/>
      <c r="Q29" s="6"/>
      <c r="R29" s="6"/>
      <c r="S29" s="6"/>
    </row>
    <row r="30" spans="1:19" s="84" customFormat="1" ht="24.6" customHeight="1">
      <c r="B30" s="1467" t="s">
        <v>287</v>
      </c>
      <c r="C30" s="126" t="s">
        <v>291</v>
      </c>
      <c r="D30" s="13"/>
      <c r="E30" s="24"/>
      <c r="F30" s="24"/>
      <c r="G30" s="24"/>
      <c r="H30" s="24"/>
      <c r="I30" s="1471" t="s">
        <v>310</v>
      </c>
      <c r="J30" s="1472"/>
      <c r="K30" s="24"/>
    </row>
    <row r="31" spans="1:19" s="84" customFormat="1" ht="24.6" customHeight="1">
      <c r="B31" s="1467"/>
      <c r="C31" s="127" t="s">
        <v>292</v>
      </c>
      <c r="D31" s="13"/>
      <c r="E31" s="24"/>
      <c r="F31" s="1471" t="s">
        <v>302</v>
      </c>
      <c r="G31" s="1477"/>
      <c r="H31" s="1477"/>
      <c r="K31" s="24"/>
    </row>
    <row r="32" spans="1:19" ht="24.6" customHeight="1">
      <c r="A32" s="6"/>
      <c r="B32" s="6"/>
      <c r="C32" s="30"/>
      <c r="D32" s="13"/>
      <c r="E32" s="122" t="s">
        <v>314</v>
      </c>
      <c r="F32" s="122" t="s">
        <v>284</v>
      </c>
      <c r="G32" s="122" t="s">
        <v>284</v>
      </c>
      <c r="H32" s="122" t="s">
        <v>284</v>
      </c>
      <c r="I32" s="122" t="s">
        <v>284</v>
      </c>
      <c r="J32" s="122" t="s">
        <v>284</v>
      </c>
      <c r="K32" s="122" t="s">
        <v>284</v>
      </c>
      <c r="L32" s="6"/>
      <c r="M32" s="6"/>
      <c r="N32" s="6"/>
      <c r="O32" s="6"/>
      <c r="P32" s="6"/>
      <c r="Q32" s="6"/>
      <c r="R32" s="6"/>
      <c r="S32" s="6"/>
    </row>
    <row r="33" spans="1:19" ht="24.6" customHeight="1">
      <c r="A33" s="6"/>
      <c r="B33" s="6"/>
      <c r="C33" s="30"/>
      <c r="D33" s="13"/>
      <c r="E33" s="31">
        <f>K26+1</f>
        <v>24</v>
      </c>
      <c r="F33" s="52">
        <f t="shared" ref="F33:K33" si="2">E33+1</f>
        <v>25</v>
      </c>
      <c r="G33" s="27">
        <f t="shared" si="2"/>
        <v>26</v>
      </c>
      <c r="H33" s="27">
        <f t="shared" si="2"/>
        <v>27</v>
      </c>
      <c r="I33" s="27">
        <f t="shared" si="2"/>
        <v>28</v>
      </c>
      <c r="J33" s="27">
        <f t="shared" si="2"/>
        <v>29</v>
      </c>
      <c r="K33" s="27">
        <f t="shared" si="2"/>
        <v>30</v>
      </c>
      <c r="L33" s="6"/>
      <c r="M33" s="6"/>
      <c r="N33" s="6"/>
      <c r="O33" s="6"/>
      <c r="P33" s="6"/>
      <c r="Q33" s="6"/>
      <c r="R33" s="6"/>
      <c r="S33" s="6"/>
    </row>
    <row r="34" spans="1:19" ht="24.6" customHeight="1">
      <c r="A34" s="6"/>
      <c r="B34" s="1467" t="s">
        <v>286</v>
      </c>
      <c r="C34" s="12" t="s">
        <v>290</v>
      </c>
      <c r="D34" s="13"/>
      <c r="E34" s="38"/>
      <c r="F34" s="121" t="s">
        <v>277</v>
      </c>
      <c r="G34" s="14"/>
      <c r="H34" s="14"/>
      <c r="I34" s="14"/>
      <c r="J34" s="14"/>
      <c r="K34" s="14"/>
      <c r="L34" s="6"/>
      <c r="M34" s="6"/>
      <c r="N34" s="6"/>
      <c r="O34" s="6"/>
      <c r="P34" s="6"/>
      <c r="Q34" s="6"/>
      <c r="R34" s="6"/>
      <c r="S34" s="6"/>
    </row>
    <row r="35" spans="1:19" ht="24.6" customHeight="1">
      <c r="A35" s="6"/>
      <c r="B35" s="1467"/>
      <c r="C35" s="124" t="s">
        <v>7</v>
      </c>
      <c r="D35" s="13"/>
      <c r="E35" s="38"/>
      <c r="F35" s="38"/>
      <c r="G35" s="14"/>
      <c r="H35" s="89" t="s">
        <v>278</v>
      </c>
      <c r="I35" s="89" t="s">
        <v>282</v>
      </c>
      <c r="J35" s="14"/>
      <c r="K35" s="14"/>
      <c r="L35" s="6"/>
      <c r="M35" s="6"/>
      <c r="N35" s="6"/>
      <c r="O35" s="6"/>
      <c r="P35" s="6"/>
      <c r="Q35" s="6"/>
      <c r="R35" s="6"/>
      <c r="S35" s="6"/>
    </row>
    <row r="36" spans="1:19" ht="24.6" customHeight="1">
      <c r="A36" s="6"/>
      <c r="B36" s="1467"/>
      <c r="C36" s="125" t="s">
        <v>8</v>
      </c>
      <c r="D36" s="13"/>
      <c r="E36" s="38"/>
      <c r="F36" s="1468" t="s">
        <v>303</v>
      </c>
      <c r="G36" s="1469"/>
      <c r="H36" s="1469"/>
      <c r="I36" s="1470"/>
      <c r="J36" s="14"/>
      <c r="K36" s="14"/>
      <c r="L36" s="6"/>
      <c r="M36" s="6"/>
      <c r="N36" s="6"/>
      <c r="O36" s="6"/>
      <c r="P36" s="6"/>
      <c r="Q36" s="6"/>
      <c r="R36" s="6"/>
      <c r="S36" s="6"/>
    </row>
    <row r="37" spans="1:19" s="84" customFormat="1" ht="24.6" customHeight="1">
      <c r="B37" s="1467" t="s">
        <v>287</v>
      </c>
      <c r="C37" s="126" t="s">
        <v>291</v>
      </c>
      <c r="D37" s="13"/>
      <c r="E37" s="38"/>
      <c r="F37" s="38"/>
      <c r="G37" s="38"/>
      <c r="H37" s="123"/>
      <c r="I37" s="14"/>
      <c r="J37" s="14"/>
      <c r="K37" s="14"/>
    </row>
    <row r="38" spans="1:19" s="84" customFormat="1" ht="24.6" customHeight="1">
      <c r="B38" s="1467"/>
      <c r="C38" s="127" t="s">
        <v>292</v>
      </c>
      <c r="D38" s="13"/>
      <c r="E38" s="38"/>
      <c r="F38" s="38"/>
      <c r="G38" s="38"/>
      <c r="H38" s="129"/>
      <c r="I38" s="14"/>
      <c r="J38" s="14"/>
      <c r="K38" s="14"/>
    </row>
    <row r="39" spans="1:19" ht="24.6" customHeight="1">
      <c r="A39" s="6"/>
      <c r="B39" s="6"/>
      <c r="C39" s="6"/>
      <c r="D39" s="13"/>
      <c r="E39" s="38"/>
      <c r="F39" s="38"/>
      <c r="G39" s="38"/>
      <c r="H39" s="38"/>
      <c r="I39" s="1475" t="s">
        <v>315</v>
      </c>
      <c r="J39" s="1476"/>
      <c r="K39" s="38"/>
      <c r="L39" s="6"/>
      <c r="M39" s="6"/>
      <c r="N39" s="6"/>
      <c r="O39" s="6"/>
      <c r="P39" s="6"/>
      <c r="Q39" s="6"/>
      <c r="R39" s="6"/>
      <c r="S39" s="6"/>
    </row>
    <row r="40" spans="1:19" ht="24.6" customHeight="1">
      <c r="A40" s="6"/>
      <c r="B40" s="6"/>
      <c r="C40" s="5"/>
      <c r="D40" s="5"/>
      <c r="E40" s="23">
        <v>31</v>
      </c>
      <c r="F40" s="37"/>
      <c r="G40" s="37"/>
      <c r="H40" s="37"/>
      <c r="I40" s="37"/>
      <c r="J40" s="37"/>
      <c r="K40" s="23"/>
      <c r="L40" s="6"/>
      <c r="M40" s="6"/>
      <c r="N40" s="6"/>
      <c r="O40" s="6"/>
      <c r="P40" s="6"/>
      <c r="Q40" s="6"/>
      <c r="R40" s="6"/>
      <c r="S40" s="6"/>
    </row>
    <row r="41" spans="1:19" ht="24.6" customHeight="1">
      <c r="A41" s="6"/>
      <c r="B41" s="6"/>
      <c r="C41" s="12" t="s">
        <v>9</v>
      </c>
      <c r="D41" s="13"/>
      <c r="E41" s="24"/>
      <c r="F41" s="24"/>
      <c r="G41" s="32"/>
      <c r="H41" s="24"/>
      <c r="I41" s="32"/>
      <c r="J41" s="6"/>
      <c r="K41" s="32"/>
      <c r="L41" s="6"/>
      <c r="M41" s="6"/>
      <c r="N41" s="6"/>
      <c r="O41" s="6"/>
      <c r="P41" s="6"/>
      <c r="Q41" s="6"/>
      <c r="R41" s="6"/>
      <c r="S41" s="6"/>
    </row>
    <row r="42" spans="1:19" ht="24.6" customHeight="1">
      <c r="A42" s="6"/>
      <c r="B42" s="6"/>
      <c r="C42" s="16" t="s">
        <v>7</v>
      </c>
      <c r="D42" s="13"/>
      <c r="E42" s="24"/>
      <c r="F42" s="24"/>
      <c r="G42" s="32"/>
      <c r="H42" s="24"/>
      <c r="I42" s="32"/>
      <c r="J42" s="6"/>
      <c r="K42" s="32"/>
      <c r="L42" s="6"/>
      <c r="M42" s="6"/>
      <c r="N42" s="6"/>
      <c r="O42" s="6"/>
      <c r="P42" s="6"/>
      <c r="Q42" s="6"/>
      <c r="R42" s="6"/>
      <c r="S42" s="6"/>
    </row>
    <row r="43" spans="1:19" ht="24.6" customHeight="1">
      <c r="A43" s="6"/>
      <c r="B43" s="6"/>
      <c r="C43" s="125" t="s">
        <v>8</v>
      </c>
      <c r="D43" s="47"/>
      <c r="E43" s="24"/>
      <c r="F43" s="24"/>
      <c r="G43" s="32"/>
      <c r="H43" s="24"/>
      <c r="I43" s="32"/>
      <c r="J43" s="84"/>
      <c r="K43" s="32"/>
      <c r="L43" s="6"/>
      <c r="M43" s="6"/>
      <c r="N43" s="6"/>
      <c r="O43" s="6"/>
      <c r="P43" s="6"/>
      <c r="Q43" s="6"/>
      <c r="R43" s="6"/>
      <c r="S43" s="6"/>
    </row>
    <row r="44" spans="1:19" s="84" customFormat="1" ht="24.6" customHeight="1">
      <c r="C44" s="126" t="s">
        <v>291</v>
      </c>
      <c r="D44" s="131"/>
      <c r="E44" s="24"/>
      <c r="F44" s="24"/>
      <c r="G44" s="32"/>
      <c r="H44" s="24"/>
      <c r="I44" s="32"/>
      <c r="K44" s="32"/>
    </row>
    <row r="45" spans="1:19" s="84" customFormat="1" ht="24.6" customHeight="1">
      <c r="C45" s="127" t="s">
        <v>292</v>
      </c>
      <c r="D45" s="131"/>
      <c r="E45" s="24"/>
      <c r="F45" s="24"/>
      <c r="G45" s="32"/>
      <c r="H45" s="24"/>
      <c r="I45" s="24"/>
      <c r="J45" s="32"/>
      <c r="K45" s="32"/>
    </row>
    <row r="46" spans="1:19">
      <c r="A46" s="6"/>
      <c r="B46" s="6"/>
      <c r="E46" s="49"/>
      <c r="F46" s="49"/>
      <c r="G46" s="49"/>
      <c r="H46" s="49"/>
      <c r="I46" s="49"/>
      <c r="J46" s="49"/>
      <c r="K46" s="49"/>
      <c r="L46" s="6"/>
      <c r="M46" s="6"/>
      <c r="N46" s="6"/>
      <c r="O46" s="6"/>
      <c r="P46" s="6"/>
      <c r="Q46" s="6"/>
      <c r="R46" s="6"/>
      <c r="S46" s="6"/>
    </row>
    <row r="49" spans="1:19">
      <c r="I49" s="90" t="s">
        <v>79</v>
      </c>
      <c r="J49" s="90" t="s">
        <v>207</v>
      </c>
    </row>
    <row r="50" spans="1:19" s="84" customFormat="1">
      <c r="A50" s="4"/>
      <c r="B50" s="4"/>
      <c r="C50" s="4"/>
      <c r="D50" s="4"/>
      <c r="E50" s="4"/>
      <c r="F50" s="4"/>
      <c r="G50" s="4"/>
      <c r="H50" s="90" t="s">
        <v>306</v>
      </c>
      <c r="I50" s="90">
        <v>3</v>
      </c>
      <c r="J50" s="90">
        <v>4</v>
      </c>
      <c r="K50" s="4"/>
      <c r="L50" s="4"/>
      <c r="M50" s="4"/>
      <c r="N50" s="4"/>
      <c r="O50" s="4"/>
      <c r="P50" s="4"/>
      <c r="Q50" s="4"/>
      <c r="R50" s="4"/>
      <c r="S50" s="4"/>
    </row>
    <row r="51" spans="1:19">
      <c r="H51" s="90" t="s">
        <v>77</v>
      </c>
      <c r="I51" s="4">
        <v>6</v>
      </c>
      <c r="J51" s="4">
        <v>2</v>
      </c>
    </row>
    <row r="52" spans="1:19">
      <c r="H52" s="90" t="s">
        <v>78</v>
      </c>
      <c r="I52" s="4">
        <v>1</v>
      </c>
      <c r="J52" s="4">
        <v>0</v>
      </c>
    </row>
    <row r="53" spans="1:19">
      <c r="H53" s="90" t="s">
        <v>129</v>
      </c>
      <c r="I53" s="4">
        <v>0</v>
      </c>
      <c r="J53" s="4">
        <v>0</v>
      </c>
    </row>
    <row r="54" spans="1:19">
      <c r="H54" s="90" t="s">
        <v>105</v>
      </c>
      <c r="I54" s="4">
        <v>0</v>
      </c>
      <c r="J54" s="4">
        <v>1</v>
      </c>
    </row>
    <row r="55" spans="1:19">
      <c r="H55" s="90" t="s">
        <v>36</v>
      </c>
      <c r="I55" s="4">
        <f>SUM(I51:I54)</f>
        <v>7</v>
      </c>
      <c r="J55" s="4">
        <f>SUM(J51:J54)</f>
        <v>3</v>
      </c>
    </row>
  </sheetData>
  <mergeCells count="26">
    <mergeCell ref="E3:G3"/>
    <mergeCell ref="H3:K3"/>
    <mergeCell ref="M19:O19"/>
    <mergeCell ref="B6:B8"/>
    <mergeCell ref="B9:B10"/>
    <mergeCell ref="B13:B15"/>
    <mergeCell ref="B16:B17"/>
    <mergeCell ref="F17:G17"/>
    <mergeCell ref="I13:J13"/>
    <mergeCell ref="F13:H13"/>
    <mergeCell ref="B20:B22"/>
    <mergeCell ref="B23:B24"/>
    <mergeCell ref="B27:B29"/>
    <mergeCell ref="B30:B31"/>
    <mergeCell ref="B34:B36"/>
    <mergeCell ref="F20:G20"/>
    <mergeCell ref="G15:J15"/>
    <mergeCell ref="F22:I22"/>
    <mergeCell ref="H20:I20"/>
    <mergeCell ref="G29:J29"/>
    <mergeCell ref="I39:J39"/>
    <mergeCell ref="F36:I36"/>
    <mergeCell ref="I30:J30"/>
    <mergeCell ref="B37:B38"/>
    <mergeCell ref="F24:G24"/>
    <mergeCell ref="F31:H31"/>
  </mergeCells>
  <phoneticPr fontId="6" type="noConversion"/>
  <pageMargins left="0.7" right="0.7" top="0.75" bottom="0.75" header="0.3" footer="0.3"/>
  <pageSetup paperSize="9"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3:O16"/>
  <sheetViews>
    <sheetView workbookViewId="0">
      <selection activeCell="K37" sqref="K37"/>
    </sheetView>
  </sheetViews>
  <sheetFormatPr defaultColWidth="8.77734375" defaultRowHeight="13.9"/>
  <cols>
    <col min="1" max="1" width="8.21875" style="66" customWidth="1"/>
    <col min="2" max="13" width="5.44140625" style="66" customWidth="1"/>
    <col min="14" max="15" width="9.21875" style="66" customWidth="1"/>
    <col min="16" max="16384" width="8.77734375" style="66"/>
  </cols>
  <sheetData>
    <row r="3" spans="1:15" ht="27.75">
      <c r="A3" s="68" t="s">
        <v>20</v>
      </c>
      <c r="B3" s="68">
        <v>1</v>
      </c>
      <c r="C3" s="68">
        <v>2</v>
      </c>
      <c r="D3" s="68">
        <v>3</v>
      </c>
      <c r="E3" s="68">
        <v>4</v>
      </c>
      <c r="F3" s="68">
        <v>5</v>
      </c>
      <c r="G3" s="68">
        <v>6</v>
      </c>
      <c r="H3" s="68">
        <v>7</v>
      </c>
      <c r="I3" s="68">
        <v>8</v>
      </c>
      <c r="J3" s="68">
        <v>9</v>
      </c>
      <c r="K3" s="68">
        <v>10</v>
      </c>
      <c r="L3" s="68">
        <v>11</v>
      </c>
      <c r="M3" s="68">
        <v>12</v>
      </c>
      <c r="N3" s="69" t="s">
        <v>17</v>
      </c>
      <c r="O3" s="69" t="s">
        <v>18</v>
      </c>
    </row>
    <row r="4" spans="1:15" ht="21.6" customHeight="1">
      <c r="A4" s="68">
        <v>100</v>
      </c>
      <c r="B4" s="70">
        <v>0</v>
      </c>
      <c r="C4" s="70">
        <v>9</v>
      </c>
      <c r="D4" s="70">
        <v>17</v>
      </c>
      <c r="E4" s="70">
        <v>13</v>
      </c>
      <c r="F4" s="70">
        <v>10</v>
      </c>
      <c r="G4" s="70">
        <v>13</v>
      </c>
      <c r="H4" s="70">
        <v>8</v>
      </c>
      <c r="I4" s="111">
        <v>8</v>
      </c>
      <c r="J4" s="111">
        <v>1</v>
      </c>
      <c r="K4" s="111">
        <v>0</v>
      </c>
      <c r="L4" s="111">
        <v>0</v>
      </c>
      <c r="M4" s="111">
        <v>0</v>
      </c>
      <c r="N4" s="70">
        <f>SUM(B4:M4)</f>
        <v>79</v>
      </c>
      <c r="O4" s="73">
        <f>AVERAGE(B4:M4)</f>
        <v>6.583333333333333</v>
      </c>
    </row>
    <row r="5" spans="1:15" ht="21.6" customHeight="1">
      <c r="A5" s="68">
        <v>200</v>
      </c>
      <c r="B5" s="70">
        <v>0</v>
      </c>
      <c r="C5" s="70">
        <v>1</v>
      </c>
      <c r="D5" s="70">
        <v>2</v>
      </c>
      <c r="E5" s="70">
        <v>4</v>
      </c>
      <c r="F5" s="70">
        <v>8</v>
      </c>
      <c r="G5" s="70">
        <v>8</v>
      </c>
      <c r="H5" s="70">
        <v>8</v>
      </c>
      <c r="I5" s="111">
        <v>2</v>
      </c>
      <c r="J5" s="111">
        <v>6</v>
      </c>
      <c r="K5" s="111">
        <v>6</v>
      </c>
      <c r="L5" s="111">
        <v>6</v>
      </c>
      <c r="M5" s="111">
        <v>3</v>
      </c>
      <c r="N5" s="70">
        <f>SUM(B5:M5)</f>
        <v>54</v>
      </c>
      <c r="O5" s="73">
        <f>AVERAGE(B5:M5)</f>
        <v>4.5</v>
      </c>
    </row>
    <row r="6" spans="1:15" ht="21.6" customHeight="1">
      <c r="A6" s="68">
        <v>50</v>
      </c>
      <c r="B6" s="70">
        <v>0</v>
      </c>
      <c r="C6" s="70">
        <v>0</v>
      </c>
      <c r="D6" s="70">
        <v>1</v>
      </c>
      <c r="E6" s="70">
        <v>0</v>
      </c>
      <c r="F6" s="70">
        <v>1</v>
      </c>
      <c r="G6" s="70">
        <v>0</v>
      </c>
      <c r="H6" s="70">
        <v>1</v>
      </c>
      <c r="I6" s="111">
        <v>1</v>
      </c>
      <c r="J6" s="111">
        <v>1</v>
      </c>
      <c r="K6" s="111">
        <v>1</v>
      </c>
      <c r="L6" s="111">
        <v>2</v>
      </c>
      <c r="M6" s="111">
        <v>0</v>
      </c>
      <c r="N6" s="70">
        <f>SUM(B6:M6)</f>
        <v>8</v>
      </c>
      <c r="O6" s="73">
        <f>AVERAGE(B6:M6)</f>
        <v>0.66666666666666663</v>
      </c>
    </row>
    <row r="7" spans="1:15" ht="21.6" customHeight="1">
      <c r="A7" s="68">
        <v>150</v>
      </c>
      <c r="B7" s="70">
        <v>0</v>
      </c>
      <c r="C7" s="70">
        <v>1</v>
      </c>
      <c r="D7" s="70">
        <v>0</v>
      </c>
      <c r="E7" s="70">
        <v>0</v>
      </c>
      <c r="F7" s="70">
        <v>0</v>
      </c>
      <c r="G7" s="70">
        <v>0</v>
      </c>
      <c r="H7" s="70">
        <v>0</v>
      </c>
      <c r="I7" s="70">
        <v>0</v>
      </c>
      <c r="J7" s="70">
        <v>0</v>
      </c>
      <c r="K7" s="70">
        <v>1</v>
      </c>
      <c r="L7" s="70">
        <v>0</v>
      </c>
      <c r="M7" s="70">
        <v>0</v>
      </c>
      <c r="N7" s="70">
        <f>SUM(B7:M7)</f>
        <v>2</v>
      </c>
      <c r="O7" s="73">
        <f>AVERAGE(B7:M7)</f>
        <v>0.16666666666666666</v>
      </c>
    </row>
    <row r="8" spans="1:15" ht="21.6" customHeight="1">
      <c r="A8" s="68" t="s">
        <v>105</v>
      </c>
      <c r="B8" s="70">
        <v>0</v>
      </c>
      <c r="C8" s="70">
        <v>0</v>
      </c>
      <c r="D8" s="70">
        <v>2</v>
      </c>
      <c r="E8" s="70">
        <v>2</v>
      </c>
      <c r="F8" s="70">
        <v>0</v>
      </c>
      <c r="G8" s="70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f>SUM(B8:M8)</f>
        <v>4</v>
      </c>
      <c r="O8" s="73">
        <f>AVERAGE(B8:M8)</f>
        <v>0.33333333333333331</v>
      </c>
    </row>
    <row r="9" spans="1:15" ht="21.6" customHeight="1">
      <c r="A9" s="71" t="s">
        <v>19</v>
      </c>
      <c r="B9" s="71">
        <f>SUM(B4:B6)</f>
        <v>0</v>
      </c>
      <c r="C9" s="71">
        <f>SUM(C4:C8)</f>
        <v>11</v>
      </c>
      <c r="D9" s="71">
        <f t="shared" ref="D9:O9" si="0">SUM(D4:D8)</f>
        <v>22</v>
      </c>
      <c r="E9" s="71">
        <f t="shared" si="0"/>
        <v>19</v>
      </c>
      <c r="F9" s="71">
        <f t="shared" si="0"/>
        <v>19</v>
      </c>
      <c r="G9" s="71">
        <f t="shared" si="0"/>
        <v>21</v>
      </c>
      <c r="H9" s="71">
        <f t="shared" si="0"/>
        <v>17</v>
      </c>
      <c r="I9" s="71">
        <f t="shared" si="0"/>
        <v>11</v>
      </c>
      <c r="J9" s="71">
        <f t="shared" si="0"/>
        <v>8</v>
      </c>
      <c r="K9" s="71">
        <f t="shared" si="0"/>
        <v>8</v>
      </c>
      <c r="L9" s="71">
        <f t="shared" si="0"/>
        <v>8</v>
      </c>
      <c r="M9" s="71">
        <f t="shared" si="0"/>
        <v>3</v>
      </c>
      <c r="N9" s="71">
        <f t="shared" si="0"/>
        <v>147</v>
      </c>
      <c r="O9" s="71">
        <f t="shared" si="0"/>
        <v>12.249999999999998</v>
      </c>
    </row>
    <row r="11" spans="1:15">
      <c r="A11" s="67" t="s">
        <v>25</v>
      </c>
    </row>
    <row r="12" spans="1:15">
      <c r="A12" s="67" t="s">
        <v>23</v>
      </c>
    </row>
    <row r="13" spans="1:15">
      <c r="A13" s="67" t="s">
        <v>21</v>
      </c>
    </row>
    <row r="14" spans="1:15">
      <c r="A14" s="67" t="s">
        <v>22</v>
      </c>
    </row>
    <row r="16" spans="1:15">
      <c r="J16" s="72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S58"/>
  <sheetViews>
    <sheetView zoomScale="55" zoomScaleNormal="5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43497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/>
      <c r="J5" s="60">
        <v>1</v>
      </c>
      <c r="K5" s="132">
        <v>2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25" t="s">
        <v>8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25" t="s">
        <v>319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6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7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27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34" t="s">
        <v>317</v>
      </c>
      <c r="C13" s="127" t="s">
        <v>228</v>
      </c>
      <c r="D13" s="13"/>
      <c r="E13" s="14"/>
      <c r="F13" s="133"/>
      <c r="G13" s="133"/>
      <c r="H13" s="133"/>
      <c r="I13" s="133"/>
      <c r="J13" s="133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65">
        <f t="shared" si="0"/>
        <v>9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25" t="s">
        <v>8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25" t="s">
        <v>320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6" t="s">
        <v>9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7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35" t="s">
        <v>318</v>
      </c>
      <c r="D21" s="13"/>
      <c r="E21" s="24"/>
      <c r="F21" s="24"/>
      <c r="G21" s="24"/>
      <c r="H21" s="24"/>
      <c r="I21" s="24"/>
      <c r="J21" s="24"/>
      <c r="K21" s="24"/>
    </row>
    <row r="22" spans="1:19" ht="24.6" customHeight="1">
      <c r="A22" s="84"/>
      <c r="B22" s="134" t="s">
        <v>317</v>
      </c>
      <c r="C22" s="127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10</v>
      </c>
      <c r="F23" s="27">
        <f t="shared" ref="F23:K23" si="1">E23+1</f>
        <v>11</v>
      </c>
      <c r="G23" s="27">
        <f t="shared" si="1"/>
        <v>12</v>
      </c>
      <c r="H23" s="27">
        <f t="shared" si="1"/>
        <v>13</v>
      </c>
      <c r="I23" s="27">
        <f t="shared" si="1"/>
        <v>14</v>
      </c>
      <c r="J23" s="27">
        <f t="shared" si="1"/>
        <v>15</v>
      </c>
      <c r="K23" s="52">
        <f t="shared" si="1"/>
        <v>16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25" t="s">
        <v>8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25" t="s">
        <v>320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6" t="s">
        <v>9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7" t="s">
        <v>292</v>
      </c>
      <c r="D29" s="13"/>
      <c r="E29" s="14"/>
      <c r="F29" s="14"/>
      <c r="G29" s="14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35" t="s">
        <v>318</v>
      </c>
      <c r="D30" s="13"/>
      <c r="E30" s="14"/>
      <c r="F30" s="14"/>
      <c r="G30" s="14"/>
      <c r="H30" s="14"/>
      <c r="I30" s="14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34" t="s">
        <v>317</v>
      </c>
      <c r="C31" s="127" t="s">
        <v>228</v>
      </c>
      <c r="D31" s="13"/>
      <c r="E31" s="14"/>
      <c r="F31" s="133"/>
      <c r="G31" s="133"/>
      <c r="H31" s="133"/>
      <c r="I31" s="133"/>
      <c r="J31" s="133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17</v>
      </c>
      <c r="F32" s="37">
        <f t="shared" ref="F32:K32" si="2">E32+1</f>
        <v>18</v>
      </c>
      <c r="G32" s="37">
        <f t="shared" si="2"/>
        <v>19</v>
      </c>
      <c r="H32" s="37">
        <f t="shared" si="2"/>
        <v>20</v>
      </c>
      <c r="I32" s="37">
        <f t="shared" si="2"/>
        <v>21</v>
      </c>
      <c r="J32" s="37">
        <f t="shared" si="2"/>
        <v>22</v>
      </c>
      <c r="K32" s="23">
        <f t="shared" si="2"/>
        <v>23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32"/>
      <c r="I34" s="146" t="s">
        <v>323</v>
      </c>
      <c r="J34" s="146" t="s">
        <v>324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25" t="s">
        <v>8</v>
      </c>
      <c r="D35" s="13"/>
      <c r="E35" s="24"/>
      <c r="F35" s="24"/>
      <c r="G35" s="24"/>
      <c r="H35" s="24"/>
      <c r="I35" s="141"/>
      <c r="J35" s="141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25" t="s">
        <v>321</v>
      </c>
      <c r="D36" s="13"/>
      <c r="E36" s="24"/>
      <c r="F36" s="24"/>
      <c r="G36" s="24"/>
      <c r="H36" s="24"/>
      <c r="I36" s="141"/>
      <c r="J36" s="141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6" t="s">
        <v>9</v>
      </c>
      <c r="D37" s="13"/>
      <c r="E37" s="24"/>
      <c r="F37" s="24"/>
      <c r="G37" s="1485" t="s">
        <v>362</v>
      </c>
      <c r="H37" s="1486"/>
      <c r="I37" s="141"/>
      <c r="J37" s="140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7" t="s">
        <v>292</v>
      </c>
      <c r="D38" s="13"/>
      <c r="E38" s="24"/>
      <c r="F38" s="24"/>
      <c r="G38" s="148"/>
      <c r="H38" s="148"/>
      <c r="I38" s="145" t="s">
        <v>325</v>
      </c>
      <c r="J38" s="145" t="s">
        <v>325</v>
      </c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35" t="s">
        <v>318</v>
      </c>
      <c r="D39" s="13"/>
      <c r="E39" s="24"/>
      <c r="F39" s="24"/>
      <c r="G39" s="24"/>
      <c r="H39" s="1485" t="s">
        <v>363</v>
      </c>
      <c r="I39" s="1487"/>
      <c r="J39" s="1486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34" t="s">
        <v>317</v>
      </c>
      <c r="C40" s="127" t="s">
        <v>228</v>
      </c>
      <c r="D40" s="13"/>
      <c r="E40" s="24"/>
      <c r="F40" s="24"/>
      <c r="G40" s="24"/>
      <c r="H40" s="24"/>
      <c r="I40" s="140" t="s">
        <v>326</v>
      </c>
      <c r="J40" s="140" t="s">
        <v>327</v>
      </c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24</v>
      </c>
      <c r="F41" s="27">
        <f>E41+1</f>
        <v>25</v>
      </c>
      <c r="G41" s="27">
        <f>F41+1</f>
        <v>26</v>
      </c>
      <c r="H41" s="27">
        <f>G41+1</f>
        <v>27</v>
      </c>
      <c r="I41" s="27">
        <f>H41+1</f>
        <v>28</v>
      </c>
      <c r="J41" s="27"/>
      <c r="K41" s="27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6" t="s">
        <v>338</v>
      </c>
      <c r="G42" s="142"/>
      <c r="H42" s="14"/>
      <c r="I42" s="146" t="s">
        <v>339</v>
      </c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25" t="s">
        <v>8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25" t="s">
        <v>319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6" t="s">
        <v>9</v>
      </c>
      <c r="D46" s="13"/>
      <c r="E46" s="14"/>
      <c r="F46" s="14"/>
      <c r="G46" s="1490" t="s">
        <v>361</v>
      </c>
      <c r="H46" s="1486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7" t="s">
        <v>292</v>
      </c>
      <c r="D47" s="13"/>
      <c r="E47" s="14"/>
      <c r="F47" s="14"/>
      <c r="G47" s="14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27" t="s">
        <v>316</v>
      </c>
      <c r="D48" s="13"/>
      <c r="E48" s="14"/>
      <c r="F48" s="149" t="s">
        <v>363</v>
      </c>
      <c r="G48" s="150" t="s">
        <v>363</v>
      </c>
      <c r="H48" s="149" t="s">
        <v>363</v>
      </c>
      <c r="I48" s="149" t="s">
        <v>363</v>
      </c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34" t="s">
        <v>317</v>
      </c>
      <c r="C49" s="127" t="s">
        <v>228</v>
      </c>
      <c r="D49" s="13"/>
      <c r="E49" s="14"/>
      <c r="F49" s="1488" t="s">
        <v>328</v>
      </c>
      <c r="G49" s="1489"/>
      <c r="H49" s="1489"/>
      <c r="I49" s="1489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7">
    <mergeCell ref="F49:I49"/>
    <mergeCell ref="E3:G3"/>
    <mergeCell ref="H3:K3"/>
    <mergeCell ref="B6:B9"/>
    <mergeCell ref="B10:B12"/>
    <mergeCell ref="B15:B18"/>
    <mergeCell ref="B46:B48"/>
    <mergeCell ref="B42:B45"/>
    <mergeCell ref="B19:B21"/>
    <mergeCell ref="G46:H46"/>
    <mergeCell ref="M23:O23"/>
    <mergeCell ref="B24:B27"/>
    <mergeCell ref="B28:B30"/>
    <mergeCell ref="B33:B36"/>
    <mergeCell ref="B37:B39"/>
    <mergeCell ref="G37:H37"/>
    <mergeCell ref="H39:J39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S58"/>
  <sheetViews>
    <sheetView topLeftCell="A19" zoomScale="70" zoomScaleNormal="7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43525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14"/>
      <c r="G5" s="14"/>
      <c r="H5" s="14"/>
      <c r="I5" s="14"/>
      <c r="J5" s="14">
        <v>1</v>
      </c>
      <c r="K5" s="132">
        <v>2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7" t="s">
        <v>341</v>
      </c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25" t="s">
        <v>8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25" t="s">
        <v>319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6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7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27" t="s">
        <v>316</v>
      </c>
      <c r="D12" s="13"/>
      <c r="E12" s="14"/>
      <c r="F12" s="14"/>
      <c r="G12" s="14"/>
      <c r="H12" s="14"/>
      <c r="I12" s="14"/>
      <c r="J12" s="149" t="s">
        <v>363</v>
      </c>
      <c r="K12" s="14"/>
      <c r="L12" s="4"/>
      <c r="M12" s="4"/>
      <c r="N12" s="4"/>
      <c r="R12" s="11"/>
      <c r="S12" s="4"/>
    </row>
    <row r="13" spans="1:19" s="5" customFormat="1" ht="24.6" customHeight="1">
      <c r="B13" s="134" t="s">
        <v>317</v>
      </c>
      <c r="C13" s="127" t="s">
        <v>228</v>
      </c>
      <c r="D13" s="13"/>
      <c r="E13" s="14"/>
      <c r="F13" s="133"/>
      <c r="G13" s="133"/>
      <c r="H13" s="14"/>
      <c r="I13" s="14"/>
      <c r="J13" s="136" t="s">
        <v>322</v>
      </c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65">
        <f t="shared" si="0"/>
        <v>9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32"/>
      <c r="G15" s="24"/>
      <c r="H15" s="24"/>
      <c r="I15" s="147" t="s">
        <v>333</v>
      </c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25" t="s">
        <v>8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25" t="s">
        <v>320</v>
      </c>
      <c r="D18" s="13"/>
      <c r="E18" s="24"/>
      <c r="F18" s="24"/>
      <c r="G18" s="1504" t="s">
        <v>339</v>
      </c>
      <c r="H18" s="1505"/>
      <c r="I18" s="1496" t="s">
        <v>341</v>
      </c>
      <c r="J18" s="1497"/>
      <c r="K18" s="24"/>
    </row>
    <row r="19" spans="1:19" ht="24.6" customHeight="1">
      <c r="A19" s="84"/>
      <c r="B19" s="1467" t="s">
        <v>287</v>
      </c>
      <c r="C19" s="126" t="s">
        <v>9</v>
      </c>
      <c r="D19" s="13"/>
      <c r="E19" s="24"/>
      <c r="F19" s="24"/>
      <c r="G19" s="1471" t="s">
        <v>373</v>
      </c>
      <c r="H19" s="1472"/>
      <c r="I19" s="24"/>
      <c r="J19" s="24"/>
      <c r="K19" s="24"/>
    </row>
    <row r="20" spans="1:19" ht="24" customHeight="1">
      <c r="A20" s="84"/>
      <c r="B20" s="1467"/>
      <c r="C20" s="127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35" t="s">
        <v>318</v>
      </c>
      <c r="D21" s="13"/>
      <c r="E21" s="24"/>
      <c r="F21" s="24"/>
      <c r="G21" s="149" t="s">
        <v>363</v>
      </c>
      <c r="H21" s="149" t="s">
        <v>363</v>
      </c>
      <c r="I21" s="149" t="s">
        <v>363</v>
      </c>
      <c r="J21" s="149" t="s">
        <v>363</v>
      </c>
      <c r="K21" s="24"/>
    </row>
    <row r="22" spans="1:19" ht="24.6" customHeight="1">
      <c r="A22" s="84"/>
      <c r="B22" s="134" t="s">
        <v>317</v>
      </c>
      <c r="C22" s="127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10</v>
      </c>
      <c r="F23" s="27">
        <f t="shared" ref="F23:K23" si="1">E23+1</f>
        <v>11</v>
      </c>
      <c r="G23" s="27">
        <f t="shared" si="1"/>
        <v>12</v>
      </c>
      <c r="H23" s="27">
        <f t="shared" si="1"/>
        <v>13</v>
      </c>
      <c r="I23" s="27">
        <f t="shared" si="1"/>
        <v>14</v>
      </c>
      <c r="J23" s="27">
        <f t="shared" si="1"/>
        <v>15</v>
      </c>
      <c r="K23" s="52">
        <f t="shared" si="1"/>
        <v>16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7" t="s">
        <v>345</v>
      </c>
      <c r="G24" s="14"/>
      <c r="H24" s="147" t="s">
        <v>332</v>
      </c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25" t="s">
        <v>8</v>
      </c>
      <c r="D26" s="13"/>
      <c r="E26" s="14"/>
      <c r="F26" s="1499" t="s">
        <v>372</v>
      </c>
      <c r="G26" s="1500"/>
      <c r="H26" s="1500"/>
      <c r="I26" s="1500"/>
      <c r="J26" s="1501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25" t="s">
        <v>320</v>
      </c>
      <c r="D27" s="13"/>
      <c r="E27" s="14"/>
      <c r="F27" s="1496" t="s">
        <v>337</v>
      </c>
      <c r="G27" s="1497"/>
      <c r="H27" s="1498" t="s">
        <v>347</v>
      </c>
      <c r="I27" s="1497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6" t="s">
        <v>9</v>
      </c>
      <c r="D28" s="13"/>
      <c r="E28" s="14"/>
      <c r="F28" s="14"/>
      <c r="G28" s="14"/>
      <c r="H28" s="14"/>
      <c r="I28" s="14"/>
      <c r="J28" s="146" t="s">
        <v>346</v>
      </c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7" t="s">
        <v>292</v>
      </c>
      <c r="D29" s="13"/>
      <c r="E29" s="14"/>
      <c r="F29" s="14"/>
      <c r="G29" s="14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35" t="s">
        <v>318</v>
      </c>
      <c r="D30" s="13"/>
      <c r="E30" s="14"/>
      <c r="F30" s="149" t="s">
        <v>363</v>
      </c>
      <c r="G30" s="149" t="s">
        <v>364</v>
      </c>
      <c r="H30" s="149" t="s">
        <v>364</v>
      </c>
      <c r="I30" s="149" t="s">
        <v>364</v>
      </c>
      <c r="J30" s="149" t="s">
        <v>364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34" t="s">
        <v>317</v>
      </c>
      <c r="C31" s="127" t="s">
        <v>228</v>
      </c>
      <c r="D31" s="13"/>
      <c r="E31" s="1493" t="s">
        <v>330</v>
      </c>
      <c r="F31" s="1502"/>
      <c r="G31" s="1502"/>
      <c r="H31" s="1502"/>
      <c r="I31" s="1502"/>
      <c r="J31" s="1502"/>
      <c r="K31" s="1503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17</v>
      </c>
      <c r="F32" s="37">
        <f t="shared" ref="F32:K32" si="2">E32+1</f>
        <v>18</v>
      </c>
      <c r="G32" s="37">
        <f t="shared" si="2"/>
        <v>19</v>
      </c>
      <c r="H32" s="37">
        <f t="shared" si="2"/>
        <v>20</v>
      </c>
      <c r="I32" s="37">
        <f t="shared" si="2"/>
        <v>21</v>
      </c>
      <c r="J32" s="37">
        <f t="shared" si="2"/>
        <v>22</v>
      </c>
      <c r="K32" s="23">
        <f t="shared" si="2"/>
        <v>23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147" t="s">
        <v>340</v>
      </c>
      <c r="G33" s="24"/>
      <c r="H33" s="147" t="s">
        <v>342</v>
      </c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25" t="s">
        <v>8</v>
      </c>
      <c r="D35" s="13"/>
      <c r="E35" s="24"/>
      <c r="F35" s="1499" t="s">
        <v>372</v>
      </c>
      <c r="G35" s="1500"/>
      <c r="H35" s="1500"/>
      <c r="I35" s="1500"/>
      <c r="J35" s="1501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25" t="s">
        <v>321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6" t="s">
        <v>9</v>
      </c>
      <c r="D37" s="13"/>
      <c r="E37" s="24"/>
      <c r="F37" s="1496" t="s">
        <v>348</v>
      </c>
      <c r="G37" s="1497"/>
      <c r="H37" s="1496" t="s">
        <v>349</v>
      </c>
      <c r="I37" s="1497"/>
      <c r="J37" s="147" t="s">
        <v>342</v>
      </c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7" t="s">
        <v>292</v>
      </c>
      <c r="D38" s="13"/>
      <c r="E38" s="24"/>
      <c r="F38" s="24"/>
      <c r="G38" s="24"/>
      <c r="H38" s="24"/>
      <c r="I38" s="1491" t="s">
        <v>343</v>
      </c>
      <c r="J38" s="1492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35" t="s">
        <v>318</v>
      </c>
      <c r="D39" s="13"/>
      <c r="E39" s="24"/>
      <c r="F39" s="149" t="s">
        <v>364</v>
      </c>
      <c r="G39" s="149" t="s">
        <v>364</v>
      </c>
      <c r="H39" s="149" t="s">
        <v>364</v>
      </c>
      <c r="I39" s="149" t="s">
        <v>364</v>
      </c>
      <c r="J39" s="149" t="s">
        <v>364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34" t="s">
        <v>317</v>
      </c>
      <c r="C40" s="127" t="s">
        <v>228</v>
      </c>
      <c r="D40" s="13"/>
      <c r="E40" s="1493" t="s">
        <v>329</v>
      </c>
      <c r="F40" s="1494"/>
      <c r="G40" s="1494"/>
      <c r="H40" s="1494"/>
      <c r="I40" s="1494"/>
      <c r="J40" s="1494"/>
      <c r="K40" s="1495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24</v>
      </c>
      <c r="F41" s="27">
        <f t="shared" ref="F41:K41" si="3">E41+1</f>
        <v>25</v>
      </c>
      <c r="G41" s="27">
        <f t="shared" si="3"/>
        <v>26</v>
      </c>
      <c r="H41" s="27">
        <f t="shared" si="3"/>
        <v>27</v>
      </c>
      <c r="I41" s="27">
        <f t="shared" si="3"/>
        <v>28</v>
      </c>
      <c r="J41" s="27">
        <f t="shared" si="3"/>
        <v>29</v>
      </c>
      <c r="K41" s="27">
        <f t="shared" si="3"/>
        <v>30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56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56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25" t="s">
        <v>8</v>
      </c>
      <c r="D44" s="13"/>
      <c r="E44" s="14"/>
      <c r="F44" s="1499" t="s">
        <v>371</v>
      </c>
      <c r="G44" s="1500"/>
      <c r="H44" s="1500"/>
      <c r="I44" s="1500"/>
      <c r="J44" s="1501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25" t="s">
        <v>319</v>
      </c>
      <c r="D45" s="13"/>
      <c r="E45" s="14"/>
      <c r="F45" s="147" t="s">
        <v>342</v>
      </c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6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7" t="s">
        <v>292</v>
      </c>
      <c r="D47" s="13"/>
      <c r="E47" s="14"/>
      <c r="F47" s="14"/>
      <c r="G47" s="1491" t="s">
        <v>344</v>
      </c>
      <c r="H47" s="1492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27" t="s">
        <v>316</v>
      </c>
      <c r="D48" s="13"/>
      <c r="E48" s="14"/>
      <c r="F48" s="149" t="s">
        <v>365</v>
      </c>
      <c r="G48" s="149" t="s">
        <v>365</v>
      </c>
      <c r="H48" s="149" t="s">
        <v>365</v>
      </c>
      <c r="I48" s="149" t="s">
        <v>365</v>
      </c>
      <c r="J48" s="149" t="s">
        <v>365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34" t="s">
        <v>317</v>
      </c>
      <c r="C49" s="127" t="s">
        <v>228</v>
      </c>
      <c r="D49" s="13"/>
      <c r="E49" s="14"/>
      <c r="F49" s="133"/>
      <c r="G49" s="133"/>
      <c r="H49" s="133"/>
      <c r="I49" s="133"/>
      <c r="J49" s="133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7">
    <mergeCell ref="E31:K31"/>
    <mergeCell ref="B42:B45"/>
    <mergeCell ref="B19:B21"/>
    <mergeCell ref="E3:G3"/>
    <mergeCell ref="H3:K3"/>
    <mergeCell ref="B6:B9"/>
    <mergeCell ref="B10:B12"/>
    <mergeCell ref="B15:B18"/>
    <mergeCell ref="G19:H19"/>
    <mergeCell ref="G18:H18"/>
    <mergeCell ref="I18:J18"/>
    <mergeCell ref="B46:B48"/>
    <mergeCell ref="M23:O23"/>
    <mergeCell ref="B24:B27"/>
    <mergeCell ref="B28:B30"/>
    <mergeCell ref="B33:B36"/>
    <mergeCell ref="B37:B39"/>
    <mergeCell ref="I38:J38"/>
    <mergeCell ref="G47:H47"/>
    <mergeCell ref="E40:K40"/>
    <mergeCell ref="F27:G27"/>
    <mergeCell ref="H27:I27"/>
    <mergeCell ref="F37:G37"/>
    <mergeCell ref="H37:I37"/>
    <mergeCell ref="F26:J26"/>
    <mergeCell ref="F35:J35"/>
    <mergeCell ref="F44:J44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S58"/>
  <sheetViews>
    <sheetView topLeftCell="E25" zoomScaleNormal="10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43556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155" t="s">
        <v>350</v>
      </c>
      <c r="F5" s="60">
        <v>1</v>
      </c>
      <c r="G5" s="60">
        <v>2</v>
      </c>
      <c r="H5" s="60">
        <v>3</v>
      </c>
      <c r="I5" s="60">
        <v>4</v>
      </c>
      <c r="J5" s="60">
        <v>5</v>
      </c>
      <c r="K5" s="132">
        <v>6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24" t="s">
        <v>374</v>
      </c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99" t="s">
        <v>371</v>
      </c>
      <c r="G8" s="1500"/>
      <c r="H8" s="1500"/>
      <c r="I8" s="1500"/>
      <c r="J8" s="1501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319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387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509" t="s">
        <v>393</v>
      </c>
      <c r="J11" s="1510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388</v>
      </c>
      <c r="D12" s="13"/>
      <c r="E12" s="14"/>
      <c r="F12" s="165" t="s">
        <v>382</v>
      </c>
      <c r="G12" s="165" t="s">
        <v>382</v>
      </c>
      <c r="H12" s="165" t="s">
        <v>382</v>
      </c>
      <c r="I12" s="137"/>
      <c r="J12" s="137"/>
      <c r="K12" s="14"/>
      <c r="L12" s="4"/>
      <c r="M12" s="4"/>
      <c r="N12" s="4"/>
      <c r="R12" s="11"/>
      <c r="S12" s="4"/>
    </row>
    <row r="13" spans="1:19" s="5" customFormat="1" ht="24.6" customHeight="1">
      <c r="B13" s="134" t="s">
        <v>317</v>
      </c>
      <c r="C13" s="125" t="s">
        <v>390</v>
      </c>
      <c r="D13" s="13"/>
      <c r="E13" s="14"/>
      <c r="F13" s="14"/>
      <c r="G13" s="14"/>
      <c r="H13" s="14"/>
      <c r="I13" s="158" t="s">
        <v>375</v>
      </c>
      <c r="J13" s="14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7</v>
      </c>
      <c r="F14" s="65">
        <f t="shared" ref="F14:K14" si="0">E14+1</f>
        <v>8</v>
      </c>
      <c r="G14" s="65">
        <f t="shared" si="0"/>
        <v>9</v>
      </c>
      <c r="H14" s="65">
        <f t="shared" si="0"/>
        <v>10</v>
      </c>
      <c r="I14" s="65">
        <f t="shared" si="0"/>
        <v>11</v>
      </c>
      <c r="J14" s="65">
        <f t="shared" si="0"/>
        <v>12</v>
      </c>
      <c r="K14" s="65">
        <f t="shared" si="0"/>
        <v>13</v>
      </c>
    </row>
    <row r="15" spans="1:19" ht="24.6" customHeight="1">
      <c r="A15" s="84"/>
      <c r="B15" s="1467" t="s">
        <v>286</v>
      </c>
      <c r="C15" s="12" t="s">
        <v>383</v>
      </c>
      <c r="D15" s="13"/>
      <c r="E15" s="24"/>
      <c r="F15" s="24"/>
      <c r="G15" s="12" t="s">
        <v>409</v>
      </c>
      <c r="H15" s="24"/>
      <c r="I15" s="12" t="s">
        <v>410</v>
      </c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124" t="s">
        <v>376</v>
      </c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391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385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383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386</v>
      </c>
      <c r="D20" s="13"/>
      <c r="E20" s="24"/>
      <c r="F20" s="24"/>
      <c r="G20" s="24"/>
      <c r="H20" s="24"/>
      <c r="I20" s="1509" t="s">
        <v>395</v>
      </c>
      <c r="J20" s="1510"/>
      <c r="K20" s="24"/>
    </row>
    <row r="21" spans="1:19" ht="24" customHeight="1">
      <c r="A21" s="84"/>
      <c r="B21" s="1467"/>
      <c r="C21" s="162" t="s">
        <v>385</v>
      </c>
      <c r="D21" s="13"/>
      <c r="E21" s="24"/>
      <c r="F21" s="165" t="s">
        <v>382</v>
      </c>
      <c r="G21" s="165" t="s">
        <v>382</v>
      </c>
      <c r="H21" s="165" t="s">
        <v>382</v>
      </c>
      <c r="I21" s="165" t="s">
        <v>394</v>
      </c>
      <c r="J21" s="24"/>
      <c r="K21" s="24"/>
    </row>
    <row r="22" spans="1:19" ht="24.6" customHeight="1">
      <c r="A22" s="84"/>
      <c r="B22" s="134" t="s">
        <v>317</v>
      </c>
      <c r="C22" s="125" t="s">
        <v>384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14</v>
      </c>
      <c r="F23" s="27">
        <f t="shared" ref="F23:K23" si="1">E23+1</f>
        <v>15</v>
      </c>
      <c r="G23" s="27">
        <f t="shared" si="1"/>
        <v>16</v>
      </c>
      <c r="H23" s="27">
        <f t="shared" si="1"/>
        <v>17</v>
      </c>
      <c r="I23" s="27">
        <f t="shared" si="1"/>
        <v>18</v>
      </c>
      <c r="J23" s="27">
        <f t="shared" si="1"/>
        <v>19</v>
      </c>
      <c r="K23" s="52">
        <f t="shared" si="1"/>
        <v>20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383</v>
      </c>
      <c r="D24" s="13"/>
      <c r="E24" s="14"/>
      <c r="F24" s="14"/>
      <c r="G24" s="14"/>
      <c r="H24" s="12" t="s">
        <v>412</v>
      </c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24" t="s">
        <v>396</v>
      </c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391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385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S27" s="84"/>
    </row>
    <row r="28" spans="1:19" ht="24.6" customHeight="1">
      <c r="A28" s="84"/>
      <c r="B28" s="1467" t="s">
        <v>287</v>
      </c>
      <c r="C28" s="12" t="s">
        <v>383</v>
      </c>
      <c r="D28" s="13"/>
      <c r="E28" s="14"/>
      <c r="F28" s="14"/>
      <c r="G28" s="14"/>
      <c r="H28" s="14"/>
      <c r="I28" s="1506" t="s">
        <v>398</v>
      </c>
      <c r="J28" s="150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386</v>
      </c>
      <c r="D29" s="13"/>
      <c r="E29" s="14"/>
      <c r="F29" s="164" t="s">
        <v>414</v>
      </c>
      <c r="G29" s="1508" t="s">
        <v>397</v>
      </c>
      <c r="H29" s="1508"/>
      <c r="I29" s="14"/>
      <c r="J29" s="164" t="s">
        <v>413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385</v>
      </c>
      <c r="D30" s="13"/>
      <c r="E30" s="14"/>
      <c r="F30" s="156"/>
      <c r="G30" s="156"/>
      <c r="H30" s="142"/>
      <c r="I30" s="14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34" t="s">
        <v>317</v>
      </c>
      <c r="C31" s="125" t="s">
        <v>384</v>
      </c>
      <c r="D31" s="13"/>
      <c r="E31" s="14"/>
      <c r="F31" s="133"/>
      <c r="G31" s="133"/>
      <c r="H31" s="133"/>
      <c r="I31" s="133"/>
      <c r="J31" s="133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21</v>
      </c>
      <c r="F32" s="37">
        <f t="shared" ref="F32:K32" si="2">E32+1</f>
        <v>22</v>
      </c>
      <c r="G32" s="37">
        <f t="shared" si="2"/>
        <v>23</v>
      </c>
      <c r="H32" s="37">
        <f t="shared" si="2"/>
        <v>24</v>
      </c>
      <c r="I32" s="37">
        <f t="shared" si="2"/>
        <v>25</v>
      </c>
      <c r="J32" s="37">
        <f t="shared" si="2"/>
        <v>26</v>
      </c>
      <c r="K32" s="23">
        <f t="shared" si="2"/>
        <v>27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383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R34" s="84"/>
      <c r="S34" s="84"/>
    </row>
    <row r="35" spans="1:19" ht="24.6" customHeight="1">
      <c r="A35" s="84"/>
      <c r="B35" s="1467"/>
      <c r="C35" s="163" t="s">
        <v>391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R35" s="84"/>
      <c r="S35" s="84"/>
    </row>
    <row r="36" spans="1:19" ht="24.6" customHeight="1">
      <c r="A36" s="84"/>
      <c r="B36" s="1467"/>
      <c r="C36" s="162" t="s">
        <v>385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R36" s="84"/>
      <c r="S36" s="84"/>
    </row>
    <row r="37" spans="1:19" ht="24" customHeight="1">
      <c r="A37" s="84"/>
      <c r="B37" s="1467" t="s">
        <v>287</v>
      </c>
      <c r="C37" s="12" t="s">
        <v>383</v>
      </c>
      <c r="D37" s="13"/>
      <c r="E37" s="24"/>
      <c r="F37" s="24"/>
      <c r="G37" s="24"/>
      <c r="H37" s="24"/>
      <c r="I37" s="1506" t="s">
        <v>434</v>
      </c>
      <c r="J37" s="150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386</v>
      </c>
      <c r="D38" s="13"/>
      <c r="E38" s="24"/>
      <c r="F38" s="124" t="s">
        <v>399</v>
      </c>
      <c r="G38" s="1509" t="s">
        <v>400</v>
      </c>
      <c r="H38" s="1510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385</v>
      </c>
      <c r="D39" s="13"/>
      <c r="E39" s="24"/>
      <c r="F39" s="165" t="s">
        <v>398</v>
      </c>
      <c r="G39" s="165" t="s">
        <v>398</v>
      </c>
      <c r="H39" s="165" t="s">
        <v>398</v>
      </c>
      <c r="I39" s="165" t="s">
        <v>398</v>
      </c>
      <c r="J39" s="165" t="s">
        <v>398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34" t="s">
        <v>317</v>
      </c>
      <c r="C40" s="125" t="s">
        <v>384</v>
      </c>
      <c r="D40" s="13"/>
      <c r="E40" s="24"/>
      <c r="F40" s="24"/>
      <c r="G40" s="32"/>
      <c r="H40" s="24"/>
      <c r="I40" s="24"/>
      <c r="J40" s="24" t="s">
        <v>351</v>
      </c>
      <c r="K40" s="32" t="s">
        <v>352</v>
      </c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28</v>
      </c>
      <c r="F41" s="27">
        <f>E41+1</f>
        <v>29</v>
      </c>
      <c r="G41" s="27">
        <f>F41+1</f>
        <v>30</v>
      </c>
      <c r="H41" s="27"/>
      <c r="I41" s="27"/>
      <c r="J41" s="27"/>
      <c r="K41" s="52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383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391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385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383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386</v>
      </c>
      <c r="D47" s="13"/>
      <c r="E47" s="14"/>
      <c r="F47" s="124" t="s">
        <v>401</v>
      </c>
      <c r="G47" s="124" t="s">
        <v>415</v>
      </c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385</v>
      </c>
      <c r="D48" s="13"/>
      <c r="E48" s="14"/>
      <c r="F48" s="165" t="s">
        <v>398</v>
      </c>
      <c r="G48" s="165" t="s">
        <v>398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34" t="s">
        <v>317</v>
      </c>
      <c r="C49" s="125" t="s">
        <v>384</v>
      </c>
      <c r="D49" s="13"/>
      <c r="E49" s="154" t="s">
        <v>352</v>
      </c>
      <c r="F49" s="133"/>
      <c r="G49" s="133"/>
      <c r="H49" s="133"/>
      <c r="I49" s="133"/>
      <c r="J49" s="133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0">
    <mergeCell ref="B19:B21"/>
    <mergeCell ref="E3:G3"/>
    <mergeCell ref="H3:K3"/>
    <mergeCell ref="B6:B9"/>
    <mergeCell ref="B10:B12"/>
    <mergeCell ref="B15:B18"/>
    <mergeCell ref="I11:J11"/>
    <mergeCell ref="F8:J8"/>
    <mergeCell ref="I20:J20"/>
    <mergeCell ref="B42:B45"/>
    <mergeCell ref="B46:B48"/>
    <mergeCell ref="M23:O23"/>
    <mergeCell ref="B24:B27"/>
    <mergeCell ref="B28:B30"/>
    <mergeCell ref="B33:B36"/>
    <mergeCell ref="B37:B39"/>
    <mergeCell ref="I28:J28"/>
    <mergeCell ref="G29:H29"/>
    <mergeCell ref="G38:H38"/>
    <mergeCell ref="I37:J37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S58"/>
  <sheetViews>
    <sheetView topLeftCell="A19" zoomScale="70" zoomScaleNormal="7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43586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>
        <v>1</v>
      </c>
      <c r="I5" s="60">
        <v>2</v>
      </c>
      <c r="J5" s="60">
        <v>3</v>
      </c>
      <c r="K5" s="132">
        <v>4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24" t="s">
        <v>436</v>
      </c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391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385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383</v>
      </c>
      <c r="D10" s="13"/>
      <c r="E10" s="14"/>
      <c r="F10" s="14"/>
      <c r="G10" s="14"/>
      <c r="H10" s="1506" t="s">
        <v>424</v>
      </c>
      <c r="I10" s="1507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386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385</v>
      </c>
      <c r="D12" s="13"/>
      <c r="E12" s="14"/>
      <c r="F12" s="142"/>
      <c r="G12" s="138"/>
      <c r="H12" s="142"/>
      <c r="I12" s="162" t="s">
        <v>403</v>
      </c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34" t="s">
        <v>317</v>
      </c>
      <c r="C13" s="125" t="s">
        <v>384</v>
      </c>
      <c r="D13" s="13"/>
      <c r="E13" s="14"/>
      <c r="F13" s="133"/>
      <c r="G13" s="133"/>
      <c r="H13" s="151" t="s">
        <v>331</v>
      </c>
      <c r="I13" s="133"/>
      <c r="J13" s="151" t="s">
        <v>381</v>
      </c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5</v>
      </c>
      <c r="F14" s="65">
        <f t="shared" ref="F14:K14" si="0">E14+1</f>
        <v>6</v>
      </c>
      <c r="G14" s="65">
        <f t="shared" si="0"/>
        <v>7</v>
      </c>
      <c r="H14" s="65">
        <f t="shared" si="0"/>
        <v>8</v>
      </c>
      <c r="I14" s="65">
        <f t="shared" si="0"/>
        <v>9</v>
      </c>
      <c r="J14" s="65">
        <f t="shared" si="0"/>
        <v>10</v>
      </c>
      <c r="K14" s="65">
        <f t="shared" si="0"/>
        <v>11</v>
      </c>
    </row>
    <row r="15" spans="1:19" ht="24.6" customHeight="1">
      <c r="A15" s="84"/>
      <c r="B15" s="1467" t="s">
        <v>286</v>
      </c>
      <c r="C15" s="12" t="s">
        <v>383</v>
      </c>
      <c r="D15" s="13"/>
      <c r="E15" s="24"/>
      <c r="F15" s="24"/>
      <c r="G15" s="24"/>
      <c r="H15" s="167" t="s">
        <v>437</v>
      </c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391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385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383</v>
      </c>
      <c r="D19" s="13"/>
      <c r="E19" s="24"/>
      <c r="F19" s="24"/>
      <c r="G19" s="24"/>
      <c r="H19" s="1506" t="s">
        <v>438</v>
      </c>
      <c r="I19" s="1507"/>
      <c r="J19" s="24"/>
      <c r="K19" s="24"/>
    </row>
    <row r="20" spans="1:19" ht="24" customHeight="1">
      <c r="A20" s="84"/>
      <c r="B20" s="1467"/>
      <c r="C20" s="124" t="s">
        <v>386</v>
      </c>
      <c r="D20" s="13"/>
      <c r="E20" s="24"/>
      <c r="F20" s="24"/>
      <c r="G20" s="124" t="s">
        <v>416</v>
      </c>
      <c r="H20" s="24"/>
      <c r="I20" s="24"/>
      <c r="J20" s="124" t="s">
        <v>417</v>
      </c>
      <c r="K20" s="24"/>
    </row>
    <row r="21" spans="1:19" ht="24" customHeight="1">
      <c r="A21" s="84"/>
      <c r="B21" s="1467"/>
      <c r="C21" s="162" t="s">
        <v>385</v>
      </c>
      <c r="D21" s="13"/>
      <c r="E21" s="24"/>
      <c r="F21" s="24"/>
      <c r="G21" s="165" t="s">
        <v>424</v>
      </c>
      <c r="H21" s="165" t="s">
        <v>424</v>
      </c>
      <c r="I21" s="165" t="s">
        <v>424</v>
      </c>
      <c r="J21" s="165" t="s">
        <v>424</v>
      </c>
      <c r="K21" s="24"/>
    </row>
    <row r="22" spans="1:19" ht="24.6" customHeight="1">
      <c r="A22" s="84"/>
      <c r="B22" s="134" t="s">
        <v>317</v>
      </c>
      <c r="C22" s="125" t="s">
        <v>384</v>
      </c>
      <c r="D22" s="13"/>
      <c r="E22" s="24"/>
      <c r="F22" s="151" t="s">
        <v>334</v>
      </c>
      <c r="G22" s="32" t="s">
        <v>427</v>
      </c>
      <c r="H22" s="32" t="s">
        <v>428</v>
      </c>
      <c r="I22" s="32" t="s">
        <v>429</v>
      </c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12</v>
      </c>
      <c r="F23" s="27">
        <f t="shared" ref="F23:K23" si="1">E23+1</f>
        <v>13</v>
      </c>
      <c r="G23" s="27">
        <f t="shared" si="1"/>
        <v>14</v>
      </c>
      <c r="H23" s="27">
        <f t="shared" si="1"/>
        <v>15</v>
      </c>
      <c r="I23" s="27">
        <f t="shared" si="1"/>
        <v>16</v>
      </c>
      <c r="J23" s="27">
        <f t="shared" si="1"/>
        <v>17</v>
      </c>
      <c r="K23" s="52">
        <f t="shared" si="1"/>
        <v>18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383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391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385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383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386</v>
      </c>
      <c r="D29" s="13"/>
      <c r="E29" s="14"/>
      <c r="F29" s="124" t="s">
        <v>418</v>
      </c>
      <c r="G29" s="1509" t="s">
        <v>398</v>
      </c>
      <c r="H29" s="1510"/>
      <c r="I29" s="124" t="s">
        <v>402</v>
      </c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385</v>
      </c>
      <c r="D30" s="13"/>
      <c r="E30" s="14"/>
      <c r="F30" s="165" t="s">
        <v>424</v>
      </c>
      <c r="G30" s="165" t="s">
        <v>424</v>
      </c>
      <c r="H30" s="165" t="s">
        <v>424</v>
      </c>
      <c r="I30" s="165" t="s">
        <v>424</v>
      </c>
      <c r="J30" s="165" t="s">
        <v>424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34" t="s">
        <v>317</v>
      </c>
      <c r="C31" s="125" t="s">
        <v>384</v>
      </c>
      <c r="D31" s="13"/>
      <c r="E31" s="161" t="s">
        <v>353</v>
      </c>
      <c r="F31" s="160" t="s">
        <v>353</v>
      </c>
      <c r="G31" s="160" t="s">
        <v>353</v>
      </c>
      <c r="H31" s="160" t="s">
        <v>353</v>
      </c>
      <c r="I31" s="160" t="s">
        <v>353</v>
      </c>
      <c r="J31" s="160" t="s">
        <v>353</v>
      </c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19</v>
      </c>
      <c r="F32" s="37">
        <f t="shared" ref="F32:K32" si="2">E32+1</f>
        <v>20</v>
      </c>
      <c r="G32" s="37">
        <f t="shared" si="2"/>
        <v>21</v>
      </c>
      <c r="H32" s="37">
        <f t="shared" si="2"/>
        <v>22</v>
      </c>
      <c r="I32" s="37">
        <f t="shared" si="2"/>
        <v>23</v>
      </c>
      <c r="J32" s="37">
        <f t="shared" si="2"/>
        <v>24</v>
      </c>
      <c r="K32" s="23">
        <f t="shared" si="2"/>
        <v>25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383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391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385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383</v>
      </c>
      <c r="D37" s="13"/>
      <c r="E37" s="24"/>
      <c r="F37" s="1506" t="s">
        <v>445</v>
      </c>
      <c r="G37" s="1507"/>
      <c r="H37" s="24"/>
      <c r="I37" s="1506" t="s">
        <v>425</v>
      </c>
      <c r="J37" s="150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386</v>
      </c>
      <c r="D38" s="13"/>
      <c r="E38" s="24"/>
      <c r="F38" s="24"/>
      <c r="G38" s="24"/>
      <c r="H38" s="24"/>
      <c r="I38" s="124" t="s">
        <v>422</v>
      </c>
      <c r="J38" s="124" t="s">
        <v>435</v>
      </c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385</v>
      </c>
      <c r="D39" s="13"/>
      <c r="E39" s="24"/>
      <c r="F39" s="24"/>
      <c r="G39" s="165" t="s">
        <v>445</v>
      </c>
      <c r="H39" s="165" t="s">
        <v>445</v>
      </c>
      <c r="I39" s="165" t="s">
        <v>445</v>
      </c>
      <c r="J39" s="165" t="s">
        <v>445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34" t="s">
        <v>317</v>
      </c>
      <c r="C40" s="125" t="s">
        <v>384</v>
      </c>
      <c r="D40" s="13"/>
      <c r="E40" s="24"/>
      <c r="F40" s="24"/>
      <c r="G40" s="24"/>
      <c r="H40" s="24"/>
      <c r="I40" s="32" t="s">
        <v>430</v>
      </c>
      <c r="J40" s="32" t="s">
        <v>431</v>
      </c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26</v>
      </c>
      <c r="F41" s="27">
        <f>E41+1</f>
        <v>27</v>
      </c>
      <c r="G41" s="27">
        <f>F41+1</f>
        <v>28</v>
      </c>
      <c r="H41" s="27">
        <f>G41+1</f>
        <v>29</v>
      </c>
      <c r="I41" s="27">
        <f>H41+1</f>
        <v>30</v>
      </c>
      <c r="J41" s="27">
        <f>I41+1</f>
        <v>31</v>
      </c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383</v>
      </c>
      <c r="D42" s="13"/>
      <c r="E42" s="14"/>
      <c r="F42" s="160"/>
      <c r="G42" s="160"/>
      <c r="H42" s="160"/>
      <c r="I42" s="160"/>
      <c r="J42" s="160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60"/>
      <c r="G43" s="160"/>
      <c r="H43" s="160"/>
      <c r="I43" s="160"/>
      <c r="J43" s="166" t="s">
        <v>440</v>
      </c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391</v>
      </c>
      <c r="D44" s="13"/>
      <c r="E44" s="14"/>
      <c r="F44" s="14"/>
      <c r="G44" s="160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385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383</v>
      </c>
      <c r="D46" s="13"/>
      <c r="E46" s="14"/>
      <c r="F46" s="14"/>
      <c r="G46" s="14"/>
      <c r="H46" s="14"/>
      <c r="I46" s="1506" t="s">
        <v>426</v>
      </c>
      <c r="J46" s="1507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386</v>
      </c>
      <c r="D47" s="13"/>
      <c r="E47" s="14"/>
      <c r="F47" s="14"/>
      <c r="G47" s="1508" t="s">
        <v>424</v>
      </c>
      <c r="H47" s="1508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385</v>
      </c>
      <c r="D48" s="13"/>
      <c r="E48" s="14"/>
      <c r="F48" s="165" t="s">
        <v>445</v>
      </c>
      <c r="G48" s="165" t="s">
        <v>445</v>
      </c>
      <c r="H48" s="165" t="s">
        <v>445</v>
      </c>
      <c r="I48" s="165" t="s">
        <v>445</v>
      </c>
      <c r="J48" s="165" t="s">
        <v>445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34" t="s">
        <v>317</v>
      </c>
      <c r="C49" s="125" t="s">
        <v>384</v>
      </c>
      <c r="D49" s="13"/>
      <c r="E49" s="14"/>
      <c r="F49" s="133" t="s">
        <v>452</v>
      </c>
      <c r="G49" s="133"/>
      <c r="H49" s="133"/>
      <c r="I49" s="133"/>
      <c r="J49" s="133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0">
    <mergeCell ref="B19:B21"/>
    <mergeCell ref="M23:O23"/>
    <mergeCell ref="B24:B27"/>
    <mergeCell ref="B28:B30"/>
    <mergeCell ref="E3:G3"/>
    <mergeCell ref="H3:K3"/>
    <mergeCell ref="B6:B9"/>
    <mergeCell ref="B10:B12"/>
    <mergeCell ref="B15:B18"/>
    <mergeCell ref="H10:I10"/>
    <mergeCell ref="G29:H29"/>
    <mergeCell ref="H19:I19"/>
    <mergeCell ref="B33:B36"/>
    <mergeCell ref="B37:B39"/>
    <mergeCell ref="B42:B45"/>
    <mergeCell ref="B46:B48"/>
    <mergeCell ref="I37:J37"/>
    <mergeCell ref="F37:G37"/>
    <mergeCell ref="I46:J46"/>
    <mergeCell ref="G47:H47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D2:M32"/>
  <sheetViews>
    <sheetView topLeftCell="C16" workbookViewId="0">
      <selection activeCell="E44" sqref="E44"/>
    </sheetView>
  </sheetViews>
  <sheetFormatPr defaultRowHeight="13.9"/>
  <cols>
    <col min="4" max="4" width="10.21875" bestFit="1" customWidth="1"/>
    <col min="5" max="6" width="21.6640625" customWidth="1"/>
    <col min="7" max="7" width="27.77734375" bestFit="1" customWidth="1"/>
    <col min="8" max="8" width="26.44140625" bestFit="1" customWidth="1"/>
    <col min="9" max="10" width="21.6640625" customWidth="1"/>
    <col min="14" max="14" width="16.109375" bestFit="1" customWidth="1"/>
    <col min="15" max="16" width="21.88671875" bestFit="1" customWidth="1"/>
  </cols>
  <sheetData>
    <row r="2" spans="4:13">
      <c r="D2" s="1512" t="s">
        <v>210</v>
      </c>
      <c r="E2" s="1513"/>
      <c r="F2" s="1513"/>
      <c r="G2" s="1513"/>
      <c r="H2" s="1513"/>
      <c r="I2" s="1513"/>
      <c r="J2" s="1514"/>
    </row>
    <row r="3" spans="4:13" ht="14.25" customHeight="1">
      <c r="D3" s="107"/>
      <c r="E3" s="108" t="s">
        <v>216</v>
      </c>
      <c r="F3" s="108" t="s">
        <v>217</v>
      </c>
      <c r="G3" s="108" t="s">
        <v>218</v>
      </c>
      <c r="H3" s="108" t="s">
        <v>219</v>
      </c>
      <c r="I3" s="108" t="s">
        <v>220</v>
      </c>
      <c r="J3" s="108" t="s">
        <v>221</v>
      </c>
      <c r="L3" s="1511" t="s">
        <v>211</v>
      </c>
      <c r="M3" s="1511"/>
    </row>
    <row r="4" spans="4:13" ht="16.899999999999999">
      <c r="D4" s="108" t="s">
        <v>76</v>
      </c>
      <c r="E4" s="109">
        <v>8</v>
      </c>
      <c r="F4" s="109">
        <v>5</v>
      </c>
      <c r="G4" s="109">
        <v>0</v>
      </c>
      <c r="H4" s="109">
        <v>0</v>
      </c>
      <c r="I4" s="109">
        <v>0</v>
      </c>
      <c r="J4" s="107">
        <f>SUM(E4:I4)</f>
        <v>13</v>
      </c>
      <c r="L4" s="1511"/>
      <c r="M4" s="1511"/>
    </row>
    <row r="5" spans="4:13" ht="16.899999999999999">
      <c r="D5" s="108" t="s">
        <v>77</v>
      </c>
      <c r="E5" s="109">
        <v>0</v>
      </c>
      <c r="F5" s="109">
        <v>5</v>
      </c>
      <c r="G5" s="109">
        <v>5</v>
      </c>
      <c r="H5" s="109">
        <v>8</v>
      </c>
      <c r="I5" s="109">
        <v>2</v>
      </c>
      <c r="J5" s="107">
        <f>SUM(E5:I5)</f>
        <v>20</v>
      </c>
      <c r="L5" s="107" t="s">
        <v>212</v>
      </c>
      <c r="M5" s="107">
        <v>13</v>
      </c>
    </row>
    <row r="6" spans="4:13" ht="16.899999999999999">
      <c r="D6" s="108" t="s">
        <v>78</v>
      </c>
      <c r="E6" s="109">
        <v>0</v>
      </c>
      <c r="F6" s="109">
        <v>2</v>
      </c>
      <c r="G6" s="109">
        <v>1</v>
      </c>
      <c r="H6" s="109">
        <v>2</v>
      </c>
      <c r="I6" s="109">
        <v>0</v>
      </c>
      <c r="J6" s="107">
        <f>SUM(E6:I6)</f>
        <v>5</v>
      </c>
      <c r="L6" s="107" t="s">
        <v>213</v>
      </c>
      <c r="M6" s="107">
        <v>10</v>
      </c>
    </row>
    <row r="7" spans="4:13" ht="16.899999999999999">
      <c r="D7" s="108" t="s">
        <v>129</v>
      </c>
      <c r="E7" s="109">
        <v>0</v>
      </c>
      <c r="F7" s="109">
        <v>0</v>
      </c>
      <c r="G7" s="109">
        <v>0</v>
      </c>
      <c r="H7" s="109">
        <v>1</v>
      </c>
      <c r="I7" s="109">
        <v>0</v>
      </c>
      <c r="J7" s="107">
        <f>SUM(E7:I7)</f>
        <v>1</v>
      </c>
      <c r="L7" s="107" t="s">
        <v>214</v>
      </c>
      <c r="M7" s="107">
        <v>3</v>
      </c>
    </row>
    <row r="8" spans="4:13" ht="16.899999999999999">
      <c r="D8" s="108" t="s">
        <v>105</v>
      </c>
      <c r="E8" s="109">
        <v>0</v>
      </c>
      <c r="F8" s="109">
        <v>0</v>
      </c>
      <c r="G8" s="109">
        <v>1</v>
      </c>
      <c r="H8" s="109">
        <v>0</v>
      </c>
      <c r="I8" s="109">
        <v>1</v>
      </c>
      <c r="J8" s="107">
        <f>SUM(E8:I8)</f>
        <v>2</v>
      </c>
    </row>
    <row r="9" spans="4:13" ht="16.899999999999999">
      <c r="D9" s="108" t="s">
        <v>36</v>
      </c>
      <c r="E9" s="109">
        <f t="shared" ref="E9:J9" si="0">SUM(E4:E8)</f>
        <v>8</v>
      </c>
      <c r="F9" s="109">
        <f t="shared" si="0"/>
        <v>12</v>
      </c>
      <c r="G9" s="109">
        <f t="shared" si="0"/>
        <v>7</v>
      </c>
      <c r="H9" s="109">
        <f t="shared" si="0"/>
        <v>11</v>
      </c>
      <c r="I9" s="109">
        <f t="shared" si="0"/>
        <v>3</v>
      </c>
      <c r="J9" s="108">
        <f t="shared" si="0"/>
        <v>41</v>
      </c>
    </row>
    <row r="11" spans="4:13" ht="16.899999999999999">
      <c r="D11" s="1515" t="s">
        <v>215</v>
      </c>
      <c r="E11" s="1516"/>
      <c r="F11" s="1516"/>
      <c r="G11" s="1516"/>
      <c r="H11" s="1516"/>
      <c r="I11" s="1516"/>
      <c r="J11" s="1517"/>
    </row>
    <row r="12" spans="4:13" ht="16.899999999999999">
      <c r="D12" s="107"/>
      <c r="E12" s="108" t="s">
        <v>216</v>
      </c>
      <c r="F12" s="108" t="s">
        <v>217</v>
      </c>
      <c r="G12" s="108" t="s">
        <v>218</v>
      </c>
      <c r="H12" s="108" t="s">
        <v>219</v>
      </c>
      <c r="I12" s="108" t="s">
        <v>220</v>
      </c>
      <c r="J12" s="108" t="s">
        <v>221</v>
      </c>
    </row>
    <row r="13" spans="4:13" ht="16.899999999999999">
      <c r="D13" s="108" t="s">
        <v>76</v>
      </c>
      <c r="E13" s="109">
        <v>8</v>
      </c>
      <c r="F13" s="109">
        <v>1</v>
      </c>
      <c r="G13" s="109">
        <v>0</v>
      </c>
      <c r="H13" s="109">
        <v>0</v>
      </c>
      <c r="I13" s="109">
        <v>0</v>
      </c>
      <c r="J13" s="107">
        <f t="shared" ref="J13:J18" si="1">SUM(E13:I13)</f>
        <v>9</v>
      </c>
    </row>
    <row r="14" spans="4:13" ht="16.899999999999999">
      <c r="D14" s="108" t="s">
        <v>77</v>
      </c>
      <c r="E14" s="109">
        <v>2</v>
      </c>
      <c r="F14" s="109">
        <v>6</v>
      </c>
      <c r="G14" s="109">
        <v>6</v>
      </c>
      <c r="H14" s="109">
        <v>6</v>
      </c>
      <c r="I14" s="109">
        <v>3</v>
      </c>
      <c r="J14" s="107">
        <f t="shared" si="1"/>
        <v>23</v>
      </c>
    </row>
    <row r="15" spans="4:13" ht="16.899999999999999">
      <c r="D15" s="108" t="s">
        <v>78</v>
      </c>
      <c r="E15" s="109">
        <v>1</v>
      </c>
      <c r="F15" s="109">
        <v>1</v>
      </c>
      <c r="G15" s="109">
        <v>1</v>
      </c>
      <c r="H15" s="109">
        <v>2</v>
      </c>
      <c r="I15" s="109">
        <v>0</v>
      </c>
      <c r="J15" s="107">
        <f t="shared" si="1"/>
        <v>5</v>
      </c>
    </row>
    <row r="16" spans="4:13" ht="16.899999999999999">
      <c r="D16" s="108" t="s">
        <v>129</v>
      </c>
      <c r="E16" s="109">
        <v>0</v>
      </c>
      <c r="F16" s="109">
        <v>0</v>
      </c>
      <c r="G16" s="109">
        <v>1</v>
      </c>
      <c r="H16" s="109">
        <v>0</v>
      </c>
      <c r="I16" s="109">
        <v>0</v>
      </c>
      <c r="J16" s="107">
        <f t="shared" si="1"/>
        <v>1</v>
      </c>
    </row>
    <row r="17" spans="4:10" ht="16.899999999999999">
      <c r="D17" s="108" t="s">
        <v>105</v>
      </c>
      <c r="E17" s="109">
        <v>0</v>
      </c>
      <c r="F17" s="109">
        <v>1</v>
      </c>
      <c r="G17" s="109">
        <v>0</v>
      </c>
      <c r="H17" s="109">
        <v>1</v>
      </c>
      <c r="I17" s="109">
        <v>0</v>
      </c>
      <c r="J17" s="107">
        <f t="shared" si="1"/>
        <v>2</v>
      </c>
    </row>
    <row r="18" spans="4:10" ht="16.899999999999999">
      <c r="D18" s="108" t="s">
        <v>36</v>
      </c>
      <c r="E18" s="109">
        <f>SUM(E13:E17)</f>
        <v>11</v>
      </c>
      <c r="F18" s="109">
        <f>SUM(F13:F17)</f>
        <v>9</v>
      </c>
      <c r="G18" s="109">
        <f>SUM(G13:G17)</f>
        <v>8</v>
      </c>
      <c r="H18" s="109">
        <f>SUM(H13:H17)</f>
        <v>9</v>
      </c>
      <c r="I18" s="109">
        <f>SUM(I13:I17)</f>
        <v>3</v>
      </c>
      <c r="J18" s="107">
        <f t="shared" si="1"/>
        <v>40</v>
      </c>
    </row>
    <row r="20" spans="4:10">
      <c r="D20" s="112"/>
      <c r="E20" s="112" t="s">
        <v>234</v>
      </c>
      <c r="F20" s="112" t="s">
        <v>208</v>
      </c>
      <c r="G20" s="112" t="s">
        <v>233</v>
      </c>
      <c r="H20" s="112" t="s">
        <v>229</v>
      </c>
    </row>
    <row r="21" spans="4:10" ht="16.899999999999999">
      <c r="D21" s="108" t="s">
        <v>230</v>
      </c>
      <c r="E21" s="112">
        <v>20</v>
      </c>
      <c r="F21" s="112">
        <v>55</v>
      </c>
      <c r="G21" s="112">
        <v>8</v>
      </c>
      <c r="H21" s="112">
        <f>G21*F21</f>
        <v>440</v>
      </c>
    </row>
    <row r="22" spans="4:10" ht="16.899999999999999">
      <c r="D22" s="108" t="s">
        <v>231</v>
      </c>
      <c r="E22" s="112">
        <v>8</v>
      </c>
      <c r="F22" s="112">
        <v>187.5</v>
      </c>
      <c r="G22" s="112">
        <v>0</v>
      </c>
      <c r="H22" s="112">
        <f>G22*F22</f>
        <v>0</v>
      </c>
    </row>
    <row r="23" spans="4:10" ht="16.899999999999999">
      <c r="D23" s="108" t="s">
        <v>232</v>
      </c>
      <c r="E23" s="112">
        <v>3</v>
      </c>
      <c r="F23" s="112">
        <v>217</v>
      </c>
      <c r="G23" s="112">
        <v>0</v>
      </c>
      <c r="H23" s="112">
        <f>G23*F23</f>
        <v>0</v>
      </c>
    </row>
    <row r="24" spans="4:10">
      <c r="D24" s="112" t="s">
        <v>209</v>
      </c>
      <c r="E24" s="112">
        <f>SUM(E21:E23)</f>
        <v>31</v>
      </c>
      <c r="F24" s="112">
        <f>SUM(F21:F23)</f>
        <v>459.5</v>
      </c>
      <c r="G24" s="112">
        <f>SUM(G21:G23)</f>
        <v>8</v>
      </c>
      <c r="H24" s="110">
        <f>SUM(H21:H23)</f>
        <v>440</v>
      </c>
    </row>
    <row r="27" spans="4:10">
      <c r="D27" s="107" t="s">
        <v>222</v>
      </c>
      <c r="E27" s="107" t="s">
        <v>227</v>
      </c>
      <c r="F27" s="107" t="s">
        <v>223</v>
      </c>
      <c r="G27" s="107" t="s">
        <v>228</v>
      </c>
    </row>
    <row r="28" spans="4:10">
      <c r="D28" s="107" t="s">
        <v>224</v>
      </c>
      <c r="E28" s="107">
        <v>4430</v>
      </c>
      <c r="F28" s="107">
        <v>19437</v>
      </c>
      <c r="G28" s="107" t="s">
        <v>254</v>
      </c>
    </row>
    <row r="29" spans="4:10">
      <c r="D29" s="107" t="s">
        <v>225</v>
      </c>
      <c r="E29" s="107">
        <v>2025</v>
      </c>
      <c r="F29" s="107"/>
      <c r="G29" s="107"/>
    </row>
    <row r="30" spans="4:10">
      <c r="D30" s="107" t="s">
        <v>226</v>
      </c>
      <c r="E30" s="107">
        <v>1205</v>
      </c>
      <c r="F30" s="107"/>
      <c r="G30" s="107"/>
    </row>
    <row r="31" spans="4:10">
      <c r="I31" s="114"/>
    </row>
    <row r="32" spans="4:10">
      <c r="I32" s="114"/>
    </row>
  </sheetData>
  <mergeCells count="3">
    <mergeCell ref="L3:M4"/>
    <mergeCell ref="D2:J2"/>
    <mergeCell ref="D11:J11"/>
  </mergeCells>
  <phoneticPr fontId="6" type="noConversion"/>
  <pageMargins left="0.7" right="0.7" top="0.75" bottom="0.75" header="0.3" footer="0.3"/>
  <pageSetup paperSize="9" scale="5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S58"/>
  <sheetViews>
    <sheetView topLeftCell="A10" zoomScale="70" zoomScaleNormal="7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43617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/>
      <c r="J5" s="60"/>
      <c r="K5" s="132">
        <v>1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391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385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383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386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385</v>
      </c>
      <c r="D12" s="13"/>
      <c r="E12" s="14"/>
      <c r="F12" s="142"/>
      <c r="G12" s="138"/>
      <c r="H12" s="142"/>
      <c r="I12" s="142"/>
      <c r="J12" s="142"/>
      <c r="K12" s="14"/>
      <c r="L12" s="4"/>
      <c r="M12" s="4"/>
      <c r="N12" s="4"/>
      <c r="R12" s="11"/>
      <c r="S12" s="4"/>
    </row>
    <row r="13" spans="1:19" s="5" customFormat="1" ht="24.6" customHeight="1">
      <c r="B13" s="139" t="s">
        <v>317</v>
      </c>
      <c r="C13" s="125" t="s">
        <v>384</v>
      </c>
      <c r="D13" s="13"/>
      <c r="E13" s="14"/>
      <c r="F13" s="138"/>
      <c r="G13" s="138"/>
      <c r="H13" s="138"/>
      <c r="I13" s="138"/>
      <c r="J13" s="138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2</v>
      </c>
      <c r="F14" s="65">
        <f t="shared" ref="F14:K14" si="0">E14+1</f>
        <v>3</v>
      </c>
      <c r="G14" s="65">
        <f t="shared" si="0"/>
        <v>4</v>
      </c>
      <c r="H14" s="65">
        <f t="shared" si="0"/>
        <v>5</v>
      </c>
      <c r="I14" s="65">
        <f t="shared" si="0"/>
        <v>6</v>
      </c>
      <c r="J14" s="65">
        <f t="shared" si="0"/>
        <v>7</v>
      </c>
      <c r="K14" s="65">
        <f t="shared" si="0"/>
        <v>8</v>
      </c>
    </row>
    <row r="15" spans="1:19" ht="24.6" customHeight="1">
      <c r="A15" s="84"/>
      <c r="B15" s="1467" t="s">
        <v>286</v>
      </c>
      <c r="C15" s="12" t="s">
        <v>383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391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385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383</v>
      </c>
      <c r="D19" s="13"/>
      <c r="E19" s="24"/>
      <c r="F19" s="24"/>
      <c r="G19" s="1506" t="s">
        <v>404</v>
      </c>
      <c r="H19" s="1507"/>
      <c r="I19" s="24"/>
      <c r="J19" s="24"/>
      <c r="K19" s="24"/>
    </row>
    <row r="20" spans="1:19" ht="24" customHeight="1">
      <c r="A20" s="84"/>
      <c r="B20" s="1467"/>
      <c r="C20" s="124" t="s">
        <v>386</v>
      </c>
      <c r="D20" s="13"/>
      <c r="E20" s="24"/>
      <c r="F20" s="124" t="s">
        <v>454</v>
      </c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385</v>
      </c>
      <c r="D21" s="13"/>
      <c r="E21" s="24"/>
      <c r="F21" s="165" t="s">
        <v>445</v>
      </c>
      <c r="G21" s="165" t="s">
        <v>445</v>
      </c>
      <c r="H21" s="165" t="s">
        <v>446</v>
      </c>
      <c r="I21" s="24"/>
      <c r="J21" s="24"/>
      <c r="K21" s="24"/>
    </row>
    <row r="22" spans="1:19" ht="24.6" customHeight="1">
      <c r="A22" s="84"/>
      <c r="B22" s="139" t="s">
        <v>317</v>
      </c>
      <c r="C22" s="125" t="s">
        <v>384</v>
      </c>
      <c r="D22" s="13"/>
      <c r="E22" s="24"/>
      <c r="F22" s="32"/>
      <c r="G22" s="24"/>
      <c r="H22" s="24"/>
      <c r="I22" s="153" t="s">
        <v>335</v>
      </c>
      <c r="J22" s="153" t="s">
        <v>377</v>
      </c>
      <c r="K22" s="24"/>
    </row>
    <row r="23" spans="1:19" ht="24.6" customHeight="1">
      <c r="A23" s="84"/>
      <c r="B23" s="84"/>
      <c r="C23" s="5"/>
      <c r="D23" s="5"/>
      <c r="E23" s="26">
        <f>K14+1</f>
        <v>9</v>
      </c>
      <c r="F23" s="27">
        <f t="shared" ref="F23:K23" si="1">E23+1</f>
        <v>10</v>
      </c>
      <c r="G23" s="27">
        <f t="shared" si="1"/>
        <v>11</v>
      </c>
      <c r="H23" s="27">
        <f t="shared" si="1"/>
        <v>12</v>
      </c>
      <c r="I23" s="27">
        <f t="shared" si="1"/>
        <v>13</v>
      </c>
      <c r="J23" s="27">
        <f t="shared" si="1"/>
        <v>14</v>
      </c>
      <c r="K23" s="52">
        <f t="shared" si="1"/>
        <v>15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383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391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385</v>
      </c>
      <c r="D27" s="13"/>
      <c r="E27" s="14"/>
      <c r="F27" s="14"/>
      <c r="G27" s="14"/>
      <c r="H27" s="14"/>
      <c r="I27" s="152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383</v>
      </c>
      <c r="D28" s="13"/>
      <c r="E28" s="14"/>
      <c r="F28" s="1506" t="s">
        <v>405</v>
      </c>
      <c r="G28" s="1521"/>
      <c r="H28" s="14"/>
      <c r="I28" s="1506" t="s">
        <v>423</v>
      </c>
      <c r="J28" s="1521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386</v>
      </c>
      <c r="D29" s="13"/>
      <c r="E29" s="14"/>
      <c r="F29" s="14"/>
      <c r="G29" s="14"/>
      <c r="H29" s="124" t="s">
        <v>420</v>
      </c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385</v>
      </c>
      <c r="D30" s="13"/>
      <c r="E30" s="14"/>
      <c r="F30" s="165" t="s">
        <v>444</v>
      </c>
      <c r="G30" s="165" t="s">
        <v>444</v>
      </c>
      <c r="H30" s="165" t="s">
        <v>444</v>
      </c>
      <c r="I30" s="165" t="s">
        <v>444</v>
      </c>
      <c r="J30" s="165" t="s">
        <v>444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39" t="s">
        <v>317</v>
      </c>
      <c r="C31" s="125" t="s">
        <v>384</v>
      </c>
      <c r="D31" s="13"/>
      <c r="E31" s="14"/>
      <c r="F31" s="169" t="s">
        <v>433</v>
      </c>
      <c r="G31" s="169" t="s">
        <v>411</v>
      </c>
      <c r="H31" s="169" t="s">
        <v>432</v>
      </c>
      <c r="I31" s="138"/>
      <c r="J31" s="138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16</v>
      </c>
      <c r="F32" s="37">
        <f t="shared" ref="F32:K32" si="2">E32+1</f>
        <v>17</v>
      </c>
      <c r="G32" s="37">
        <f t="shared" si="2"/>
        <v>18</v>
      </c>
      <c r="H32" s="37">
        <f t="shared" si="2"/>
        <v>19</v>
      </c>
      <c r="I32" s="37">
        <f t="shared" si="2"/>
        <v>20</v>
      </c>
      <c r="J32" s="37">
        <f t="shared" si="2"/>
        <v>21</v>
      </c>
      <c r="K32" s="23">
        <f t="shared" si="2"/>
        <v>22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383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391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385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383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386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385</v>
      </c>
      <c r="D39" s="13"/>
      <c r="E39" s="24"/>
      <c r="F39" s="24"/>
      <c r="G39" s="24"/>
      <c r="H39" s="24"/>
      <c r="I39" s="24"/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39" t="s">
        <v>317</v>
      </c>
      <c r="C40" s="125" t="s">
        <v>384</v>
      </c>
      <c r="D40" s="13"/>
      <c r="E40" s="24"/>
      <c r="F40" s="1518" t="s">
        <v>336</v>
      </c>
      <c r="G40" s="1519"/>
      <c r="H40" s="1519"/>
      <c r="I40" s="1519"/>
      <c r="J40" s="1520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23</v>
      </c>
      <c r="F41" s="27">
        <f>E41+1</f>
        <v>24</v>
      </c>
      <c r="G41" s="27">
        <f>F41+1</f>
        <v>25</v>
      </c>
      <c r="H41" s="27">
        <f>G41+1</f>
        <v>26</v>
      </c>
      <c r="I41" s="27">
        <f>H41+1</f>
        <v>27</v>
      </c>
      <c r="J41" s="27">
        <f>I41+1</f>
        <v>28</v>
      </c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383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66" t="s">
        <v>421</v>
      </c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391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385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383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386</v>
      </c>
      <c r="D47" s="13"/>
      <c r="E47" s="14"/>
      <c r="F47" s="164" t="s">
        <v>419</v>
      </c>
      <c r="G47" s="1509" t="s">
        <v>443</v>
      </c>
      <c r="H47" s="1510"/>
      <c r="I47" s="1509" t="s">
        <v>439</v>
      </c>
      <c r="J47" s="1510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385</v>
      </c>
      <c r="D48" s="13"/>
      <c r="E48" s="14"/>
      <c r="F48" s="165" t="s">
        <v>444</v>
      </c>
      <c r="G48" s="165" t="s">
        <v>444</v>
      </c>
      <c r="H48" s="165" t="s">
        <v>444</v>
      </c>
      <c r="I48" s="165" t="s">
        <v>444</v>
      </c>
      <c r="J48" s="165" t="s">
        <v>444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39" t="s">
        <v>317</v>
      </c>
      <c r="C49" s="125" t="s">
        <v>384</v>
      </c>
      <c r="D49" s="13"/>
      <c r="E49" s="14"/>
      <c r="F49" s="14"/>
      <c r="G49" s="161"/>
      <c r="H49" s="161"/>
      <c r="I49" s="161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9">
    <mergeCell ref="B46:B48"/>
    <mergeCell ref="M23:O23"/>
    <mergeCell ref="B24:B27"/>
    <mergeCell ref="B28:B30"/>
    <mergeCell ref="B33:B36"/>
    <mergeCell ref="B37:B39"/>
    <mergeCell ref="B42:B45"/>
    <mergeCell ref="F28:G28"/>
    <mergeCell ref="I28:J28"/>
    <mergeCell ref="G47:H47"/>
    <mergeCell ref="I47:J47"/>
    <mergeCell ref="B19:B21"/>
    <mergeCell ref="F40:J40"/>
    <mergeCell ref="E3:G3"/>
    <mergeCell ref="H3:K3"/>
    <mergeCell ref="B6:B9"/>
    <mergeCell ref="B10:B12"/>
    <mergeCell ref="B15:B18"/>
    <mergeCell ref="G19:H19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S58"/>
  <sheetViews>
    <sheetView topLeftCell="C18" zoomScale="85" zoomScaleNormal="8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43647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>
        <v>1</v>
      </c>
      <c r="G5" s="60">
        <f>F5+1</f>
        <v>2</v>
      </c>
      <c r="H5" s="60">
        <f>G5+1</f>
        <v>3</v>
      </c>
      <c r="I5" s="60">
        <f>H5+1</f>
        <v>4</v>
      </c>
      <c r="J5" s="60">
        <f>I5+1</f>
        <v>5</v>
      </c>
      <c r="K5" s="132">
        <f>J5+1</f>
        <v>6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391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385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383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386</v>
      </c>
      <c r="D11" s="13"/>
      <c r="E11" s="14"/>
      <c r="F11" s="171" t="s">
        <v>455</v>
      </c>
      <c r="G11" s="124" t="s">
        <v>453</v>
      </c>
      <c r="H11" s="124" t="s">
        <v>461</v>
      </c>
      <c r="I11" s="1509" t="s">
        <v>441</v>
      </c>
      <c r="J11" s="1510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385</v>
      </c>
      <c r="D12" s="13"/>
      <c r="E12" s="14"/>
      <c r="F12" s="165" t="s">
        <v>444</v>
      </c>
      <c r="G12" s="165" t="s">
        <v>447</v>
      </c>
      <c r="H12" s="165" t="s">
        <v>471</v>
      </c>
      <c r="I12" s="165" t="s">
        <v>471</v>
      </c>
      <c r="J12" s="165" t="s">
        <v>471</v>
      </c>
      <c r="K12" s="14"/>
      <c r="L12" s="4"/>
      <c r="M12" s="4"/>
      <c r="N12" s="4"/>
      <c r="R12" s="11"/>
      <c r="S12" s="4"/>
    </row>
    <row r="13" spans="1:19" s="5" customFormat="1" ht="24.6" customHeight="1">
      <c r="B13" s="144" t="s">
        <v>317</v>
      </c>
      <c r="C13" s="125" t="s">
        <v>384</v>
      </c>
      <c r="D13" s="13"/>
      <c r="E13" s="14"/>
      <c r="F13" s="143"/>
      <c r="G13" s="143"/>
      <c r="H13" s="169" t="s">
        <v>448</v>
      </c>
      <c r="I13" s="143" t="s">
        <v>449</v>
      </c>
      <c r="J13" s="143" t="s">
        <v>450</v>
      </c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7</v>
      </c>
      <c r="F14" s="65">
        <f t="shared" ref="F14:K14" si="0">E14+1</f>
        <v>8</v>
      </c>
      <c r="G14" s="65">
        <f t="shared" si="0"/>
        <v>9</v>
      </c>
      <c r="H14" s="65">
        <f t="shared" si="0"/>
        <v>10</v>
      </c>
      <c r="I14" s="65">
        <f t="shared" si="0"/>
        <v>11</v>
      </c>
      <c r="J14" s="65">
        <f t="shared" si="0"/>
        <v>12</v>
      </c>
      <c r="K14" s="65">
        <f t="shared" si="0"/>
        <v>13</v>
      </c>
    </row>
    <row r="15" spans="1:19" ht="24.6" customHeight="1">
      <c r="A15" s="84"/>
      <c r="B15" s="1467" t="s">
        <v>286</v>
      </c>
      <c r="C15" s="12" t="s">
        <v>383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391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385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383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386</v>
      </c>
      <c r="D20" s="13"/>
      <c r="E20" s="24"/>
      <c r="F20" s="1509" t="s">
        <v>442</v>
      </c>
      <c r="G20" s="1510"/>
      <c r="H20" s="124" t="s">
        <v>469</v>
      </c>
      <c r="I20" s="124" t="s">
        <v>468</v>
      </c>
      <c r="J20" s="124" t="s">
        <v>467</v>
      </c>
      <c r="K20" s="24"/>
    </row>
    <row r="21" spans="1:19" ht="24" customHeight="1">
      <c r="A21" s="84"/>
      <c r="B21" s="1467"/>
      <c r="C21" s="162" t="s">
        <v>385</v>
      </c>
      <c r="D21" s="13"/>
      <c r="E21" s="24"/>
      <c r="F21" s="165" t="s">
        <v>471</v>
      </c>
      <c r="G21" s="165" t="s">
        <v>471</v>
      </c>
      <c r="H21" s="165" t="s">
        <v>471</v>
      </c>
      <c r="I21" s="165" t="s">
        <v>471</v>
      </c>
      <c r="J21" s="165" t="s">
        <v>471</v>
      </c>
      <c r="K21" s="24"/>
    </row>
    <row r="22" spans="1:19" ht="24.6" customHeight="1">
      <c r="A22" s="84"/>
      <c r="B22" s="144" t="s">
        <v>317</v>
      </c>
      <c r="C22" s="125" t="s">
        <v>384</v>
      </c>
      <c r="D22" s="13"/>
      <c r="E22" s="24"/>
      <c r="F22" s="32"/>
      <c r="G22" s="32"/>
      <c r="H22" s="24"/>
      <c r="I22" s="32"/>
      <c r="J22" s="32"/>
      <c r="K22" s="24"/>
    </row>
    <row r="23" spans="1:19" ht="24.6" customHeight="1">
      <c r="A23" s="84"/>
      <c r="B23" s="84"/>
      <c r="C23" s="5"/>
      <c r="D23" s="5"/>
      <c r="E23" s="26">
        <f>K14+1</f>
        <v>14</v>
      </c>
      <c r="F23" s="27">
        <f t="shared" ref="F23:K23" si="1">E23+1</f>
        <v>15</v>
      </c>
      <c r="G23" s="27">
        <f t="shared" si="1"/>
        <v>16</v>
      </c>
      <c r="H23" s="27">
        <f t="shared" si="1"/>
        <v>17</v>
      </c>
      <c r="I23" s="27">
        <f t="shared" si="1"/>
        <v>18</v>
      </c>
      <c r="J23" s="27">
        <f t="shared" si="1"/>
        <v>19</v>
      </c>
      <c r="K23" s="52">
        <f t="shared" si="1"/>
        <v>20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383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66" t="s">
        <v>463</v>
      </c>
      <c r="I25" s="166" t="s">
        <v>463</v>
      </c>
      <c r="J25" s="166" t="s">
        <v>463</v>
      </c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391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385</v>
      </c>
      <c r="D27" s="13"/>
      <c r="E27" s="14"/>
      <c r="F27" s="14"/>
      <c r="G27" s="14"/>
      <c r="H27" s="14"/>
      <c r="I27" s="152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383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386</v>
      </c>
      <c r="D29" s="13"/>
      <c r="E29" s="14"/>
      <c r="F29" s="124" t="s">
        <v>462</v>
      </c>
      <c r="G29" s="124" t="s">
        <v>462</v>
      </c>
      <c r="H29" s="124" t="s">
        <v>462</v>
      </c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385</v>
      </c>
      <c r="D30" s="13"/>
      <c r="E30" s="14"/>
      <c r="F30" s="165" t="s">
        <v>471</v>
      </c>
      <c r="G30" s="165" t="s">
        <v>471</v>
      </c>
      <c r="H30" s="165" t="s">
        <v>471</v>
      </c>
      <c r="I30" s="165" t="s">
        <v>470</v>
      </c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4" t="s">
        <v>317</v>
      </c>
      <c r="C31" s="125" t="s">
        <v>384</v>
      </c>
      <c r="D31" s="13"/>
      <c r="E31" s="14"/>
      <c r="F31" s="170" t="s">
        <v>457</v>
      </c>
      <c r="G31" s="170" t="s">
        <v>457</v>
      </c>
      <c r="H31" s="170" t="s">
        <v>457</v>
      </c>
      <c r="I31" s="143"/>
      <c r="J31" s="169" t="s">
        <v>458</v>
      </c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21</v>
      </c>
      <c r="F32" s="37">
        <f t="shared" ref="F32:K32" si="2">E32+1</f>
        <v>22</v>
      </c>
      <c r="G32" s="37">
        <f t="shared" si="2"/>
        <v>23</v>
      </c>
      <c r="H32" s="37">
        <f t="shared" si="2"/>
        <v>24</v>
      </c>
      <c r="I32" s="37">
        <f t="shared" si="2"/>
        <v>25</v>
      </c>
      <c r="J32" s="37">
        <f t="shared" si="2"/>
        <v>26</v>
      </c>
      <c r="K32" s="23">
        <f t="shared" si="2"/>
        <v>27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383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124" t="s">
        <v>464</v>
      </c>
      <c r="G34" s="24"/>
      <c r="H34" s="24"/>
      <c r="I34" s="24"/>
      <c r="J34" s="124" t="s">
        <v>464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391</v>
      </c>
      <c r="D35" s="13"/>
      <c r="E35" s="24"/>
      <c r="F35" s="24"/>
      <c r="H35" s="24"/>
      <c r="I35" s="24"/>
      <c r="J35" s="32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385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383</v>
      </c>
      <c r="D37" s="13"/>
      <c r="E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386</v>
      </c>
      <c r="D38" s="13"/>
      <c r="E38" s="24"/>
      <c r="F38" s="164" t="s">
        <v>473</v>
      </c>
      <c r="G38" s="24"/>
      <c r="H38" s="1522" t="s">
        <v>472</v>
      </c>
      <c r="I38" s="1523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385</v>
      </c>
      <c r="D39" s="13"/>
      <c r="E39" s="24"/>
      <c r="F39" s="14"/>
      <c r="G39" s="14"/>
      <c r="H39" s="14"/>
      <c r="I39" s="14"/>
      <c r="J39" s="1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4" t="s">
        <v>317</v>
      </c>
      <c r="C40" s="125" t="s">
        <v>384</v>
      </c>
      <c r="D40" s="13"/>
      <c r="E40" s="24"/>
      <c r="F40" s="32" t="s">
        <v>459</v>
      </c>
      <c r="G40" s="32" t="s">
        <v>460</v>
      </c>
      <c r="H40" s="32" t="s">
        <v>456</v>
      </c>
      <c r="I40" s="32" t="s">
        <v>456</v>
      </c>
      <c r="J40" s="24" t="s">
        <v>456</v>
      </c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28</v>
      </c>
      <c r="F41" s="27">
        <f>E41+1</f>
        <v>29</v>
      </c>
      <c r="G41" s="27">
        <f>F41+1</f>
        <v>30</v>
      </c>
      <c r="H41" s="27">
        <f>G41+1</f>
        <v>31</v>
      </c>
      <c r="I41" s="27"/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383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24" t="s">
        <v>465</v>
      </c>
      <c r="G43" s="166" t="s">
        <v>466</v>
      </c>
      <c r="H43" s="166" t="s">
        <v>466</v>
      </c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391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385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383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386</v>
      </c>
      <c r="D47" s="13"/>
      <c r="E47" s="14"/>
      <c r="F47" s="14"/>
      <c r="G47" s="14"/>
      <c r="H47" s="14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385</v>
      </c>
      <c r="D48" s="13"/>
      <c r="E48" s="14"/>
      <c r="F48" s="14"/>
      <c r="G48" s="14"/>
      <c r="H48" s="165" t="s">
        <v>483</v>
      </c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4" t="s">
        <v>317</v>
      </c>
      <c r="C49" s="125" t="s">
        <v>384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6">
    <mergeCell ref="B19:B21"/>
    <mergeCell ref="E3:G3"/>
    <mergeCell ref="H3:K3"/>
    <mergeCell ref="B6:B9"/>
    <mergeCell ref="B10:B12"/>
    <mergeCell ref="B15:B18"/>
    <mergeCell ref="F20:G20"/>
    <mergeCell ref="I11:J11"/>
    <mergeCell ref="B42:B45"/>
    <mergeCell ref="B46:B48"/>
    <mergeCell ref="M23:O23"/>
    <mergeCell ref="B24:B27"/>
    <mergeCell ref="B28:B30"/>
    <mergeCell ref="B33:B36"/>
    <mergeCell ref="B37:B39"/>
    <mergeCell ref="H38:I38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S58"/>
  <sheetViews>
    <sheetView topLeftCell="A7" zoomScale="70" zoomScaleNormal="7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43678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>
        <v>1</v>
      </c>
      <c r="J5" s="60">
        <f>I5+1</f>
        <v>2</v>
      </c>
      <c r="K5" s="132">
        <f>J5+1</f>
        <v>3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391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385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383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386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385</v>
      </c>
      <c r="D12" s="13"/>
      <c r="E12" s="14"/>
      <c r="F12" s="14"/>
      <c r="G12" s="14"/>
      <c r="H12" s="14"/>
      <c r="I12" s="165" t="s">
        <v>483</v>
      </c>
      <c r="J12" s="165" t="s">
        <v>483</v>
      </c>
      <c r="K12" s="14"/>
      <c r="L12" s="4"/>
      <c r="M12" s="4"/>
      <c r="N12" s="4"/>
      <c r="R12" s="11"/>
      <c r="S12" s="4"/>
    </row>
    <row r="13" spans="1:19" s="5" customFormat="1" ht="24.6" customHeight="1">
      <c r="B13" s="157" t="s">
        <v>317</v>
      </c>
      <c r="C13" s="125" t="s">
        <v>384</v>
      </c>
      <c r="D13" s="13"/>
      <c r="E13" s="14"/>
      <c r="F13" s="156"/>
      <c r="G13" s="156"/>
      <c r="H13" s="156"/>
      <c r="I13" s="1525" t="s">
        <v>474</v>
      </c>
      <c r="J13" s="1526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4</v>
      </c>
      <c r="F14" s="65">
        <f t="shared" ref="F14:K14" si="0">E14+1</f>
        <v>5</v>
      </c>
      <c r="G14" s="65">
        <f t="shared" si="0"/>
        <v>6</v>
      </c>
      <c r="H14" s="65">
        <f t="shared" si="0"/>
        <v>7</v>
      </c>
      <c r="I14" s="65">
        <f t="shared" si="0"/>
        <v>8</v>
      </c>
      <c r="J14" s="65">
        <f t="shared" si="0"/>
        <v>9</v>
      </c>
      <c r="K14" s="65">
        <f t="shared" si="0"/>
        <v>10</v>
      </c>
    </row>
    <row r="15" spans="1:19" ht="24.6" customHeight="1">
      <c r="A15" s="84"/>
      <c r="B15" s="1467" t="s">
        <v>286</v>
      </c>
      <c r="C15" s="12" t="s">
        <v>383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391</v>
      </c>
      <c r="D17" s="13"/>
      <c r="E17" s="24"/>
      <c r="F17" s="24"/>
      <c r="G17" s="24"/>
      <c r="H17" s="1527" t="s">
        <v>496</v>
      </c>
      <c r="I17" s="1528"/>
      <c r="J17" s="1529"/>
      <c r="K17" s="24"/>
    </row>
    <row r="18" spans="1:19" ht="24.6" customHeight="1">
      <c r="A18" s="84"/>
      <c r="B18" s="1467"/>
      <c r="C18" s="162" t="s">
        <v>385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383</v>
      </c>
      <c r="D19" s="13"/>
      <c r="E19" s="24"/>
      <c r="F19" s="24"/>
      <c r="G19" s="24"/>
      <c r="H19" s="24"/>
      <c r="I19" s="1506" t="s">
        <v>485</v>
      </c>
      <c r="J19" s="1507"/>
      <c r="K19" s="24"/>
    </row>
    <row r="20" spans="1:19" ht="24" customHeight="1">
      <c r="A20" s="84"/>
      <c r="B20" s="1467"/>
      <c r="C20" s="124" t="s">
        <v>386</v>
      </c>
      <c r="D20" s="13"/>
      <c r="E20" s="24"/>
      <c r="F20" s="24"/>
      <c r="G20" s="1509" t="s">
        <v>497</v>
      </c>
      <c r="H20" s="1510"/>
      <c r="I20" s="24"/>
      <c r="J20" s="24"/>
      <c r="K20" s="24"/>
    </row>
    <row r="21" spans="1:19" ht="24" customHeight="1">
      <c r="A21" s="84"/>
      <c r="B21" s="1467"/>
      <c r="C21" s="162" t="s">
        <v>385</v>
      </c>
      <c r="D21" s="13"/>
      <c r="E21" s="24"/>
      <c r="F21" s="165" t="s">
        <v>483</v>
      </c>
      <c r="G21" s="165" t="s">
        <v>483</v>
      </c>
      <c r="H21" s="165" t="s">
        <v>483</v>
      </c>
      <c r="I21" s="165" t="s">
        <v>483</v>
      </c>
      <c r="J21" s="165" t="s">
        <v>483</v>
      </c>
      <c r="K21" s="24"/>
    </row>
    <row r="22" spans="1:19" ht="24.6" customHeight="1">
      <c r="A22" s="84"/>
      <c r="B22" s="157" t="s">
        <v>317</v>
      </c>
      <c r="C22" s="125" t="s">
        <v>384</v>
      </c>
      <c r="D22" s="13"/>
      <c r="E22" s="24"/>
      <c r="F22" s="24"/>
      <c r="G22" s="24"/>
      <c r="H22" s="24"/>
      <c r="I22" s="24"/>
      <c r="J22" s="32"/>
      <c r="K22" s="24"/>
    </row>
    <row r="23" spans="1:19" ht="24.6" customHeight="1">
      <c r="A23" s="84"/>
      <c r="B23" s="84"/>
      <c r="C23" s="5"/>
      <c r="D23" s="5"/>
      <c r="E23" s="26">
        <f>K14+1</f>
        <v>11</v>
      </c>
      <c r="F23" s="27">
        <f t="shared" ref="F23:K23" si="1">E23+1</f>
        <v>12</v>
      </c>
      <c r="G23" s="27">
        <f t="shared" si="1"/>
        <v>13</v>
      </c>
      <c r="H23" s="27">
        <f t="shared" si="1"/>
        <v>14</v>
      </c>
      <c r="I23" s="52">
        <f t="shared" si="1"/>
        <v>15</v>
      </c>
      <c r="J23" s="52">
        <f t="shared" si="1"/>
        <v>16</v>
      </c>
      <c r="K23" s="52">
        <f t="shared" si="1"/>
        <v>17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383</v>
      </c>
      <c r="D24" s="13"/>
      <c r="E24" s="14"/>
      <c r="F24" s="12" t="s">
        <v>494</v>
      </c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391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385</v>
      </c>
      <c r="D27" s="13"/>
      <c r="E27" s="14"/>
      <c r="F27" s="14"/>
      <c r="G27" s="14"/>
      <c r="H27" s="14"/>
      <c r="I27" s="152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383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386</v>
      </c>
      <c r="D29" s="13"/>
      <c r="E29" s="14"/>
      <c r="F29" s="14"/>
      <c r="G29" s="14"/>
      <c r="H29" s="124" t="s">
        <v>498</v>
      </c>
      <c r="I29" s="152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385</v>
      </c>
      <c r="D30" s="13"/>
      <c r="E30" s="14"/>
      <c r="F30" s="165" t="s">
        <v>484</v>
      </c>
      <c r="G30" s="165" t="s">
        <v>486</v>
      </c>
      <c r="H30" s="165" t="s">
        <v>486</v>
      </c>
      <c r="I30" s="152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57" t="s">
        <v>317</v>
      </c>
      <c r="C31" s="125" t="s">
        <v>384</v>
      </c>
      <c r="D31" s="13"/>
      <c r="E31" s="14"/>
      <c r="F31" s="156"/>
      <c r="G31" s="169"/>
      <c r="H31" s="169"/>
      <c r="I31" s="153" t="s">
        <v>379</v>
      </c>
      <c r="J31" s="153" t="s">
        <v>378</v>
      </c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18</v>
      </c>
      <c r="F32" s="37">
        <f t="shared" ref="F32:K32" si="2">E32+1</f>
        <v>19</v>
      </c>
      <c r="G32" s="37">
        <f t="shared" si="2"/>
        <v>20</v>
      </c>
      <c r="H32" s="37">
        <f t="shared" si="2"/>
        <v>21</v>
      </c>
      <c r="I32" s="37">
        <f t="shared" si="2"/>
        <v>22</v>
      </c>
      <c r="J32" s="37">
        <f t="shared" si="2"/>
        <v>23</v>
      </c>
      <c r="K32" s="23">
        <f t="shared" si="2"/>
        <v>24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383</v>
      </c>
      <c r="D33" s="13"/>
      <c r="E33" s="24"/>
      <c r="F33" s="24"/>
      <c r="G33" s="24"/>
      <c r="H33" s="24"/>
      <c r="I33" s="24"/>
      <c r="J33" s="12" t="s">
        <v>495</v>
      </c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391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385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383</v>
      </c>
      <c r="D37" s="13"/>
      <c r="E37" s="24"/>
      <c r="F37" s="32" t="s">
        <v>482</v>
      </c>
      <c r="G37" s="1506" t="s">
        <v>487</v>
      </c>
      <c r="H37" s="1507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386</v>
      </c>
      <c r="D38" s="13"/>
      <c r="E38" s="24"/>
      <c r="F38" s="124" t="s">
        <v>499</v>
      </c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385</v>
      </c>
      <c r="D39" s="13"/>
      <c r="E39" s="24"/>
      <c r="F39" s="165" t="s">
        <v>486</v>
      </c>
      <c r="G39" s="165" t="s">
        <v>486</v>
      </c>
      <c r="H39" s="165" t="s">
        <v>486</v>
      </c>
      <c r="I39" s="165" t="s">
        <v>486</v>
      </c>
      <c r="J39" s="165" t="s">
        <v>486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57" t="s">
        <v>317</v>
      </c>
      <c r="C40" s="125" t="s">
        <v>384</v>
      </c>
      <c r="D40" s="13"/>
      <c r="E40" s="24"/>
      <c r="F40" s="32"/>
      <c r="G40" s="32"/>
      <c r="H40" s="32"/>
      <c r="I40" s="32" t="s">
        <v>490</v>
      </c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25</v>
      </c>
      <c r="F41" s="27">
        <f t="shared" ref="F41:K41" si="3">E41+1</f>
        <v>26</v>
      </c>
      <c r="G41" s="27">
        <f t="shared" si="3"/>
        <v>27</v>
      </c>
      <c r="H41" s="27">
        <f t="shared" si="3"/>
        <v>28</v>
      </c>
      <c r="I41" s="27">
        <f t="shared" si="3"/>
        <v>29</v>
      </c>
      <c r="J41" s="27">
        <f t="shared" si="3"/>
        <v>30</v>
      </c>
      <c r="K41" s="52">
        <f t="shared" si="3"/>
        <v>31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383</v>
      </c>
      <c r="D42" s="13"/>
      <c r="E42" s="14"/>
      <c r="F42" s="12" t="s">
        <v>505</v>
      </c>
      <c r="G42" s="14"/>
      <c r="H42" s="12" t="s">
        <v>507</v>
      </c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391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385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383</v>
      </c>
      <c r="D46" s="13"/>
      <c r="E46" s="14"/>
      <c r="F46" s="14"/>
      <c r="G46" s="14"/>
      <c r="H46" s="14"/>
      <c r="I46" s="1506" t="s">
        <v>506</v>
      </c>
      <c r="J46" s="1507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386</v>
      </c>
      <c r="D47" s="13"/>
      <c r="E47" s="14"/>
      <c r="F47" s="14"/>
      <c r="G47" s="1509" t="s">
        <v>481</v>
      </c>
      <c r="H47" s="152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385</v>
      </c>
      <c r="D48" s="13"/>
      <c r="E48" s="14"/>
      <c r="F48" s="165" t="s">
        <v>509</v>
      </c>
      <c r="G48" s="165" t="s">
        <v>488</v>
      </c>
      <c r="H48" s="165" t="s">
        <v>488</v>
      </c>
      <c r="I48" s="165" t="s">
        <v>488</v>
      </c>
      <c r="J48" s="165" t="s">
        <v>488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57" t="s">
        <v>317</v>
      </c>
      <c r="C49" s="125" t="s">
        <v>384</v>
      </c>
      <c r="D49" s="13"/>
      <c r="E49" s="14"/>
      <c r="F49" s="169"/>
      <c r="G49" s="169"/>
      <c r="H49" s="169"/>
      <c r="I49" s="14"/>
      <c r="J49" s="172" t="s">
        <v>477</v>
      </c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0">
    <mergeCell ref="E3:G3"/>
    <mergeCell ref="H3:K3"/>
    <mergeCell ref="B6:B9"/>
    <mergeCell ref="B10:B12"/>
    <mergeCell ref="B15:B18"/>
    <mergeCell ref="I13:J13"/>
    <mergeCell ref="H17:J17"/>
    <mergeCell ref="M23:O23"/>
    <mergeCell ref="B24:B27"/>
    <mergeCell ref="B28:B30"/>
    <mergeCell ref="B33:B36"/>
    <mergeCell ref="B37:B39"/>
    <mergeCell ref="B19:B21"/>
    <mergeCell ref="G37:H37"/>
    <mergeCell ref="I19:J19"/>
    <mergeCell ref="G20:H20"/>
    <mergeCell ref="B46:B48"/>
    <mergeCell ref="B42:B45"/>
    <mergeCell ref="G47:H47"/>
    <mergeCell ref="I46:J46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S58"/>
  <sheetViews>
    <sheetView topLeftCell="C7" zoomScale="70" zoomScaleNormal="70" workbookViewId="0">
      <selection activeCell="G41" sqref="G41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43709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f t="shared" ref="F5:K5" si="0">E5+1</f>
        <v>2</v>
      </c>
      <c r="G5" s="60">
        <f t="shared" si="0"/>
        <v>3</v>
      </c>
      <c r="H5" s="60">
        <f t="shared" si="0"/>
        <v>4</v>
      </c>
      <c r="I5" s="60">
        <f t="shared" si="0"/>
        <v>5</v>
      </c>
      <c r="J5" s="60">
        <f t="shared" si="0"/>
        <v>6</v>
      </c>
      <c r="K5" s="132">
        <f t="shared" si="0"/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2" t="s">
        <v>504</v>
      </c>
      <c r="G6" s="167" t="s">
        <v>500</v>
      </c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391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385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383</v>
      </c>
      <c r="D10" s="13"/>
      <c r="E10" s="14"/>
      <c r="F10" s="14"/>
      <c r="G10" s="14"/>
      <c r="H10" s="14"/>
      <c r="I10" s="1530" t="s">
        <v>406</v>
      </c>
      <c r="J10" s="1531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386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385</v>
      </c>
      <c r="D12" s="13"/>
      <c r="E12" s="14"/>
      <c r="F12" s="165" t="s">
        <v>488</v>
      </c>
      <c r="G12" s="165" t="s">
        <v>488</v>
      </c>
      <c r="H12" s="165" t="s">
        <v>488</v>
      </c>
      <c r="I12" s="165" t="s">
        <v>488</v>
      </c>
      <c r="J12" s="165" t="s">
        <v>488</v>
      </c>
      <c r="K12" s="14"/>
      <c r="L12" s="4"/>
      <c r="M12" s="4"/>
      <c r="N12" s="4"/>
      <c r="R12" s="11"/>
      <c r="S12" s="4"/>
    </row>
    <row r="13" spans="1:19" s="5" customFormat="1" ht="35.25" customHeight="1">
      <c r="B13" s="157" t="s">
        <v>317</v>
      </c>
      <c r="C13" s="125" t="s">
        <v>384</v>
      </c>
      <c r="D13" s="13"/>
      <c r="E13" s="14"/>
      <c r="F13" s="156" t="s">
        <v>478</v>
      </c>
      <c r="G13" s="156" t="s">
        <v>479</v>
      </c>
      <c r="H13" s="156"/>
      <c r="I13" s="161"/>
      <c r="J13" s="156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1">E14+1</f>
        <v>9</v>
      </c>
      <c r="G14" s="65">
        <f t="shared" si="1"/>
        <v>10</v>
      </c>
      <c r="H14" s="65">
        <f t="shared" si="1"/>
        <v>11</v>
      </c>
      <c r="I14" s="23">
        <f t="shared" si="1"/>
        <v>12</v>
      </c>
      <c r="J14" s="23">
        <f t="shared" si="1"/>
        <v>13</v>
      </c>
      <c r="K14" s="23">
        <f t="shared" si="1"/>
        <v>14</v>
      </c>
    </row>
    <row r="15" spans="1:19" ht="24.6" customHeight="1">
      <c r="A15" s="84"/>
      <c r="B15" s="1467" t="s">
        <v>286</v>
      </c>
      <c r="C15" s="12" t="s">
        <v>383</v>
      </c>
      <c r="D15" s="13"/>
      <c r="E15" s="24"/>
      <c r="F15" s="167" t="s">
        <v>435</v>
      </c>
      <c r="G15" s="167" t="s">
        <v>463</v>
      </c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391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385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383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386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385</v>
      </c>
      <c r="D21" s="13"/>
      <c r="E21" s="24"/>
      <c r="F21" s="165" t="s">
        <v>488</v>
      </c>
      <c r="G21" s="165" t="s">
        <v>488</v>
      </c>
      <c r="H21" s="165" t="s">
        <v>488</v>
      </c>
      <c r="I21" s="24"/>
      <c r="J21" s="24"/>
      <c r="K21" s="24"/>
    </row>
    <row r="22" spans="1:19" ht="24.6" customHeight="1">
      <c r="A22" s="84"/>
      <c r="B22" s="157" t="s">
        <v>317</v>
      </c>
      <c r="C22" s="125" t="s">
        <v>384</v>
      </c>
      <c r="D22" s="13"/>
      <c r="E22" s="24"/>
      <c r="F22" s="24"/>
      <c r="G22" s="24"/>
      <c r="H22" s="32" t="s">
        <v>451</v>
      </c>
      <c r="I22" s="159" t="s">
        <v>366</v>
      </c>
      <c r="J22" s="159" t="s">
        <v>367</v>
      </c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2">E23+1</f>
        <v>16</v>
      </c>
      <c r="G23" s="27">
        <f t="shared" si="2"/>
        <v>17</v>
      </c>
      <c r="H23" s="27">
        <f t="shared" si="2"/>
        <v>18</v>
      </c>
      <c r="I23" s="27">
        <f t="shared" si="2"/>
        <v>19</v>
      </c>
      <c r="J23" s="27">
        <f t="shared" si="2"/>
        <v>20</v>
      </c>
      <c r="K23" s="52">
        <f t="shared" si="2"/>
        <v>21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383</v>
      </c>
      <c r="D24" s="13"/>
      <c r="E24" s="14"/>
      <c r="F24" s="14"/>
      <c r="G24" s="14"/>
      <c r="H24" s="14"/>
      <c r="I24" s="167" t="s">
        <v>501</v>
      </c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391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385</v>
      </c>
      <c r="D27" s="13"/>
      <c r="E27" s="14"/>
      <c r="F27" s="14"/>
      <c r="G27" s="14"/>
      <c r="H27" s="14"/>
      <c r="I27" s="152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383</v>
      </c>
      <c r="D28" s="13"/>
      <c r="E28" s="14"/>
      <c r="F28" s="14"/>
      <c r="G28" s="1530" t="s">
        <v>407</v>
      </c>
      <c r="H28" s="1531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386</v>
      </c>
      <c r="D29" s="13"/>
      <c r="E29" s="14"/>
      <c r="F29" s="14"/>
      <c r="G29" s="14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385</v>
      </c>
      <c r="D30" s="13"/>
      <c r="E30" s="14"/>
      <c r="F30" s="165" t="s">
        <v>488</v>
      </c>
      <c r="G30" s="165" t="s">
        <v>488</v>
      </c>
      <c r="H30" s="165" t="s">
        <v>489</v>
      </c>
      <c r="I30" s="165" t="s">
        <v>475</v>
      </c>
      <c r="J30" s="165" t="s">
        <v>475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57" t="s">
        <v>317</v>
      </c>
      <c r="C31" s="125" t="s">
        <v>384</v>
      </c>
      <c r="D31" s="13"/>
      <c r="E31" s="14"/>
      <c r="F31" s="156"/>
      <c r="G31" s="156"/>
      <c r="H31" s="156"/>
      <c r="I31" s="168" t="s">
        <v>491</v>
      </c>
      <c r="J31" s="156" t="s">
        <v>492</v>
      </c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3">E32+1</f>
        <v>23</v>
      </c>
      <c r="G32" s="37">
        <f t="shared" si="3"/>
        <v>24</v>
      </c>
      <c r="H32" s="37">
        <f t="shared" si="3"/>
        <v>25</v>
      </c>
      <c r="I32" s="37">
        <f t="shared" si="3"/>
        <v>26</v>
      </c>
      <c r="J32" s="37">
        <f t="shared" si="3"/>
        <v>27</v>
      </c>
      <c r="K32" s="23">
        <f t="shared" si="3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383</v>
      </c>
      <c r="D33" s="13"/>
      <c r="E33" s="24"/>
      <c r="F33" s="167" t="s">
        <v>502</v>
      </c>
      <c r="G33" s="24"/>
      <c r="H33" s="24"/>
      <c r="I33" s="167" t="s">
        <v>503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391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385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383</v>
      </c>
      <c r="D37" s="13"/>
      <c r="E37" s="24"/>
      <c r="F37" s="24"/>
      <c r="G37" s="1530" t="s">
        <v>476</v>
      </c>
      <c r="H37" s="1531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386</v>
      </c>
      <c r="D38" s="13"/>
      <c r="E38" s="24"/>
      <c r="F38" s="24"/>
      <c r="G38" s="24"/>
      <c r="H38" s="24"/>
      <c r="I38" s="1509" t="s">
        <v>480</v>
      </c>
      <c r="J38" s="1510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385</v>
      </c>
      <c r="D39" s="13"/>
      <c r="E39" s="24"/>
      <c r="F39" s="165" t="s">
        <v>475</v>
      </c>
      <c r="G39" s="165" t="s">
        <v>475</v>
      </c>
      <c r="H39" s="165" t="s">
        <v>475</v>
      </c>
      <c r="I39" s="165" t="s">
        <v>475</v>
      </c>
      <c r="J39" s="165" t="s">
        <v>475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9.25" customHeight="1">
      <c r="A40" s="84"/>
      <c r="B40" s="157" t="s">
        <v>317</v>
      </c>
      <c r="C40" s="125" t="s">
        <v>384</v>
      </c>
      <c r="D40" s="13"/>
      <c r="E40" s="24"/>
      <c r="F40" s="32" t="s">
        <v>493</v>
      </c>
      <c r="G40" s="32"/>
      <c r="H40" s="32"/>
      <c r="I40" s="32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v>1</v>
      </c>
      <c r="H41" s="27">
        <v>2</v>
      </c>
      <c r="I41" s="27">
        <v>3</v>
      </c>
      <c r="J41" s="27">
        <v>4</v>
      </c>
      <c r="K41" s="52">
        <v>5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383</v>
      </c>
      <c r="D42" s="13"/>
      <c r="E42" s="14"/>
      <c r="F42" s="167" t="s">
        <v>503</v>
      </c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391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385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383</v>
      </c>
      <c r="D46" s="13"/>
      <c r="E46" s="14"/>
      <c r="F46" s="14"/>
      <c r="G46" s="1530" t="s">
        <v>508</v>
      </c>
      <c r="H46" s="1531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386</v>
      </c>
      <c r="D47" s="13"/>
      <c r="E47" s="14"/>
      <c r="F47" s="14"/>
      <c r="G47" s="14"/>
      <c r="H47" s="14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385</v>
      </c>
      <c r="D48" s="13"/>
      <c r="E48" s="14"/>
      <c r="F48" s="165" t="s">
        <v>475</v>
      </c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57" t="s">
        <v>317</v>
      </c>
      <c r="C49" s="125" t="s">
        <v>384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8">
    <mergeCell ref="E3:G3"/>
    <mergeCell ref="H3:K3"/>
    <mergeCell ref="B6:B9"/>
    <mergeCell ref="B10:B12"/>
    <mergeCell ref="B15:B18"/>
    <mergeCell ref="I10:J10"/>
    <mergeCell ref="M23:O23"/>
    <mergeCell ref="B24:B27"/>
    <mergeCell ref="B28:B30"/>
    <mergeCell ref="B33:B36"/>
    <mergeCell ref="B37:B39"/>
    <mergeCell ref="I38:J38"/>
    <mergeCell ref="B19:B21"/>
    <mergeCell ref="G28:H28"/>
    <mergeCell ref="B46:B48"/>
    <mergeCell ref="B42:B45"/>
    <mergeCell ref="G37:H37"/>
    <mergeCell ref="G46:H46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S58"/>
  <sheetViews>
    <sheetView topLeftCell="A10" zoomScale="85" zoomScaleNormal="8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43709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f t="shared" ref="F5:K5" si="0">E5+1</f>
        <v>2</v>
      </c>
      <c r="G5" s="60">
        <f t="shared" si="0"/>
        <v>3</v>
      </c>
      <c r="H5" s="60">
        <f t="shared" si="0"/>
        <v>4</v>
      </c>
      <c r="I5" s="60">
        <f t="shared" si="0"/>
        <v>5</v>
      </c>
      <c r="J5" s="60">
        <f t="shared" si="0"/>
        <v>6</v>
      </c>
      <c r="K5" s="132">
        <f t="shared" si="0"/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2" t="s">
        <v>504</v>
      </c>
      <c r="G6" s="14"/>
      <c r="H6" s="14"/>
      <c r="I6" s="12" t="s">
        <v>512</v>
      </c>
      <c r="J6" s="167" t="s">
        <v>503</v>
      </c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391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385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383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386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385</v>
      </c>
      <c r="D12" s="13"/>
      <c r="E12" s="14"/>
      <c r="F12" s="165" t="s">
        <v>488</v>
      </c>
      <c r="G12" s="165" t="s">
        <v>488</v>
      </c>
      <c r="H12" s="165" t="s">
        <v>488</v>
      </c>
      <c r="I12" s="165" t="s">
        <v>488</v>
      </c>
      <c r="J12" s="165" t="s">
        <v>488</v>
      </c>
      <c r="K12" s="14"/>
      <c r="L12" s="4"/>
      <c r="M12" s="4"/>
      <c r="N12" s="4"/>
      <c r="R12" s="11"/>
      <c r="S12" s="4"/>
    </row>
    <row r="13" spans="1:19" s="5" customFormat="1" ht="35.25" customHeight="1">
      <c r="B13" s="174" t="s">
        <v>317</v>
      </c>
      <c r="C13" s="125" t="s">
        <v>384</v>
      </c>
      <c r="D13" s="13"/>
      <c r="E13" s="14"/>
      <c r="F13" s="173"/>
      <c r="G13" s="173"/>
      <c r="H13" s="173"/>
      <c r="I13" s="173"/>
      <c r="J13" s="173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1">E14+1</f>
        <v>9</v>
      </c>
      <c r="G14" s="65">
        <f t="shared" si="1"/>
        <v>10</v>
      </c>
      <c r="H14" s="65">
        <f t="shared" si="1"/>
        <v>11</v>
      </c>
      <c r="I14" s="23">
        <f t="shared" si="1"/>
        <v>12</v>
      </c>
      <c r="J14" s="23">
        <f t="shared" si="1"/>
        <v>13</v>
      </c>
      <c r="K14" s="23">
        <f t="shared" si="1"/>
        <v>14</v>
      </c>
    </row>
    <row r="15" spans="1:19" ht="24.6" customHeight="1">
      <c r="A15" s="84"/>
      <c r="B15" s="1467" t="s">
        <v>286</v>
      </c>
      <c r="C15" s="12" t="s">
        <v>383</v>
      </c>
      <c r="D15" s="13"/>
      <c r="E15" s="24"/>
      <c r="F15" s="167" t="s">
        <v>513</v>
      </c>
      <c r="G15" s="167" t="s">
        <v>463</v>
      </c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391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385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383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386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385</v>
      </c>
      <c r="D21" s="13"/>
      <c r="E21" s="24"/>
      <c r="F21" s="165" t="s">
        <v>510</v>
      </c>
      <c r="G21" s="165" t="s">
        <v>510</v>
      </c>
      <c r="H21" s="165" t="s">
        <v>510</v>
      </c>
      <c r="I21" s="24"/>
      <c r="J21" s="24"/>
      <c r="K21" s="24"/>
    </row>
    <row r="22" spans="1:19" ht="24.6" customHeight="1">
      <c r="A22" s="84"/>
      <c r="B22" s="174" t="s">
        <v>317</v>
      </c>
      <c r="C22" s="125" t="s">
        <v>384</v>
      </c>
      <c r="D22" s="13"/>
      <c r="E22" s="24"/>
      <c r="F22" s="24"/>
      <c r="G22" s="24"/>
      <c r="H22" s="32"/>
      <c r="I22" s="159" t="s">
        <v>366</v>
      </c>
      <c r="J22" s="159" t="s">
        <v>367</v>
      </c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2">E23+1</f>
        <v>16</v>
      </c>
      <c r="G23" s="27">
        <f t="shared" si="2"/>
        <v>17</v>
      </c>
      <c r="H23" s="27">
        <f t="shared" si="2"/>
        <v>18</v>
      </c>
      <c r="I23" s="27">
        <f t="shared" si="2"/>
        <v>19</v>
      </c>
      <c r="J23" s="27">
        <f t="shared" si="2"/>
        <v>20</v>
      </c>
      <c r="K23" s="52">
        <f t="shared" si="2"/>
        <v>21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383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391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385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383</v>
      </c>
      <c r="D28" s="13"/>
      <c r="E28" s="14"/>
      <c r="F28" s="14"/>
      <c r="G28" s="14"/>
      <c r="H28" s="1530" t="s">
        <v>521</v>
      </c>
      <c r="I28" s="1531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386</v>
      </c>
      <c r="D29" s="13"/>
      <c r="E29" s="14"/>
      <c r="F29" s="14"/>
      <c r="G29" s="14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385</v>
      </c>
      <c r="D30" s="13"/>
      <c r="E30" s="14"/>
      <c r="F30" s="165" t="s">
        <v>510</v>
      </c>
      <c r="G30" s="165" t="s">
        <v>510</v>
      </c>
      <c r="H30" s="165" t="s">
        <v>510</v>
      </c>
      <c r="I30" s="165" t="s">
        <v>510</v>
      </c>
      <c r="J30" s="165" t="s">
        <v>510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74" t="s">
        <v>317</v>
      </c>
      <c r="C31" s="125" t="s">
        <v>384</v>
      </c>
      <c r="D31" s="13"/>
      <c r="E31" s="14"/>
      <c r="F31" s="173"/>
      <c r="G31" s="173"/>
      <c r="H31" s="173"/>
      <c r="I31" s="173"/>
      <c r="J31" s="173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3">E32+1</f>
        <v>23</v>
      </c>
      <c r="G32" s="37">
        <f t="shared" si="3"/>
        <v>24</v>
      </c>
      <c r="H32" s="37">
        <f t="shared" si="3"/>
        <v>25</v>
      </c>
      <c r="I32" s="37">
        <f t="shared" si="3"/>
        <v>26</v>
      </c>
      <c r="J32" s="37">
        <f t="shared" si="3"/>
        <v>27</v>
      </c>
      <c r="K32" s="23">
        <f t="shared" si="3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383</v>
      </c>
      <c r="D33" s="13"/>
      <c r="E33" s="24"/>
      <c r="F33" s="24"/>
      <c r="G33" s="167" t="s">
        <v>435</v>
      </c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391</v>
      </c>
      <c r="D35" s="13"/>
      <c r="E35" s="24"/>
      <c r="F35" s="1532" t="s">
        <v>514</v>
      </c>
      <c r="G35" s="1533"/>
      <c r="H35" s="1533"/>
      <c r="I35" s="1533"/>
      <c r="J35" s="153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385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383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386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385</v>
      </c>
      <c r="D39" s="13"/>
      <c r="E39" s="24"/>
      <c r="F39" s="165" t="s">
        <v>487</v>
      </c>
      <c r="G39" s="165" t="s">
        <v>487</v>
      </c>
      <c r="H39" s="165" t="s">
        <v>487</v>
      </c>
      <c r="I39" s="165" t="s">
        <v>487</v>
      </c>
      <c r="J39" s="165" t="s">
        <v>487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9.25" customHeight="1">
      <c r="A40" s="84"/>
      <c r="B40" s="174" t="s">
        <v>317</v>
      </c>
      <c r="C40" s="125" t="s">
        <v>384</v>
      </c>
      <c r="D40" s="13"/>
      <c r="E40" s="24"/>
      <c r="F40" s="32" t="s">
        <v>493</v>
      </c>
      <c r="G40" s="32"/>
      <c r="H40" s="32"/>
      <c r="I40" s="32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175">
        <v>1</v>
      </c>
      <c r="H41" s="27">
        <v>2</v>
      </c>
      <c r="I41" s="27">
        <v>3</v>
      </c>
      <c r="J41" s="27">
        <v>4</v>
      </c>
      <c r="K41" s="52">
        <v>5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383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76" t="s">
        <v>515</v>
      </c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391</v>
      </c>
      <c r="D44" s="13"/>
      <c r="E44" s="14"/>
      <c r="F44" s="1532" t="s">
        <v>514</v>
      </c>
      <c r="G44" s="1535"/>
      <c r="H44" s="1535"/>
      <c r="I44" s="1535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385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383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386</v>
      </c>
      <c r="D47" s="13"/>
      <c r="E47" s="14"/>
      <c r="F47" s="14"/>
      <c r="G47" s="14"/>
      <c r="H47" s="14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385</v>
      </c>
      <c r="D48" s="13"/>
      <c r="E48" s="14"/>
      <c r="F48" s="165" t="s">
        <v>487</v>
      </c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74" t="s">
        <v>317</v>
      </c>
      <c r="C49" s="125" t="s">
        <v>384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6">
    <mergeCell ref="B42:B45"/>
    <mergeCell ref="B46:B48"/>
    <mergeCell ref="M23:O23"/>
    <mergeCell ref="B24:B27"/>
    <mergeCell ref="B28:B30"/>
    <mergeCell ref="B33:B36"/>
    <mergeCell ref="B37:B39"/>
    <mergeCell ref="F35:J35"/>
    <mergeCell ref="F44:I44"/>
    <mergeCell ref="B15:B18"/>
    <mergeCell ref="H28:I28"/>
    <mergeCell ref="E3:G3"/>
    <mergeCell ref="H3:K3"/>
    <mergeCell ref="B6:B9"/>
    <mergeCell ref="B10:B12"/>
    <mergeCell ref="B19:B21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S58"/>
  <sheetViews>
    <sheetView topLeftCell="C16" zoomScale="85" zoomScaleNormal="8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43739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>
        <v>1</v>
      </c>
      <c r="H5" s="60">
        <f>G5+1</f>
        <v>2</v>
      </c>
      <c r="I5" s="132">
        <f>H5+1</f>
        <v>3</v>
      </c>
      <c r="J5" s="60">
        <f>I5+1</f>
        <v>4</v>
      </c>
      <c r="K5" s="132">
        <f>J5+1</f>
        <v>5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24" t="s">
        <v>524</v>
      </c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391</v>
      </c>
      <c r="D8" s="13"/>
      <c r="E8" s="14"/>
      <c r="F8" s="1527" t="s">
        <v>523</v>
      </c>
      <c r="G8" s="1536"/>
      <c r="H8" s="1536"/>
      <c r="I8" s="1536"/>
      <c r="J8" s="1529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385</v>
      </c>
      <c r="D9" s="13"/>
      <c r="E9" s="14"/>
      <c r="F9" s="14"/>
      <c r="G9" s="14"/>
      <c r="H9" s="177" t="s">
        <v>526</v>
      </c>
      <c r="I9" s="160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383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386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385</v>
      </c>
      <c r="D12" s="13"/>
      <c r="E12" s="14"/>
      <c r="F12" s="14"/>
      <c r="G12" s="165" t="s">
        <v>487</v>
      </c>
      <c r="H12" s="165" t="s">
        <v>487</v>
      </c>
      <c r="I12" s="142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57" t="s">
        <v>317</v>
      </c>
      <c r="C13" s="125" t="s">
        <v>384</v>
      </c>
      <c r="D13" s="13"/>
      <c r="E13" s="14"/>
      <c r="F13" s="156"/>
      <c r="G13" s="156" t="s">
        <v>516</v>
      </c>
      <c r="H13" s="176" t="s">
        <v>516</v>
      </c>
      <c r="I13" s="159" t="s">
        <v>368</v>
      </c>
      <c r="J13" s="153" t="s">
        <v>380</v>
      </c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6</v>
      </c>
      <c r="F14" s="65">
        <f t="shared" ref="F14:K14" si="0">E14+1</f>
        <v>7</v>
      </c>
      <c r="G14" s="65">
        <f t="shared" si="0"/>
        <v>8</v>
      </c>
      <c r="H14" s="23">
        <f t="shared" si="0"/>
        <v>9</v>
      </c>
      <c r="I14" s="65">
        <f t="shared" si="0"/>
        <v>10</v>
      </c>
      <c r="J14" s="65">
        <f t="shared" si="0"/>
        <v>11</v>
      </c>
      <c r="K14" s="23">
        <f t="shared" si="0"/>
        <v>12</v>
      </c>
    </row>
    <row r="15" spans="1:19" ht="24.6" customHeight="1">
      <c r="A15" s="84"/>
      <c r="B15" s="1467" t="s">
        <v>286</v>
      </c>
      <c r="C15" s="12" t="s">
        <v>383</v>
      </c>
      <c r="D15" s="13"/>
      <c r="E15" s="24"/>
      <c r="F15" s="24"/>
      <c r="G15" s="24"/>
      <c r="H15" s="24"/>
      <c r="I15" s="24"/>
      <c r="J15" s="12" t="s">
        <v>522</v>
      </c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391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385</v>
      </c>
      <c r="D18" s="13"/>
      <c r="E18" s="24"/>
      <c r="F18" s="177" t="s">
        <v>525</v>
      </c>
      <c r="G18" s="177" t="s">
        <v>525</v>
      </c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383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386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385</v>
      </c>
      <c r="D21" s="13"/>
      <c r="E21" s="24"/>
      <c r="F21" s="165" t="s">
        <v>487</v>
      </c>
      <c r="G21" s="165" t="s">
        <v>517</v>
      </c>
      <c r="H21" s="24"/>
      <c r="I21" s="165" t="s">
        <v>511</v>
      </c>
      <c r="J21" s="165" t="s">
        <v>511</v>
      </c>
      <c r="K21" s="24"/>
    </row>
    <row r="22" spans="1:19" ht="32.25" customHeight="1">
      <c r="A22" s="84"/>
      <c r="B22" s="157" t="s">
        <v>317</v>
      </c>
      <c r="C22" s="125" t="s">
        <v>384</v>
      </c>
      <c r="D22" s="13"/>
      <c r="E22" s="24"/>
      <c r="F22" s="32"/>
      <c r="G22" s="32"/>
      <c r="H22" s="159" t="s">
        <v>369</v>
      </c>
      <c r="I22" s="32"/>
      <c r="J22" s="32"/>
      <c r="K22" s="24"/>
    </row>
    <row r="23" spans="1:19" ht="24.6" customHeight="1">
      <c r="A23" s="84"/>
      <c r="B23" s="84"/>
      <c r="C23" s="5"/>
      <c r="D23" s="5"/>
      <c r="E23" s="26">
        <f>K14+1</f>
        <v>13</v>
      </c>
      <c r="F23" s="27">
        <f t="shared" ref="F23:K23" si="1">E23+1</f>
        <v>14</v>
      </c>
      <c r="G23" s="27">
        <f t="shared" si="1"/>
        <v>15</v>
      </c>
      <c r="H23" s="27">
        <f t="shared" si="1"/>
        <v>16</v>
      </c>
      <c r="I23" s="27">
        <f t="shared" si="1"/>
        <v>17</v>
      </c>
      <c r="J23" s="27">
        <f t="shared" si="1"/>
        <v>18</v>
      </c>
      <c r="K23" s="52">
        <f t="shared" si="1"/>
        <v>19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383</v>
      </c>
      <c r="D24" s="13"/>
      <c r="E24" s="14"/>
      <c r="F24" s="14"/>
      <c r="G24" s="14"/>
      <c r="H24" s="176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391</v>
      </c>
      <c r="D26" s="13"/>
      <c r="E26" s="14"/>
      <c r="F26" s="1527" t="s">
        <v>528</v>
      </c>
      <c r="G26" s="1536"/>
      <c r="H26" s="1536"/>
      <c r="I26" s="1536"/>
      <c r="J26" s="1529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385</v>
      </c>
      <c r="D27" s="13"/>
      <c r="E27" s="14"/>
      <c r="F27" s="14"/>
      <c r="G27" s="177" t="s">
        <v>529</v>
      </c>
      <c r="H27" s="177" t="s">
        <v>529</v>
      </c>
      <c r="I27" s="152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383</v>
      </c>
      <c r="D28" s="13"/>
      <c r="E28" s="14"/>
      <c r="F28" s="14"/>
      <c r="G28" s="14"/>
      <c r="H28" s="14"/>
      <c r="I28" s="152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386</v>
      </c>
      <c r="D29" s="13"/>
      <c r="E29" s="14"/>
      <c r="F29" s="14"/>
      <c r="G29" s="14"/>
      <c r="H29" s="14"/>
      <c r="I29" s="152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385</v>
      </c>
      <c r="D30" s="13"/>
      <c r="E30" s="14"/>
      <c r="F30" s="165" t="s">
        <v>511</v>
      </c>
      <c r="G30" s="165" t="s">
        <v>519</v>
      </c>
      <c r="H30" s="165" t="s">
        <v>519</v>
      </c>
      <c r="I30" s="165" t="s">
        <v>519</v>
      </c>
      <c r="J30" s="165" t="s">
        <v>519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57" t="s">
        <v>317</v>
      </c>
      <c r="C31" s="125" t="s">
        <v>384</v>
      </c>
      <c r="D31" s="13"/>
      <c r="E31" s="14"/>
      <c r="F31" s="14"/>
      <c r="G31" s="14"/>
      <c r="H31" s="125" t="s">
        <v>530</v>
      </c>
      <c r="I31" s="125" t="s">
        <v>530</v>
      </c>
      <c r="J31" s="125" t="s">
        <v>530</v>
      </c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20</v>
      </c>
      <c r="F32" s="37">
        <f t="shared" ref="F32:K32" si="2">E32+1</f>
        <v>21</v>
      </c>
      <c r="G32" s="37">
        <f t="shared" si="2"/>
        <v>22</v>
      </c>
      <c r="H32" s="37">
        <f t="shared" si="2"/>
        <v>23</v>
      </c>
      <c r="I32" s="37">
        <f t="shared" si="2"/>
        <v>24</v>
      </c>
      <c r="J32" s="37">
        <f t="shared" si="2"/>
        <v>25</v>
      </c>
      <c r="K32" s="23">
        <f t="shared" si="2"/>
        <v>26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383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391</v>
      </c>
      <c r="D35" s="13"/>
      <c r="E35" s="24"/>
      <c r="F35" s="1527" t="s">
        <v>527</v>
      </c>
      <c r="G35" s="1536"/>
      <c r="H35" s="1536"/>
      <c r="I35" s="1536"/>
      <c r="J35" s="1529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385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383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386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385</v>
      </c>
      <c r="D39" s="13"/>
      <c r="E39" s="24"/>
      <c r="F39" s="165" t="s">
        <v>519</v>
      </c>
      <c r="G39" s="165" t="s">
        <v>519</v>
      </c>
      <c r="H39" s="165" t="s">
        <v>519</v>
      </c>
      <c r="I39" s="165" t="s">
        <v>519</v>
      </c>
      <c r="J39" s="165" t="s">
        <v>519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57" t="s">
        <v>317</v>
      </c>
      <c r="C40" s="125" t="s">
        <v>384</v>
      </c>
      <c r="D40" s="13"/>
      <c r="E40" s="24"/>
      <c r="F40" s="125" t="s">
        <v>530</v>
      </c>
      <c r="G40" s="125" t="s">
        <v>530</v>
      </c>
      <c r="H40" s="125" t="s">
        <v>530</v>
      </c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27</v>
      </c>
      <c r="F41" s="27">
        <f>E41+1</f>
        <v>28</v>
      </c>
      <c r="G41" s="27">
        <f>F41+1</f>
        <v>29</v>
      </c>
      <c r="H41" s="27">
        <f>G41+1</f>
        <v>30</v>
      </c>
      <c r="I41" s="27">
        <f>H41+1</f>
        <v>31</v>
      </c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383</v>
      </c>
      <c r="D42" s="13"/>
      <c r="E42" s="14"/>
      <c r="F42" s="14"/>
      <c r="G42" s="14"/>
      <c r="H42" s="14"/>
      <c r="I42" s="167" t="s">
        <v>563</v>
      </c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66" t="s">
        <v>533</v>
      </c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391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385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383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386</v>
      </c>
      <c r="D47" s="13"/>
      <c r="E47" s="14"/>
      <c r="F47" s="14"/>
      <c r="G47" s="14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385</v>
      </c>
      <c r="D48" s="13"/>
      <c r="E48" s="14"/>
      <c r="F48" s="165" t="s">
        <v>520</v>
      </c>
      <c r="G48" s="178"/>
      <c r="H48" s="178"/>
      <c r="I48" s="178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57" t="s">
        <v>317</v>
      </c>
      <c r="C49" s="125" t="s">
        <v>384</v>
      </c>
      <c r="D49" s="13"/>
      <c r="E49" s="14"/>
      <c r="F49" s="172"/>
      <c r="G49" s="172"/>
      <c r="H49" s="161"/>
      <c r="I49" s="161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6">
    <mergeCell ref="E3:G3"/>
    <mergeCell ref="H3:K3"/>
    <mergeCell ref="B6:B9"/>
    <mergeCell ref="B10:B12"/>
    <mergeCell ref="B15:B18"/>
    <mergeCell ref="F8:J8"/>
    <mergeCell ref="B19:B21"/>
    <mergeCell ref="B46:B48"/>
    <mergeCell ref="M23:O23"/>
    <mergeCell ref="B24:B27"/>
    <mergeCell ref="B28:B30"/>
    <mergeCell ref="B33:B36"/>
    <mergeCell ref="B37:B39"/>
    <mergeCell ref="B42:B45"/>
    <mergeCell ref="F26:J26"/>
    <mergeCell ref="F35:J35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S66"/>
  <sheetViews>
    <sheetView topLeftCell="A31" zoomScale="55" zoomScaleNormal="5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43770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132"/>
      <c r="J5" s="60">
        <v>1</v>
      </c>
      <c r="K5" s="132">
        <f>J5+1</f>
        <v>2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391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385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383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386</v>
      </c>
      <c r="D11" s="13"/>
      <c r="E11" s="14"/>
      <c r="F11" s="14"/>
      <c r="G11" s="14"/>
      <c r="H11" s="14"/>
      <c r="I11" s="14"/>
      <c r="J11" s="124" t="s">
        <v>531</v>
      </c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385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57" t="s">
        <v>317</v>
      </c>
      <c r="C13" s="125" t="s">
        <v>384</v>
      </c>
      <c r="D13" s="13"/>
      <c r="E13" s="14"/>
      <c r="F13" s="156"/>
      <c r="G13" s="14"/>
      <c r="H13" s="14"/>
      <c r="I13" s="14"/>
      <c r="J13" s="161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23">
        <f t="shared" si="0"/>
        <v>9</v>
      </c>
    </row>
    <row r="15" spans="1:19" ht="24.6" customHeight="1">
      <c r="A15" s="84"/>
      <c r="B15" s="1467" t="s">
        <v>286</v>
      </c>
      <c r="C15" s="12" t="s">
        <v>383</v>
      </c>
      <c r="D15" s="13"/>
      <c r="E15" s="24"/>
      <c r="F15" s="196" t="s">
        <v>562</v>
      </c>
      <c r="G15" s="24"/>
      <c r="H15" s="196" t="s">
        <v>561</v>
      </c>
      <c r="I15" s="196" t="s">
        <v>560</v>
      </c>
      <c r="J15" s="24"/>
      <c r="K15" s="24"/>
    </row>
    <row r="16" spans="1:19" ht="24.6" customHeight="1">
      <c r="A16" s="84"/>
      <c r="B16" s="1467"/>
      <c r="C16" s="12" t="s">
        <v>579</v>
      </c>
      <c r="D16" s="13"/>
      <c r="E16" s="24"/>
      <c r="F16" s="24"/>
      <c r="G16" s="24"/>
      <c r="H16" s="1540" t="s">
        <v>562</v>
      </c>
      <c r="I16" s="1541"/>
      <c r="J16" s="189" t="s">
        <v>561</v>
      </c>
      <c r="K16" s="24"/>
    </row>
    <row r="17" spans="1:19" ht="24.6" customHeight="1">
      <c r="A17" s="84"/>
      <c r="B17" s="1467"/>
      <c r="C17" s="192" t="s">
        <v>576</v>
      </c>
      <c r="D17" s="13"/>
      <c r="E17" s="24"/>
      <c r="F17" s="24"/>
      <c r="G17" s="24"/>
      <c r="H17" s="1542" t="s">
        <v>562</v>
      </c>
      <c r="I17" s="1543"/>
      <c r="J17" s="1544"/>
      <c r="K17" s="24"/>
    </row>
    <row r="18" spans="1:19" ht="24.6" customHeight="1">
      <c r="A18" s="84"/>
      <c r="B18" s="1467"/>
      <c r="C18" s="124" t="s">
        <v>7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/>
      <c r="C19" s="163" t="s">
        <v>391</v>
      </c>
      <c r="D19" s="13"/>
      <c r="E19" s="24"/>
      <c r="F19" s="1537" t="s">
        <v>564</v>
      </c>
      <c r="G19" s="1538"/>
      <c r="H19" s="1538"/>
      <c r="I19" s="1538"/>
      <c r="J19" s="1539"/>
      <c r="K19" s="24"/>
    </row>
    <row r="20" spans="1:19" ht="24.6" customHeight="1">
      <c r="A20" s="84"/>
      <c r="B20" s="1467"/>
      <c r="C20" s="162" t="s">
        <v>385</v>
      </c>
      <c r="D20" s="13"/>
      <c r="E20" s="24"/>
      <c r="F20" s="24"/>
      <c r="G20" s="24"/>
      <c r="H20" s="24"/>
      <c r="I20" s="24"/>
      <c r="J20" s="24"/>
      <c r="K20" s="24"/>
    </row>
    <row r="21" spans="1:19" ht="24.6" customHeight="1">
      <c r="A21" s="84"/>
      <c r="B21" s="1467" t="s">
        <v>287</v>
      </c>
      <c r="C21" s="12" t="s">
        <v>383</v>
      </c>
      <c r="D21" s="13"/>
      <c r="E21" s="24"/>
      <c r="F21" s="24"/>
      <c r="G21" s="24"/>
      <c r="H21" s="24"/>
      <c r="I21" s="24"/>
      <c r="J21" s="24"/>
      <c r="K21" s="24"/>
    </row>
    <row r="22" spans="1:19" ht="24" customHeight="1">
      <c r="A22" s="84"/>
      <c r="B22" s="1467"/>
      <c r="C22" s="124" t="s">
        <v>386</v>
      </c>
      <c r="D22" s="13"/>
      <c r="E22" s="24"/>
      <c r="F22" s="124" t="s">
        <v>532</v>
      </c>
      <c r="G22" s="24"/>
      <c r="H22" s="24"/>
      <c r="I22" s="1522" t="s">
        <v>549</v>
      </c>
      <c r="J22" s="1545"/>
      <c r="K22" s="24"/>
    </row>
    <row r="23" spans="1:19" ht="24" customHeight="1">
      <c r="A23" s="84"/>
      <c r="B23" s="1467"/>
      <c r="C23" s="162" t="s">
        <v>385</v>
      </c>
      <c r="D23" s="13"/>
      <c r="E23" s="24"/>
      <c r="F23" s="24"/>
      <c r="G23" s="24"/>
      <c r="H23" s="24"/>
      <c r="I23" s="24"/>
      <c r="J23" s="24"/>
      <c r="K23" s="24"/>
    </row>
    <row r="24" spans="1:19" ht="24.6" customHeight="1">
      <c r="A24" s="84"/>
      <c r="B24" s="157" t="s">
        <v>317</v>
      </c>
      <c r="C24" s="125" t="s">
        <v>384</v>
      </c>
      <c r="D24" s="13"/>
      <c r="E24" s="24"/>
      <c r="F24" s="24"/>
      <c r="G24" s="24"/>
      <c r="H24" s="24"/>
      <c r="I24" s="24"/>
      <c r="J24" s="24"/>
      <c r="K24" s="24"/>
    </row>
    <row r="25" spans="1:19" ht="24.6" customHeight="1">
      <c r="A25" s="84"/>
      <c r="B25" s="84"/>
      <c r="C25" s="5"/>
      <c r="D25" s="5"/>
      <c r="E25" s="26">
        <f>K14+1</f>
        <v>10</v>
      </c>
      <c r="F25" s="27">
        <f t="shared" ref="F25:K25" si="1">E25+1</f>
        <v>11</v>
      </c>
      <c r="G25" s="27">
        <f t="shared" si="1"/>
        <v>12</v>
      </c>
      <c r="H25" s="27">
        <f t="shared" si="1"/>
        <v>13</v>
      </c>
      <c r="I25" s="27">
        <f t="shared" si="1"/>
        <v>14</v>
      </c>
      <c r="J25" s="27">
        <f t="shared" si="1"/>
        <v>15</v>
      </c>
      <c r="K25" s="52">
        <f t="shared" si="1"/>
        <v>16</v>
      </c>
    </row>
    <row r="26" spans="1:19" ht="24.6" customHeight="1">
      <c r="A26" s="84"/>
      <c r="B26" s="1467" t="s">
        <v>286</v>
      </c>
      <c r="C26" s="12" t="s">
        <v>383</v>
      </c>
      <c r="D26" s="13"/>
      <c r="E26" s="14"/>
      <c r="F26" s="196" t="s">
        <v>580</v>
      </c>
      <c r="G26" s="196" t="s">
        <v>581</v>
      </c>
      <c r="H26" s="14"/>
      <c r="I26" s="14"/>
      <c r="J26" s="14"/>
      <c r="K26" s="14"/>
    </row>
    <row r="27" spans="1:19" ht="24.6" customHeight="1">
      <c r="A27" s="84"/>
      <c r="B27" s="1467"/>
      <c r="C27" s="12" t="s">
        <v>579</v>
      </c>
      <c r="D27" s="13"/>
      <c r="E27" s="14"/>
      <c r="F27" s="190" t="s">
        <v>561</v>
      </c>
      <c r="G27" s="1540" t="s">
        <v>560</v>
      </c>
      <c r="H27" s="1541"/>
      <c r="I27" s="152"/>
      <c r="J27" s="14"/>
      <c r="K27" s="14"/>
    </row>
    <row r="28" spans="1:19" ht="24.6" customHeight="1">
      <c r="A28" s="84"/>
      <c r="B28" s="1467"/>
      <c r="C28" s="192" t="s">
        <v>576</v>
      </c>
      <c r="D28" s="13"/>
      <c r="E28" s="14"/>
      <c r="F28" s="1542" t="s">
        <v>561</v>
      </c>
      <c r="G28" s="1543"/>
      <c r="H28" s="1544"/>
      <c r="I28" s="191"/>
      <c r="J28" s="187"/>
      <c r="K28" s="14"/>
    </row>
    <row r="29" spans="1:19" ht="24.6" customHeight="1">
      <c r="A29" s="84"/>
      <c r="B29" s="1467"/>
      <c r="C29" s="124" t="s">
        <v>7</v>
      </c>
      <c r="D29" s="13"/>
      <c r="E29" s="14"/>
      <c r="F29" s="14"/>
      <c r="G29" s="14"/>
      <c r="H29" s="14"/>
      <c r="I29" s="124" t="s">
        <v>547</v>
      </c>
      <c r="J29" s="124" t="s">
        <v>550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3" t="s">
        <v>391</v>
      </c>
      <c r="D30" s="13"/>
      <c r="E30" s="14"/>
      <c r="F30" s="1537" t="s">
        <v>564</v>
      </c>
      <c r="G30" s="1538"/>
      <c r="H30" s="1538"/>
      <c r="I30" s="1538"/>
      <c r="J30" s="1539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162" t="s">
        <v>385</v>
      </c>
      <c r="D31" s="13"/>
      <c r="E31" s="14"/>
      <c r="F31" s="14"/>
      <c r="G31" s="14"/>
      <c r="H31" s="14"/>
      <c r="I31" s="152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 t="s">
        <v>287</v>
      </c>
      <c r="C32" s="12" t="s">
        <v>383</v>
      </c>
      <c r="D32" s="13"/>
      <c r="E32" s="14"/>
      <c r="F32" s="14"/>
      <c r="G32" s="14"/>
      <c r="H32" s="14"/>
      <c r="I32" s="152"/>
      <c r="J32" s="14"/>
      <c r="K32" s="14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124" t="s">
        <v>386</v>
      </c>
      <c r="D33" s="13"/>
      <c r="E33" s="14"/>
      <c r="F33" s="14"/>
      <c r="G33" s="14"/>
      <c r="H33" s="14"/>
      <c r="I33" s="152"/>
      <c r="J33" s="14"/>
      <c r="K33" s="1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62" t="s">
        <v>385</v>
      </c>
      <c r="D34" s="13"/>
      <c r="E34" s="14"/>
      <c r="F34" s="14"/>
      <c r="G34" s="14"/>
      <c r="H34" s="14"/>
      <c r="I34" s="152"/>
      <c r="J34" s="14"/>
      <c r="K34" s="1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57" t="s">
        <v>317</v>
      </c>
      <c r="C35" s="125" t="s">
        <v>384</v>
      </c>
      <c r="D35" s="13"/>
      <c r="E35" s="14"/>
      <c r="F35" s="156"/>
      <c r="G35" s="156"/>
      <c r="H35" s="172"/>
      <c r="I35" s="172"/>
      <c r="J35" s="172"/>
      <c r="K35" s="1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84"/>
      <c r="C36" s="5"/>
      <c r="D36" s="5"/>
      <c r="E36" s="23">
        <f>K25+1</f>
        <v>17</v>
      </c>
      <c r="F36" s="37">
        <f t="shared" ref="F36:K36" si="2">E36+1</f>
        <v>18</v>
      </c>
      <c r="G36" s="37">
        <f t="shared" si="2"/>
        <v>19</v>
      </c>
      <c r="H36" s="37">
        <f t="shared" si="2"/>
        <v>20</v>
      </c>
      <c r="I36" s="37">
        <f t="shared" si="2"/>
        <v>21</v>
      </c>
      <c r="J36" s="37">
        <f t="shared" si="2"/>
        <v>22</v>
      </c>
      <c r="K36" s="23">
        <f t="shared" si="2"/>
        <v>23</v>
      </c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 t="s">
        <v>286</v>
      </c>
      <c r="C37" s="12" t="s">
        <v>383</v>
      </c>
      <c r="D37" s="13"/>
      <c r="E37" s="24"/>
      <c r="F37" s="24"/>
      <c r="G37" s="167" t="s">
        <v>582</v>
      </c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" t="s">
        <v>579</v>
      </c>
      <c r="D38" s="13"/>
      <c r="E38" s="24"/>
      <c r="F38" s="189" t="s">
        <v>545</v>
      </c>
      <c r="G38" s="24"/>
      <c r="H38" s="24"/>
      <c r="I38" s="195" t="s">
        <v>545</v>
      </c>
      <c r="J38" s="189" t="s">
        <v>546</v>
      </c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92" t="s">
        <v>576</v>
      </c>
      <c r="D39" s="13"/>
      <c r="E39" s="24"/>
      <c r="F39" s="194" t="s">
        <v>560</v>
      </c>
      <c r="G39" s="188"/>
      <c r="H39" s="188"/>
      <c r="I39" s="1542" t="s">
        <v>560</v>
      </c>
      <c r="J39" s="154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124" t="s">
        <v>7</v>
      </c>
      <c r="D40" s="13"/>
      <c r="E40" s="24"/>
      <c r="F40" s="24"/>
      <c r="G40" s="124" t="s">
        <v>569</v>
      </c>
      <c r="H40" s="124" t="s">
        <v>583</v>
      </c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163" t="s">
        <v>391</v>
      </c>
      <c r="D41" s="13"/>
      <c r="E41" s="24"/>
      <c r="F41" s="1527" t="s">
        <v>534</v>
      </c>
      <c r="G41" s="1536"/>
      <c r="H41" s="1536"/>
      <c r="I41" s="1536"/>
      <c r="J41" s="1529"/>
      <c r="K41" s="24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162" t="s">
        <v>385</v>
      </c>
      <c r="D42" s="13"/>
      <c r="E42" s="24"/>
      <c r="F42" s="24"/>
      <c r="G42" s="24"/>
      <c r="H42" s="24"/>
      <c r="I42" s="24"/>
      <c r="J42" s="24"/>
      <c r="K42" s="24"/>
      <c r="L42" s="84"/>
      <c r="M42" s="84"/>
      <c r="N42" s="84"/>
      <c r="O42" s="84"/>
      <c r="P42" s="84"/>
      <c r="Q42" s="84"/>
      <c r="R42" s="84"/>
      <c r="S42" s="84"/>
    </row>
    <row r="43" spans="1:19" ht="24" customHeight="1">
      <c r="A43" s="84"/>
      <c r="B43" s="1467" t="s">
        <v>287</v>
      </c>
      <c r="C43" s="12" t="s">
        <v>383</v>
      </c>
      <c r="D43" s="13"/>
      <c r="E43" s="24"/>
      <c r="F43" s="1506" t="s">
        <v>619</v>
      </c>
      <c r="G43" s="1507"/>
      <c r="H43" s="24"/>
      <c r="I43" s="1506" t="s">
        <v>620</v>
      </c>
      <c r="J43" s="1507"/>
      <c r="K43" s="2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24" t="s">
        <v>386</v>
      </c>
      <c r="D44" s="13"/>
      <c r="E44" s="24"/>
      <c r="F44" s="24"/>
      <c r="G44" s="24"/>
      <c r="H44" s="24"/>
      <c r="I44" s="24"/>
      <c r="J44" s="24"/>
      <c r="K44" s="2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385</v>
      </c>
      <c r="D45" s="13"/>
      <c r="E45" s="24"/>
      <c r="F45" s="165" t="s">
        <v>621</v>
      </c>
      <c r="G45" s="165" t="s">
        <v>621</v>
      </c>
      <c r="H45" s="165" t="s">
        <v>621</v>
      </c>
      <c r="I45" s="165" t="s">
        <v>621</v>
      </c>
      <c r="J45" s="165" t="s">
        <v>621</v>
      </c>
      <c r="K45" s="2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57" t="s">
        <v>317</v>
      </c>
      <c r="C46" s="125" t="s">
        <v>384</v>
      </c>
      <c r="D46" s="13"/>
      <c r="E46" s="24"/>
      <c r="F46" s="32"/>
      <c r="G46" s="32"/>
      <c r="H46" s="24"/>
      <c r="I46" s="24"/>
      <c r="J46" s="24"/>
      <c r="K46" s="2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84"/>
      <c r="C47" s="30"/>
      <c r="D47" s="13"/>
      <c r="E47" s="31">
        <f>K36+1</f>
        <v>24</v>
      </c>
      <c r="F47" s="27">
        <f t="shared" ref="F47:K47" si="3">E47+1</f>
        <v>25</v>
      </c>
      <c r="G47" s="27">
        <f t="shared" si="3"/>
        <v>26</v>
      </c>
      <c r="H47" s="27">
        <f t="shared" si="3"/>
        <v>27</v>
      </c>
      <c r="I47" s="27">
        <f t="shared" si="3"/>
        <v>28</v>
      </c>
      <c r="J47" s="27">
        <f t="shared" si="3"/>
        <v>29</v>
      </c>
      <c r="K47" s="52">
        <f t="shared" si="3"/>
        <v>30</v>
      </c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 t="s">
        <v>286</v>
      </c>
      <c r="C48" s="12" t="s">
        <v>383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12" t="s">
        <v>579</v>
      </c>
      <c r="D49" s="13"/>
      <c r="E49" s="14"/>
      <c r="F49" s="195" t="s">
        <v>546</v>
      </c>
      <c r="G49" s="1540" t="s">
        <v>551</v>
      </c>
      <c r="H49" s="1541"/>
      <c r="I49" s="14"/>
      <c r="J49" s="187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192" t="s">
        <v>576</v>
      </c>
      <c r="D50" s="13"/>
      <c r="E50" s="14"/>
      <c r="F50" s="1542" t="s">
        <v>545</v>
      </c>
      <c r="G50" s="1543"/>
      <c r="H50" s="1544"/>
      <c r="I50" s="194" t="s">
        <v>546</v>
      </c>
      <c r="J50" s="187"/>
      <c r="K50" s="1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124" t="s">
        <v>7</v>
      </c>
      <c r="D51" s="13"/>
      <c r="E51" s="14"/>
      <c r="F51" s="14"/>
      <c r="G51" s="14"/>
      <c r="H51" s="14"/>
      <c r="I51" s="14"/>
      <c r="J51" s="124" t="s">
        <v>548</v>
      </c>
      <c r="K51" s="1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63" t="s">
        <v>391</v>
      </c>
      <c r="D52" s="13"/>
      <c r="E52" s="14"/>
      <c r="F52" s="1527" t="s">
        <v>534</v>
      </c>
      <c r="G52" s="1536"/>
      <c r="H52" s="1536"/>
      <c r="I52" s="1536"/>
      <c r="J52" s="1529"/>
      <c r="K52" s="1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162" t="s">
        <v>385</v>
      </c>
      <c r="D53" s="13"/>
      <c r="E53" s="14"/>
      <c r="F53" s="14"/>
      <c r="G53" s="14"/>
      <c r="H53" s="14"/>
      <c r="I53" s="14"/>
      <c r="J53" s="14"/>
      <c r="K53" s="14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1467" t="s">
        <v>287</v>
      </c>
      <c r="C54" s="12" t="s">
        <v>383</v>
      </c>
      <c r="D54" s="13"/>
      <c r="E54" s="14"/>
      <c r="F54" s="14"/>
      <c r="G54" s="14"/>
      <c r="H54" s="14"/>
      <c r="I54" s="1506" t="s">
        <v>537</v>
      </c>
      <c r="J54" s="1507"/>
      <c r="K54" s="14"/>
      <c r="L54" s="84"/>
      <c r="M54" s="84"/>
      <c r="N54" s="84"/>
      <c r="O54" s="84"/>
      <c r="P54" s="84"/>
      <c r="Q54" s="84"/>
      <c r="R54" s="84"/>
      <c r="S54" s="84"/>
    </row>
    <row r="55" spans="1:19" ht="24.6" customHeight="1">
      <c r="A55" s="84"/>
      <c r="B55" s="1467"/>
      <c r="C55" s="124" t="s">
        <v>386</v>
      </c>
      <c r="D55" s="13"/>
      <c r="E55" s="14"/>
      <c r="F55" s="124" t="s">
        <v>599</v>
      </c>
      <c r="G55" s="14"/>
      <c r="H55" s="14"/>
      <c r="I55" s="152"/>
      <c r="J55" s="14"/>
      <c r="K55" s="14"/>
      <c r="L55" s="84"/>
      <c r="M55" s="84"/>
      <c r="N55" s="84"/>
      <c r="O55" s="84"/>
      <c r="P55" s="84"/>
      <c r="Q55" s="84"/>
      <c r="R55" s="84"/>
      <c r="S55" s="84"/>
    </row>
    <row r="56" spans="1:19" ht="24.6" customHeight="1">
      <c r="A56" s="84"/>
      <c r="B56" s="1467"/>
      <c r="C56" s="162" t="s">
        <v>385</v>
      </c>
      <c r="D56" s="13"/>
      <c r="E56" s="14"/>
      <c r="F56" s="165" t="s">
        <v>621</v>
      </c>
      <c r="G56" s="165" t="s">
        <v>621</v>
      </c>
      <c r="H56" s="165" t="s">
        <v>621</v>
      </c>
      <c r="I56" s="165" t="s">
        <v>621</v>
      </c>
      <c r="J56" s="165" t="s">
        <v>621</v>
      </c>
      <c r="K56" s="165" t="s">
        <v>621</v>
      </c>
      <c r="L56" s="84"/>
      <c r="M56" s="84"/>
      <c r="N56" s="84"/>
      <c r="O56" s="84"/>
      <c r="P56" s="84"/>
      <c r="Q56" s="84"/>
      <c r="R56" s="84"/>
      <c r="S56" s="84"/>
    </row>
    <row r="57" spans="1:19" ht="24.6" customHeight="1">
      <c r="A57" s="84"/>
      <c r="B57" s="157" t="s">
        <v>317</v>
      </c>
      <c r="C57" s="125" t="s">
        <v>384</v>
      </c>
      <c r="D57" s="13"/>
      <c r="E57" s="14"/>
      <c r="F57" s="14"/>
      <c r="G57" s="14"/>
      <c r="H57" s="14"/>
      <c r="I57" s="14"/>
      <c r="J57" s="172"/>
      <c r="K57" s="14"/>
      <c r="L57" s="84"/>
      <c r="M57" s="84"/>
      <c r="N57" s="84"/>
      <c r="O57" s="84"/>
      <c r="P57" s="84"/>
      <c r="Q57" s="84"/>
      <c r="R57" s="84"/>
      <c r="S57" s="84"/>
    </row>
    <row r="60" spans="1:19">
      <c r="I60" s="90"/>
      <c r="J60" s="90"/>
    </row>
    <row r="61" spans="1:19">
      <c r="H61" s="90"/>
    </row>
    <row r="62" spans="1:19">
      <c r="H62" s="90"/>
    </row>
    <row r="63" spans="1:19" s="4" customFormat="1">
      <c r="H63" s="90"/>
    </row>
    <row r="64" spans="1:19" s="4" customFormat="1">
      <c r="H64" s="90"/>
    </row>
    <row r="65" spans="8:8" s="4" customFormat="1">
      <c r="H65" s="90"/>
    </row>
    <row r="66" spans="8:8" s="4" customFormat="1">
      <c r="H66" s="90"/>
    </row>
  </sheetData>
  <mergeCells count="27">
    <mergeCell ref="G27:H27"/>
    <mergeCell ref="H16:I16"/>
    <mergeCell ref="H17:J17"/>
    <mergeCell ref="F28:H28"/>
    <mergeCell ref="F41:J41"/>
    <mergeCell ref="B21:B23"/>
    <mergeCell ref="E3:G3"/>
    <mergeCell ref="H3:K3"/>
    <mergeCell ref="B6:B9"/>
    <mergeCell ref="B10:B12"/>
    <mergeCell ref="B15:B20"/>
    <mergeCell ref="F19:J19"/>
    <mergeCell ref="I22:J22"/>
    <mergeCell ref="B54:B56"/>
    <mergeCell ref="B26:B31"/>
    <mergeCell ref="B32:B34"/>
    <mergeCell ref="B37:B42"/>
    <mergeCell ref="B43:B45"/>
    <mergeCell ref="B48:B53"/>
    <mergeCell ref="F52:J52"/>
    <mergeCell ref="I43:J43"/>
    <mergeCell ref="I54:J54"/>
    <mergeCell ref="F30:J30"/>
    <mergeCell ref="F43:G43"/>
    <mergeCell ref="G49:H49"/>
    <mergeCell ref="F50:H50"/>
    <mergeCell ref="I39:J39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S63"/>
  <sheetViews>
    <sheetView topLeftCell="A31" zoomScale="70" zoomScaleNormal="7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43800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f>G5+1</f>
        <v>4</v>
      </c>
      <c r="I5" s="60">
        <f>H5+1</f>
        <v>5</v>
      </c>
      <c r="J5" s="60">
        <f>I5+1</f>
        <v>6</v>
      </c>
      <c r="K5" s="132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99" t="s">
        <v>482</v>
      </c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92" t="s">
        <v>576</v>
      </c>
      <c r="D7" s="13"/>
      <c r="E7" s="14"/>
      <c r="F7" s="198" t="s">
        <v>551</v>
      </c>
      <c r="G7" s="198" t="s">
        <v>551</v>
      </c>
      <c r="H7" s="187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24" t="s">
        <v>7</v>
      </c>
      <c r="D8" s="13"/>
      <c r="E8" s="14"/>
      <c r="F8" s="124" t="s">
        <v>598</v>
      </c>
      <c r="G8" s="124" t="s">
        <v>548</v>
      </c>
      <c r="H8" s="124" t="s">
        <v>566</v>
      </c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3" t="s">
        <v>389</v>
      </c>
      <c r="D9" s="13"/>
      <c r="E9" s="14"/>
      <c r="F9" s="1527" t="s">
        <v>535</v>
      </c>
      <c r="G9" s="1536"/>
      <c r="H9" s="1536"/>
      <c r="I9" s="1536"/>
      <c r="J9" s="1529"/>
      <c r="K9" s="14"/>
      <c r="L9" s="4"/>
      <c r="M9" s="4"/>
      <c r="N9" s="4"/>
      <c r="R9" s="11"/>
      <c r="S9" s="4"/>
    </row>
    <row r="10" spans="1:19" s="5" customFormat="1" ht="24.6" customHeight="1">
      <c r="B10" s="1467"/>
      <c r="C10" s="162" t="s">
        <v>318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 t="s">
        <v>287</v>
      </c>
      <c r="C11" s="12" t="s">
        <v>383</v>
      </c>
      <c r="D11" s="13"/>
      <c r="E11" s="14"/>
      <c r="F11" s="1506" t="s">
        <v>617</v>
      </c>
      <c r="G11" s="1507"/>
      <c r="H11" s="14"/>
      <c r="I11" s="1506" t="s">
        <v>618</v>
      </c>
      <c r="J11" s="1507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24" t="s">
        <v>292</v>
      </c>
      <c r="D12" s="13"/>
      <c r="E12" s="14"/>
      <c r="F12" s="14"/>
      <c r="G12" s="14"/>
      <c r="H12" s="166" t="s">
        <v>601</v>
      </c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467"/>
      <c r="C13" s="162" t="s">
        <v>318</v>
      </c>
      <c r="D13" s="13"/>
      <c r="E13" s="162" t="s">
        <v>587</v>
      </c>
      <c r="F13" s="162" t="s">
        <v>588</v>
      </c>
      <c r="G13" s="162" t="s">
        <v>588</v>
      </c>
      <c r="H13" s="162" t="s">
        <v>588</v>
      </c>
      <c r="I13" s="162" t="s">
        <v>588</v>
      </c>
      <c r="J13" s="162" t="s">
        <v>588</v>
      </c>
      <c r="K13" s="14"/>
      <c r="L13" s="4"/>
      <c r="M13" s="4"/>
      <c r="N13" s="4"/>
      <c r="R13" s="11"/>
      <c r="S13" s="4"/>
    </row>
    <row r="14" spans="1:19" s="5" customFormat="1" ht="24.6" customHeight="1">
      <c r="B14" s="200" t="s">
        <v>317</v>
      </c>
      <c r="C14" s="125" t="s">
        <v>228</v>
      </c>
      <c r="D14" s="13"/>
      <c r="E14" s="14"/>
      <c r="F14" s="199"/>
      <c r="G14" s="199"/>
      <c r="H14" s="199"/>
      <c r="I14" s="142"/>
      <c r="J14" s="199"/>
      <c r="K14" s="14"/>
      <c r="L14" s="4"/>
      <c r="M14" s="4"/>
      <c r="N14" s="4"/>
      <c r="R14" s="11"/>
      <c r="S14" s="4"/>
    </row>
    <row r="15" spans="1:19" ht="24.6" customHeight="1">
      <c r="A15" s="84"/>
      <c r="B15" s="84"/>
      <c r="C15" s="5"/>
      <c r="D15" s="5"/>
      <c r="E15" s="23">
        <f>K5+1</f>
        <v>8</v>
      </c>
      <c r="F15" s="65">
        <f t="shared" ref="F15:K15" si="0">E15+1</f>
        <v>9</v>
      </c>
      <c r="G15" s="65">
        <f t="shared" si="0"/>
        <v>10</v>
      </c>
      <c r="H15" s="65">
        <f t="shared" si="0"/>
        <v>11</v>
      </c>
      <c r="I15" s="65">
        <f t="shared" si="0"/>
        <v>12</v>
      </c>
      <c r="J15" s="65">
        <f t="shared" si="0"/>
        <v>13</v>
      </c>
      <c r="K15" s="23">
        <f t="shared" si="0"/>
        <v>14</v>
      </c>
    </row>
    <row r="16" spans="1:19" ht="24.6" customHeight="1">
      <c r="A16" s="84"/>
      <c r="B16" s="1467" t="s">
        <v>286</v>
      </c>
      <c r="C16" s="12" t="s">
        <v>383</v>
      </c>
      <c r="D16" s="13"/>
      <c r="E16" s="24"/>
      <c r="F16" s="24"/>
      <c r="G16" s="167" t="s">
        <v>692</v>
      </c>
      <c r="H16" s="24"/>
      <c r="I16" s="24"/>
      <c r="J16" s="196" t="s">
        <v>656</v>
      </c>
      <c r="K16" s="32" t="s">
        <v>604</v>
      </c>
    </row>
    <row r="17" spans="1:19" ht="24.6" customHeight="1">
      <c r="A17" s="84"/>
      <c r="B17" s="1467"/>
      <c r="C17" s="192" t="s">
        <v>576</v>
      </c>
      <c r="D17" s="13"/>
      <c r="E17" s="24"/>
      <c r="F17" s="24"/>
      <c r="G17" s="24"/>
      <c r="H17" s="1542" t="s">
        <v>555</v>
      </c>
      <c r="I17" s="1543"/>
      <c r="J17" s="1544"/>
      <c r="K17" s="24"/>
    </row>
    <row r="18" spans="1:19" ht="24" customHeight="1">
      <c r="A18" s="84"/>
      <c r="B18" s="1467"/>
      <c r="C18" s="124" t="s">
        <v>7</v>
      </c>
      <c r="D18" s="13"/>
      <c r="E18" s="24"/>
      <c r="F18" s="24"/>
      <c r="G18" s="24"/>
      <c r="H18" s="24"/>
      <c r="I18" s="24"/>
      <c r="J18" s="32" t="s">
        <v>552</v>
      </c>
      <c r="K18" s="24"/>
    </row>
    <row r="19" spans="1:19" ht="24.6" customHeight="1">
      <c r="A19" s="84"/>
      <c r="B19" s="1467"/>
      <c r="C19" s="163" t="s">
        <v>389</v>
      </c>
      <c r="D19" s="13"/>
      <c r="E19" s="24"/>
      <c r="F19" s="1527" t="s">
        <v>535</v>
      </c>
      <c r="G19" s="1536"/>
      <c r="H19" s="1536"/>
      <c r="I19" s="1536"/>
      <c r="J19" s="1529"/>
      <c r="K19" s="24"/>
    </row>
    <row r="20" spans="1:19" ht="24.6" customHeight="1">
      <c r="A20" s="84"/>
      <c r="B20" s="1467"/>
      <c r="C20" s="162" t="s">
        <v>318</v>
      </c>
      <c r="D20" s="13"/>
      <c r="E20" s="24"/>
      <c r="F20" s="24"/>
      <c r="G20" s="24"/>
      <c r="H20" s="24"/>
      <c r="I20" s="24"/>
      <c r="J20" s="24"/>
      <c r="K20" s="24"/>
    </row>
    <row r="21" spans="1:19" ht="24.6" customHeight="1">
      <c r="A21" s="84"/>
      <c r="B21" s="1467" t="s">
        <v>287</v>
      </c>
      <c r="C21" s="12" t="s">
        <v>383</v>
      </c>
      <c r="D21" s="13"/>
      <c r="E21" s="24"/>
      <c r="F21" s="24"/>
      <c r="G21" s="24"/>
      <c r="H21" s="24"/>
      <c r="I21" s="24"/>
      <c r="J21" s="24"/>
      <c r="K21" s="211" t="s">
        <v>648</v>
      </c>
    </row>
    <row r="22" spans="1:19" ht="24" customHeight="1">
      <c r="A22" s="84"/>
      <c r="B22" s="1467"/>
      <c r="C22" s="124" t="s">
        <v>292</v>
      </c>
      <c r="D22" s="13"/>
      <c r="E22" s="24"/>
      <c r="F22" s="166" t="s">
        <v>600</v>
      </c>
      <c r="G22" s="1509" t="s">
        <v>627</v>
      </c>
      <c r="H22" s="1510"/>
      <c r="I22" s="24"/>
      <c r="J22" s="24"/>
      <c r="K22" s="24"/>
    </row>
    <row r="23" spans="1:19" ht="24" customHeight="1">
      <c r="A23" s="84"/>
      <c r="B23" s="1467"/>
      <c r="C23" s="162" t="s">
        <v>318</v>
      </c>
      <c r="D23" s="13"/>
      <c r="E23" s="24"/>
      <c r="F23" s="162" t="s">
        <v>588</v>
      </c>
      <c r="G23" s="162" t="s">
        <v>588</v>
      </c>
      <c r="H23" s="162" t="s">
        <v>588</v>
      </c>
      <c r="I23" s="162" t="s">
        <v>588</v>
      </c>
      <c r="J23" s="162" t="s">
        <v>622</v>
      </c>
      <c r="K23" s="24"/>
    </row>
    <row r="24" spans="1:19" ht="24.6" customHeight="1">
      <c r="A24" s="84"/>
      <c r="B24" s="200" t="s">
        <v>317</v>
      </c>
      <c r="C24" s="125" t="s">
        <v>228</v>
      </c>
      <c r="D24" s="13"/>
      <c r="E24" s="24"/>
      <c r="F24" s="24"/>
      <c r="G24" s="24"/>
      <c r="H24" s="24"/>
      <c r="I24" s="24"/>
      <c r="J24" s="24"/>
      <c r="K24" s="24"/>
    </row>
    <row r="25" spans="1:19" ht="24.6" customHeight="1">
      <c r="A25" s="84"/>
      <c r="B25" s="84"/>
      <c r="C25" s="5"/>
      <c r="D25" s="5"/>
      <c r="E25" s="26">
        <f>K15+1</f>
        <v>15</v>
      </c>
      <c r="F25" s="27">
        <f t="shared" ref="F25:K25" si="1">E25+1</f>
        <v>16</v>
      </c>
      <c r="G25" s="27">
        <f t="shared" si="1"/>
        <v>17</v>
      </c>
      <c r="H25" s="27">
        <f t="shared" si="1"/>
        <v>18</v>
      </c>
      <c r="I25" s="27">
        <f t="shared" si="1"/>
        <v>19</v>
      </c>
      <c r="J25" s="27">
        <f t="shared" si="1"/>
        <v>20</v>
      </c>
      <c r="K25" s="52">
        <f t="shared" si="1"/>
        <v>21</v>
      </c>
      <c r="M25" s="203"/>
      <c r="N25" s="203"/>
      <c r="O25" s="203"/>
    </row>
    <row r="26" spans="1:19" ht="24.6" customHeight="1">
      <c r="A26" s="84"/>
      <c r="B26" s="1467" t="s">
        <v>286</v>
      </c>
      <c r="C26" s="12" t="s">
        <v>383</v>
      </c>
      <c r="D26" s="13"/>
      <c r="E26" s="14"/>
      <c r="F26" s="196" t="s">
        <v>657</v>
      </c>
      <c r="G26" s="14"/>
      <c r="H26" s="196" t="s">
        <v>658</v>
      </c>
      <c r="I26" s="14"/>
      <c r="J26" s="14"/>
      <c r="K26" s="196" t="s">
        <v>659</v>
      </c>
    </row>
    <row r="27" spans="1:19" ht="24.6" customHeight="1">
      <c r="A27" s="84"/>
      <c r="B27" s="1467"/>
      <c r="C27" s="192" t="s">
        <v>576</v>
      </c>
      <c r="D27" s="13"/>
      <c r="E27" s="14"/>
      <c r="F27" s="1542" t="s">
        <v>556</v>
      </c>
      <c r="G27" s="1543"/>
      <c r="H27" s="1544"/>
      <c r="I27" s="1542" t="s">
        <v>577</v>
      </c>
      <c r="J27" s="1544"/>
      <c r="K27" s="14"/>
    </row>
    <row r="28" spans="1:19" ht="24.6" customHeight="1">
      <c r="A28" s="84"/>
      <c r="B28" s="1467"/>
      <c r="C28" s="124" t="s">
        <v>7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63" t="s">
        <v>389</v>
      </c>
      <c r="D29" s="13"/>
      <c r="E29" s="14"/>
      <c r="F29" s="1527" t="s">
        <v>554</v>
      </c>
      <c r="G29" s="1536"/>
      <c r="H29" s="1536"/>
      <c r="I29" s="1536"/>
      <c r="J29" s="1529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318</v>
      </c>
      <c r="D30" s="13"/>
      <c r="E30" s="14"/>
      <c r="F30" s="14"/>
      <c r="G30" s="14"/>
      <c r="H30" s="14"/>
      <c r="I30" s="152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 t="s">
        <v>287</v>
      </c>
      <c r="C31" s="12" t="s">
        <v>383</v>
      </c>
      <c r="D31" s="13"/>
      <c r="E31" s="211" t="s">
        <v>648</v>
      </c>
      <c r="F31" s="14"/>
      <c r="G31" s="1506" t="s">
        <v>649</v>
      </c>
      <c r="H31" s="1507"/>
      <c r="I31" s="152"/>
      <c r="J31" s="1506" t="s">
        <v>671</v>
      </c>
      <c r="K31" s="1507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124" t="s">
        <v>292</v>
      </c>
      <c r="D32" s="13"/>
      <c r="E32" s="201" t="s">
        <v>608</v>
      </c>
      <c r="F32" s="14"/>
      <c r="G32" s="14"/>
      <c r="H32" s="152"/>
      <c r="I32" s="209" t="s">
        <v>626</v>
      </c>
      <c r="J32" s="14"/>
      <c r="K32" s="14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162" t="s">
        <v>318</v>
      </c>
      <c r="D33" s="13"/>
      <c r="E33" s="14"/>
      <c r="F33" s="165" t="s">
        <v>623</v>
      </c>
      <c r="G33" s="165" t="s">
        <v>623</v>
      </c>
      <c r="H33" s="165" t="s">
        <v>623</v>
      </c>
      <c r="I33" s="165" t="s">
        <v>623</v>
      </c>
      <c r="J33" s="165" t="s">
        <v>623</v>
      </c>
      <c r="K33" s="1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200" t="s">
        <v>317</v>
      </c>
      <c r="C34" s="125" t="s">
        <v>228</v>
      </c>
      <c r="D34" s="13"/>
      <c r="E34" s="14"/>
      <c r="F34" s="14"/>
      <c r="G34" s="14"/>
      <c r="H34" s="14"/>
      <c r="I34" s="14"/>
      <c r="J34" s="14"/>
      <c r="K34" s="1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3">
        <f>K25+1</f>
        <v>22</v>
      </c>
      <c r="F35" s="37">
        <f t="shared" ref="F35:K35" si="2">E35+1</f>
        <v>23</v>
      </c>
      <c r="G35" s="37">
        <f t="shared" si="2"/>
        <v>24</v>
      </c>
      <c r="H35" s="37">
        <f t="shared" si="2"/>
        <v>25</v>
      </c>
      <c r="I35" s="37">
        <f t="shared" si="2"/>
        <v>26</v>
      </c>
      <c r="J35" s="37">
        <f t="shared" si="2"/>
        <v>27</v>
      </c>
      <c r="K35" s="23">
        <f t="shared" si="2"/>
        <v>28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286</v>
      </c>
      <c r="C36" s="12" t="s">
        <v>383</v>
      </c>
      <c r="D36" s="13"/>
      <c r="E36" s="196" t="s">
        <v>660</v>
      </c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92" t="s">
        <v>576</v>
      </c>
      <c r="D37" s="13"/>
      <c r="E37" s="24"/>
      <c r="F37" s="193" t="s">
        <v>577</v>
      </c>
      <c r="G37" s="193" t="s">
        <v>573</v>
      </c>
      <c r="H37" s="24"/>
      <c r="I37" s="1546" t="s">
        <v>573</v>
      </c>
      <c r="J37" s="154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7</v>
      </c>
      <c r="D38" s="13"/>
      <c r="E38" s="24"/>
      <c r="F38" s="199" t="s">
        <v>553</v>
      </c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3" t="s">
        <v>389</v>
      </c>
      <c r="D39" s="13"/>
      <c r="E39" s="24"/>
      <c r="F39" s="1527" t="s">
        <v>554</v>
      </c>
      <c r="G39" s="1536"/>
      <c r="H39" s="1536"/>
      <c r="I39" s="1536"/>
      <c r="J39" s="1529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162" t="s">
        <v>318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" customHeight="1">
      <c r="A41" s="84"/>
      <c r="B41" s="1467" t="s">
        <v>287</v>
      </c>
      <c r="C41" s="12" t="s">
        <v>383</v>
      </c>
      <c r="D41" s="13"/>
      <c r="E41" s="24"/>
      <c r="F41" s="1506" t="s">
        <v>662</v>
      </c>
      <c r="G41" s="1507"/>
      <c r="H41" s="24"/>
      <c r="I41" s="24"/>
      <c r="J41" s="24"/>
      <c r="K41" s="24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124" t="s">
        <v>292</v>
      </c>
      <c r="D42" s="13"/>
      <c r="E42" s="24"/>
      <c r="F42" s="24"/>
      <c r="G42" s="24"/>
      <c r="H42" s="24"/>
      <c r="I42" s="1509" t="s">
        <v>628</v>
      </c>
      <c r="J42" s="1510"/>
      <c r="K42" s="2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62" t="s">
        <v>318</v>
      </c>
      <c r="D43" s="13"/>
      <c r="E43" s="24"/>
      <c r="F43" s="165" t="s">
        <v>623</v>
      </c>
      <c r="G43" s="165" t="s">
        <v>623</v>
      </c>
      <c r="H43" s="24"/>
      <c r="I43" s="165" t="s">
        <v>623</v>
      </c>
      <c r="J43" s="165" t="s">
        <v>624</v>
      </c>
      <c r="K43" s="2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200" t="s">
        <v>317</v>
      </c>
      <c r="C44" s="125" t="s">
        <v>228</v>
      </c>
      <c r="D44" s="13"/>
      <c r="E44" s="24"/>
      <c r="F44" s="24"/>
      <c r="G44" s="24"/>
      <c r="H44" s="159" t="s">
        <v>370</v>
      </c>
      <c r="I44" s="24"/>
      <c r="J44" s="24"/>
      <c r="K44" s="2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30"/>
      <c r="D45" s="13"/>
      <c r="E45" s="31">
        <f>K35+1</f>
        <v>29</v>
      </c>
      <c r="F45" s="27">
        <f>E45+1</f>
        <v>30</v>
      </c>
      <c r="G45" s="27">
        <f>F45+1</f>
        <v>31</v>
      </c>
      <c r="H45" s="27"/>
      <c r="I45" s="27"/>
      <c r="J45" s="27"/>
      <c r="K45" s="52"/>
      <c r="L45" s="84"/>
      <c r="M45" s="84"/>
      <c r="N45" s="84">
        <v>1</v>
      </c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12" t="s">
        <v>383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92" t="s">
        <v>596</v>
      </c>
      <c r="D47" s="13"/>
      <c r="E47" s="14"/>
      <c r="F47" s="1542" t="s">
        <v>559</v>
      </c>
      <c r="G47" s="1543"/>
      <c r="H47" s="1544"/>
      <c r="I47" s="1542" t="s">
        <v>571</v>
      </c>
      <c r="J47" s="154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24" t="s">
        <v>7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163" t="s">
        <v>389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162" t="s">
        <v>318</v>
      </c>
      <c r="D50" s="13"/>
      <c r="E50" s="14"/>
      <c r="F50" s="14"/>
      <c r="G50" s="14"/>
      <c r="H50" s="14"/>
      <c r="I50" s="14"/>
      <c r="J50" s="14"/>
      <c r="K50" s="1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 t="s">
        <v>287</v>
      </c>
      <c r="C51" s="12" t="s">
        <v>383</v>
      </c>
      <c r="D51" s="13"/>
      <c r="E51" s="14"/>
      <c r="F51" s="14"/>
      <c r="G51" s="14"/>
      <c r="H51" s="14"/>
      <c r="I51" s="14"/>
      <c r="J51" s="14"/>
      <c r="K51" s="1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24" t="s">
        <v>292</v>
      </c>
      <c r="D52" s="13"/>
      <c r="E52" s="14"/>
      <c r="F52" s="1509" t="s">
        <v>663</v>
      </c>
      <c r="G52" s="1510"/>
      <c r="H52" s="14"/>
      <c r="I52" s="152"/>
      <c r="J52" s="14"/>
      <c r="K52" s="1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162" t="s">
        <v>318</v>
      </c>
      <c r="D53" s="13"/>
      <c r="E53" s="14"/>
      <c r="F53" s="165" t="s">
        <v>618</v>
      </c>
      <c r="G53" s="165" t="s">
        <v>618</v>
      </c>
      <c r="H53" s="14"/>
      <c r="I53" s="14"/>
      <c r="J53" s="14"/>
      <c r="K53" s="14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200" t="s">
        <v>317</v>
      </c>
      <c r="C54" s="125" t="s">
        <v>228</v>
      </c>
      <c r="D54" s="13"/>
      <c r="E54" s="14"/>
      <c r="F54" s="1547" t="s">
        <v>336</v>
      </c>
      <c r="G54" s="1548"/>
      <c r="H54" s="1548"/>
      <c r="I54" s="1548"/>
      <c r="J54" s="1549"/>
      <c r="K54" s="14"/>
      <c r="L54" s="84"/>
      <c r="M54" s="84"/>
      <c r="N54" s="84"/>
      <c r="O54" s="84"/>
      <c r="P54" s="84"/>
      <c r="Q54" s="84"/>
      <c r="R54" s="84"/>
      <c r="S54" s="84"/>
    </row>
    <row r="57" spans="1:19">
      <c r="I57" s="90"/>
      <c r="J57" s="90"/>
    </row>
    <row r="58" spans="1:19">
      <c r="H58" s="90"/>
    </row>
    <row r="59" spans="1:19">
      <c r="H59" s="90"/>
    </row>
    <row r="60" spans="1:19" s="4" customFormat="1">
      <c r="H60" s="90"/>
    </row>
    <row r="61" spans="1:19" s="4" customFormat="1">
      <c r="H61" s="90"/>
    </row>
    <row r="62" spans="1:19" s="4" customFormat="1">
      <c r="H62" s="90"/>
    </row>
    <row r="63" spans="1:19" s="4" customFormat="1">
      <c r="H63" s="90"/>
    </row>
  </sheetData>
  <mergeCells count="31">
    <mergeCell ref="B46:B50"/>
    <mergeCell ref="F47:H47"/>
    <mergeCell ref="I47:J47"/>
    <mergeCell ref="B51:B53"/>
    <mergeCell ref="F54:J54"/>
    <mergeCell ref="F52:G52"/>
    <mergeCell ref="B36:B40"/>
    <mergeCell ref="I37:J37"/>
    <mergeCell ref="F39:J39"/>
    <mergeCell ref="B41:B43"/>
    <mergeCell ref="F41:G41"/>
    <mergeCell ref="I42:J42"/>
    <mergeCell ref="B31:B33"/>
    <mergeCell ref="J31:K31"/>
    <mergeCell ref="B26:B30"/>
    <mergeCell ref="F27:H27"/>
    <mergeCell ref="I27:J27"/>
    <mergeCell ref="F29:J29"/>
    <mergeCell ref="G31:H31"/>
    <mergeCell ref="B16:B20"/>
    <mergeCell ref="H17:J17"/>
    <mergeCell ref="F19:J19"/>
    <mergeCell ref="B21:B23"/>
    <mergeCell ref="G22:H22"/>
    <mergeCell ref="E3:G3"/>
    <mergeCell ref="H3:K3"/>
    <mergeCell ref="B6:B10"/>
    <mergeCell ref="F9:J9"/>
    <mergeCell ref="B11:B13"/>
    <mergeCell ref="F11:G11"/>
    <mergeCell ref="I11:J11"/>
  </mergeCells>
  <phoneticPr fontId="6" type="noConversion"/>
  <pageMargins left="0.7" right="0.7" top="0.75" bottom="0.75" header="0.3" footer="0.3"/>
  <pageSetup paperSize="9" scale="37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S63"/>
  <sheetViews>
    <sheetView topLeftCell="C4" zoomScale="85" zoomScaleNormal="85" workbookViewId="0">
      <selection activeCell="F29" sqref="F29:J29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43800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f>G5+1</f>
        <v>4</v>
      </c>
      <c r="I5" s="60">
        <f>H5+1</f>
        <v>5</v>
      </c>
      <c r="J5" s="60">
        <f>I5+1</f>
        <v>6</v>
      </c>
      <c r="K5" s="132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383</v>
      </c>
      <c r="D6" s="13"/>
      <c r="E6" s="14"/>
      <c r="F6" s="184" t="s">
        <v>567</v>
      </c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92" t="s">
        <v>576</v>
      </c>
      <c r="D7" s="13"/>
      <c r="E7" s="14"/>
      <c r="F7" s="198" t="s">
        <v>551</v>
      </c>
      <c r="G7" s="198" t="s">
        <v>551</v>
      </c>
      <c r="H7" s="187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24" t="s">
        <v>7</v>
      </c>
      <c r="D8" s="13"/>
      <c r="E8" s="14"/>
      <c r="F8" s="124" t="s">
        <v>598</v>
      </c>
      <c r="G8" s="124" t="s">
        <v>548</v>
      </c>
      <c r="H8" s="124" t="s">
        <v>566</v>
      </c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3" t="s">
        <v>391</v>
      </c>
      <c r="D9" s="13"/>
      <c r="E9" s="14"/>
      <c r="F9" s="1527" t="s">
        <v>535</v>
      </c>
      <c r="G9" s="1536"/>
      <c r="H9" s="1536"/>
      <c r="I9" s="1536"/>
      <c r="J9" s="1529"/>
      <c r="K9" s="14"/>
      <c r="L9" s="4"/>
      <c r="M9" s="4"/>
      <c r="N9" s="4"/>
      <c r="R9" s="11"/>
      <c r="S9" s="4"/>
    </row>
    <row r="10" spans="1:19" s="5" customFormat="1" ht="24.6" customHeight="1">
      <c r="B10" s="1467"/>
      <c r="C10" s="162" t="s">
        <v>385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 t="s">
        <v>287</v>
      </c>
      <c r="C11" s="12" t="s">
        <v>383</v>
      </c>
      <c r="D11" s="13"/>
      <c r="E11" s="14"/>
      <c r="F11" s="1506" t="s">
        <v>565</v>
      </c>
      <c r="G11" s="1507"/>
      <c r="H11" s="14"/>
      <c r="I11" s="1506" t="s">
        <v>585</v>
      </c>
      <c r="J11" s="1507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24" t="s">
        <v>386</v>
      </c>
      <c r="D12" s="13"/>
      <c r="E12" s="14"/>
      <c r="F12" s="14"/>
      <c r="G12" s="14"/>
      <c r="H12" s="166" t="s">
        <v>601</v>
      </c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467"/>
      <c r="C13" s="162" t="s">
        <v>385</v>
      </c>
      <c r="D13" s="13"/>
      <c r="E13" s="162" t="s">
        <v>587</v>
      </c>
      <c r="F13" s="162" t="s">
        <v>588</v>
      </c>
      <c r="G13" s="165" t="s">
        <v>542</v>
      </c>
      <c r="H13" s="165" t="s">
        <v>542</v>
      </c>
      <c r="I13" s="165" t="s">
        <v>542</v>
      </c>
      <c r="J13" s="165" t="s">
        <v>542</v>
      </c>
      <c r="K13" s="14"/>
      <c r="L13" s="4"/>
      <c r="M13" s="4"/>
      <c r="N13" s="4"/>
      <c r="R13" s="11"/>
      <c r="S13" s="4"/>
    </row>
    <row r="14" spans="1:19" s="5" customFormat="1" ht="24.6" customHeight="1">
      <c r="B14" s="157" t="s">
        <v>317</v>
      </c>
      <c r="C14" s="125" t="s">
        <v>384</v>
      </c>
      <c r="D14" s="13"/>
      <c r="E14" s="14"/>
      <c r="F14" s="156"/>
      <c r="G14" s="156"/>
      <c r="H14" s="156"/>
      <c r="I14" s="142"/>
      <c r="J14" s="156"/>
      <c r="K14" s="14"/>
      <c r="L14" s="4"/>
      <c r="M14" s="4"/>
      <c r="N14" s="4"/>
      <c r="R14" s="11"/>
      <c r="S14" s="4"/>
    </row>
    <row r="15" spans="1:19" ht="24.6" customHeight="1">
      <c r="A15" s="84"/>
      <c r="B15" s="84"/>
      <c r="C15" s="5"/>
      <c r="D15" s="5"/>
      <c r="E15" s="23">
        <f>K5+1</f>
        <v>8</v>
      </c>
      <c r="F15" s="65">
        <f t="shared" ref="F15:K15" si="0">E15+1</f>
        <v>9</v>
      </c>
      <c r="G15" s="65">
        <f t="shared" si="0"/>
        <v>10</v>
      </c>
      <c r="H15" s="65">
        <f t="shared" si="0"/>
        <v>11</v>
      </c>
      <c r="I15" s="65">
        <f t="shared" si="0"/>
        <v>12</v>
      </c>
      <c r="J15" s="65">
        <f t="shared" si="0"/>
        <v>13</v>
      </c>
      <c r="K15" s="23">
        <f t="shared" si="0"/>
        <v>14</v>
      </c>
    </row>
    <row r="16" spans="1:19" ht="24.6" customHeight="1">
      <c r="A16" s="84"/>
      <c r="B16" s="1467" t="s">
        <v>286</v>
      </c>
      <c r="C16" s="12" t="s">
        <v>383</v>
      </c>
      <c r="D16" s="13"/>
      <c r="E16" s="24"/>
      <c r="F16" s="196" t="s">
        <v>555</v>
      </c>
      <c r="G16" s="196" t="s">
        <v>556</v>
      </c>
      <c r="H16" s="196" t="s">
        <v>570</v>
      </c>
      <c r="I16" s="24"/>
      <c r="J16" s="24"/>
      <c r="K16" s="24"/>
    </row>
    <row r="17" spans="1:19" ht="24.6" customHeight="1">
      <c r="A17" s="84"/>
      <c r="B17" s="1467"/>
      <c r="C17" s="192" t="s">
        <v>576</v>
      </c>
      <c r="D17" s="13"/>
      <c r="E17" s="24"/>
      <c r="F17" s="24"/>
      <c r="G17" s="24"/>
      <c r="H17" s="1542" t="s">
        <v>555</v>
      </c>
      <c r="I17" s="1543"/>
      <c r="J17" s="1544"/>
      <c r="K17" s="24"/>
    </row>
    <row r="18" spans="1:19" ht="24" customHeight="1">
      <c r="A18" s="84"/>
      <c r="B18" s="1467"/>
      <c r="C18" s="124" t="s">
        <v>7</v>
      </c>
      <c r="D18" s="13"/>
      <c r="E18" s="24"/>
      <c r="F18" s="24"/>
      <c r="G18" s="24"/>
      <c r="H18" s="24"/>
      <c r="I18" s="24"/>
      <c r="J18" s="32" t="s">
        <v>552</v>
      </c>
      <c r="K18" s="24"/>
    </row>
    <row r="19" spans="1:19" ht="24.6" customHeight="1">
      <c r="A19" s="84"/>
      <c r="B19" s="1467"/>
      <c r="C19" s="163" t="s">
        <v>392</v>
      </c>
      <c r="D19" s="13"/>
      <c r="E19" s="24"/>
      <c r="F19" s="1527" t="s">
        <v>535</v>
      </c>
      <c r="G19" s="1536"/>
      <c r="H19" s="1536"/>
      <c r="I19" s="1536"/>
      <c r="J19" s="1529"/>
      <c r="K19" s="24"/>
    </row>
    <row r="20" spans="1:19" ht="24.6" customHeight="1">
      <c r="A20" s="84"/>
      <c r="B20" s="1467"/>
      <c r="C20" s="162" t="s">
        <v>385</v>
      </c>
      <c r="D20" s="13"/>
      <c r="E20" s="24"/>
      <c r="F20" s="24"/>
      <c r="G20" s="24"/>
      <c r="H20" s="24"/>
      <c r="I20" s="24"/>
      <c r="J20" s="24"/>
      <c r="K20" s="24"/>
    </row>
    <row r="21" spans="1:19" ht="24.6" customHeight="1">
      <c r="A21" s="84"/>
      <c r="B21" s="1467" t="s">
        <v>287</v>
      </c>
      <c r="C21" s="12" t="s">
        <v>383</v>
      </c>
      <c r="D21" s="13"/>
      <c r="E21" s="24"/>
      <c r="F21" s="24"/>
      <c r="G21" s="24"/>
      <c r="H21" s="24"/>
      <c r="I21" s="1506" t="s">
        <v>408</v>
      </c>
      <c r="J21" s="1507"/>
      <c r="K21" s="24"/>
    </row>
    <row r="22" spans="1:19" ht="24" customHeight="1">
      <c r="A22" s="84"/>
      <c r="B22" s="1467"/>
      <c r="C22" s="124" t="s">
        <v>386</v>
      </c>
      <c r="D22" s="13"/>
      <c r="E22" s="24"/>
      <c r="F22" s="24"/>
      <c r="G22" s="1509" t="s">
        <v>584</v>
      </c>
      <c r="H22" s="1510"/>
      <c r="I22" s="24"/>
      <c r="J22" s="24"/>
      <c r="K22" s="24"/>
    </row>
    <row r="23" spans="1:19" ht="24" customHeight="1">
      <c r="A23" s="84"/>
      <c r="B23" s="1467"/>
      <c r="C23" s="162" t="s">
        <v>385</v>
      </c>
      <c r="D23" s="13"/>
      <c r="E23" s="24"/>
      <c r="F23" s="165" t="s">
        <v>542</v>
      </c>
      <c r="G23" s="165" t="s">
        <v>542</v>
      </c>
      <c r="H23" s="165" t="s">
        <v>542</v>
      </c>
      <c r="I23" s="165" t="s">
        <v>542</v>
      </c>
      <c r="J23" s="165" t="s">
        <v>543</v>
      </c>
      <c r="K23" s="24"/>
    </row>
    <row r="24" spans="1:19" ht="24.6" customHeight="1">
      <c r="A24" s="84"/>
      <c r="B24" s="157" t="s">
        <v>317</v>
      </c>
      <c r="C24" s="125" t="s">
        <v>384</v>
      </c>
      <c r="D24" s="13"/>
      <c r="E24" s="24"/>
      <c r="F24" s="24"/>
      <c r="G24" s="24"/>
      <c r="H24" s="24"/>
      <c r="I24" s="24"/>
      <c r="J24" s="24"/>
      <c r="K24" s="24"/>
    </row>
    <row r="25" spans="1:19" ht="24.6" customHeight="1">
      <c r="A25" s="84"/>
      <c r="B25" s="84"/>
      <c r="C25" s="5"/>
      <c r="D25" s="5"/>
      <c r="E25" s="26">
        <f>K15+1</f>
        <v>15</v>
      </c>
      <c r="F25" s="27">
        <f t="shared" ref="F25:K25" si="1">E25+1</f>
        <v>16</v>
      </c>
      <c r="G25" s="27">
        <f t="shared" si="1"/>
        <v>17</v>
      </c>
      <c r="H25" s="27">
        <f t="shared" si="1"/>
        <v>18</v>
      </c>
      <c r="I25" s="27">
        <f t="shared" si="1"/>
        <v>19</v>
      </c>
      <c r="J25" s="27">
        <f t="shared" si="1"/>
        <v>20</v>
      </c>
      <c r="K25" s="52">
        <f t="shared" si="1"/>
        <v>21</v>
      </c>
      <c r="M25" s="1453"/>
      <c r="N25" s="1453"/>
      <c r="O25" s="1453"/>
    </row>
    <row r="26" spans="1:19" ht="24.6" customHeight="1">
      <c r="A26" s="84"/>
      <c r="B26" s="1467" t="s">
        <v>286</v>
      </c>
      <c r="C26" s="12" t="s">
        <v>383</v>
      </c>
      <c r="D26" s="13"/>
      <c r="E26" s="14"/>
      <c r="F26" s="196" t="s">
        <v>558</v>
      </c>
      <c r="G26" s="14"/>
      <c r="H26" s="196" t="s">
        <v>559</v>
      </c>
      <c r="I26" s="196" t="s">
        <v>571</v>
      </c>
      <c r="J26" s="167" t="s">
        <v>572</v>
      </c>
      <c r="K26" s="14"/>
    </row>
    <row r="27" spans="1:19" ht="24.6" customHeight="1">
      <c r="A27" s="84"/>
      <c r="B27" s="1467"/>
      <c r="C27" s="192" t="s">
        <v>576</v>
      </c>
      <c r="D27" s="13"/>
      <c r="E27" s="14"/>
      <c r="F27" s="1542" t="s">
        <v>556</v>
      </c>
      <c r="G27" s="1543"/>
      <c r="H27" s="1544"/>
      <c r="I27" s="1542" t="s">
        <v>577</v>
      </c>
      <c r="J27" s="1544"/>
      <c r="K27" s="14"/>
    </row>
    <row r="28" spans="1:19" ht="24.6" customHeight="1">
      <c r="A28" s="84"/>
      <c r="B28" s="1467"/>
      <c r="C28" s="124" t="s">
        <v>7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63" t="s">
        <v>391</v>
      </c>
      <c r="D29" s="13"/>
      <c r="E29" s="14"/>
      <c r="F29" s="1527" t="s">
        <v>554</v>
      </c>
      <c r="G29" s="1536"/>
      <c r="H29" s="1536"/>
      <c r="I29" s="1536"/>
      <c r="J29" s="1529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385</v>
      </c>
      <c r="D30" s="13"/>
      <c r="E30" s="14"/>
      <c r="F30" s="14"/>
      <c r="G30" s="14"/>
      <c r="H30" s="14"/>
      <c r="I30" s="152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 t="s">
        <v>287</v>
      </c>
      <c r="C31" s="12" t="s">
        <v>383</v>
      </c>
      <c r="D31" s="13"/>
      <c r="E31" s="14"/>
      <c r="F31" s="166" t="s">
        <v>600</v>
      </c>
      <c r="G31" s="14"/>
      <c r="H31" s="14"/>
      <c r="I31" s="152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124" t="s">
        <v>386</v>
      </c>
      <c r="D32" s="13"/>
      <c r="E32" s="14"/>
      <c r="F32" s="14"/>
      <c r="G32" s="1509" t="s">
        <v>488</v>
      </c>
      <c r="H32" s="1510"/>
      <c r="I32" s="1509" t="s">
        <v>589</v>
      </c>
      <c r="J32" s="1510"/>
      <c r="K32" s="14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162" t="s">
        <v>385</v>
      </c>
      <c r="D33" s="13"/>
      <c r="E33" s="14"/>
      <c r="F33" s="165" t="s">
        <v>518</v>
      </c>
      <c r="G33" s="165" t="s">
        <v>518</v>
      </c>
      <c r="H33" s="165" t="s">
        <v>518</v>
      </c>
      <c r="I33" s="165" t="s">
        <v>518</v>
      </c>
      <c r="J33" s="165" t="s">
        <v>518</v>
      </c>
      <c r="K33" s="1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57" t="s">
        <v>317</v>
      </c>
      <c r="C34" s="125" t="s">
        <v>384</v>
      </c>
      <c r="D34" s="13"/>
      <c r="E34" s="14"/>
      <c r="F34" s="14"/>
      <c r="G34" s="14"/>
      <c r="H34" s="14"/>
      <c r="I34" s="14"/>
      <c r="J34" s="14"/>
      <c r="K34" s="1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3">
        <f>K25+1</f>
        <v>22</v>
      </c>
      <c r="F35" s="37">
        <f t="shared" ref="F35:K35" si="2">E35+1</f>
        <v>23</v>
      </c>
      <c r="G35" s="37">
        <f t="shared" si="2"/>
        <v>24</v>
      </c>
      <c r="H35" s="37">
        <f t="shared" si="2"/>
        <v>25</v>
      </c>
      <c r="I35" s="37">
        <f t="shared" si="2"/>
        <v>26</v>
      </c>
      <c r="J35" s="37">
        <f t="shared" si="2"/>
        <v>27</v>
      </c>
      <c r="K35" s="23">
        <f t="shared" si="2"/>
        <v>28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286</v>
      </c>
      <c r="C36" s="12" t="s">
        <v>383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92" t="s">
        <v>576</v>
      </c>
      <c r="D37" s="13"/>
      <c r="E37" s="24"/>
      <c r="F37" s="193" t="s">
        <v>577</v>
      </c>
      <c r="G37" s="193" t="s">
        <v>573</v>
      </c>
      <c r="H37" s="24"/>
      <c r="I37" s="1546" t="s">
        <v>573</v>
      </c>
      <c r="J37" s="154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7</v>
      </c>
      <c r="D38" s="13"/>
      <c r="E38" s="24"/>
      <c r="F38" s="186" t="s">
        <v>553</v>
      </c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3" t="s">
        <v>391</v>
      </c>
      <c r="D39" s="13"/>
      <c r="E39" s="24"/>
      <c r="F39" s="1527" t="s">
        <v>554</v>
      </c>
      <c r="G39" s="1536"/>
      <c r="H39" s="1536"/>
      <c r="I39" s="1536"/>
      <c r="J39" s="1529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162" t="s">
        <v>385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" customHeight="1">
      <c r="A41" s="84"/>
      <c r="B41" s="1467" t="s">
        <v>287</v>
      </c>
      <c r="C41" s="12" t="s">
        <v>383</v>
      </c>
      <c r="D41" s="13"/>
      <c r="E41" s="24"/>
      <c r="F41" s="1506" t="s">
        <v>544</v>
      </c>
      <c r="G41" s="1521"/>
      <c r="H41" s="24"/>
      <c r="I41" s="24"/>
      <c r="J41" s="24"/>
      <c r="K41" s="24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124" t="s">
        <v>386</v>
      </c>
      <c r="D42" s="13"/>
      <c r="E42" s="24"/>
      <c r="F42" s="24"/>
      <c r="G42" s="24"/>
      <c r="H42" s="24"/>
      <c r="I42" s="1509" t="s">
        <v>586</v>
      </c>
      <c r="J42" s="1510"/>
      <c r="K42" s="2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62" t="s">
        <v>385</v>
      </c>
      <c r="D43" s="13"/>
      <c r="E43" s="24"/>
      <c r="F43" s="165" t="s">
        <v>518</v>
      </c>
      <c r="G43" s="165" t="s">
        <v>518</v>
      </c>
      <c r="H43" s="24"/>
      <c r="I43" s="165" t="s">
        <v>518</v>
      </c>
      <c r="J43" s="165" t="s">
        <v>518</v>
      </c>
      <c r="K43" s="2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57" t="s">
        <v>317</v>
      </c>
      <c r="C44" s="125" t="s">
        <v>384</v>
      </c>
      <c r="D44" s="13"/>
      <c r="E44" s="24"/>
      <c r="F44" s="24"/>
      <c r="G44" s="24"/>
      <c r="H44" s="159" t="s">
        <v>370</v>
      </c>
      <c r="I44" s="24"/>
      <c r="J44" s="24"/>
      <c r="K44" s="2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30"/>
      <c r="D45" s="13"/>
      <c r="E45" s="31">
        <f>K35+1</f>
        <v>29</v>
      </c>
      <c r="F45" s="27">
        <f>E45+1</f>
        <v>30</v>
      </c>
      <c r="G45" s="27">
        <f>F45+1</f>
        <v>31</v>
      </c>
      <c r="H45" s="27"/>
      <c r="I45" s="27"/>
      <c r="J45" s="27"/>
      <c r="K45" s="52"/>
      <c r="L45" s="84"/>
      <c r="M45" s="84"/>
      <c r="N45" s="84">
        <v>1</v>
      </c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12" t="s">
        <v>383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92" t="s">
        <v>596</v>
      </c>
      <c r="D47" s="13"/>
      <c r="E47" s="14"/>
      <c r="F47" s="1542" t="s">
        <v>575</v>
      </c>
      <c r="G47" s="1543"/>
      <c r="H47" s="1544"/>
      <c r="I47" s="1542" t="s">
        <v>571</v>
      </c>
      <c r="J47" s="154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24" t="s">
        <v>7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163" t="s">
        <v>391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162" t="s">
        <v>385</v>
      </c>
      <c r="D50" s="13"/>
      <c r="E50" s="14"/>
      <c r="F50" s="14"/>
      <c r="G50" s="14"/>
      <c r="H50" s="14"/>
      <c r="I50" s="14"/>
      <c r="J50" s="14"/>
      <c r="K50" s="1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 t="s">
        <v>287</v>
      </c>
      <c r="C51" s="12" t="s">
        <v>383</v>
      </c>
      <c r="D51" s="13"/>
      <c r="E51" s="14"/>
      <c r="F51" s="14"/>
      <c r="G51" s="14"/>
      <c r="H51" s="14"/>
      <c r="I51" s="14"/>
      <c r="J51" s="14"/>
      <c r="K51" s="1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24" t="s">
        <v>386</v>
      </c>
      <c r="D52" s="13"/>
      <c r="E52" s="14"/>
      <c r="F52" s="14"/>
      <c r="G52" s="14"/>
      <c r="H52" s="14"/>
      <c r="I52" s="152"/>
      <c r="J52" s="14"/>
      <c r="K52" s="1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162" t="s">
        <v>385</v>
      </c>
      <c r="D53" s="13"/>
      <c r="E53" s="14"/>
      <c r="F53" s="14"/>
      <c r="G53" s="14"/>
      <c r="H53" s="14"/>
      <c r="I53" s="14"/>
      <c r="J53" s="14"/>
      <c r="K53" s="14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157" t="s">
        <v>317</v>
      </c>
      <c r="C54" s="125" t="s">
        <v>384</v>
      </c>
      <c r="D54" s="13"/>
      <c r="E54" s="14"/>
      <c r="F54" s="1547" t="s">
        <v>536</v>
      </c>
      <c r="G54" s="1548"/>
      <c r="H54" s="1548"/>
      <c r="I54" s="1548"/>
      <c r="J54" s="1549"/>
      <c r="K54" s="14"/>
      <c r="L54" s="84"/>
      <c r="M54" s="84"/>
      <c r="N54" s="84"/>
      <c r="O54" s="84"/>
      <c r="P54" s="84"/>
      <c r="Q54" s="84"/>
      <c r="R54" s="84"/>
      <c r="S54" s="84"/>
    </row>
    <row r="57" spans="1:19">
      <c r="I57" s="90"/>
      <c r="J57" s="90"/>
    </row>
    <row r="58" spans="1:19">
      <c r="H58" s="90"/>
    </row>
    <row r="59" spans="1:19">
      <c r="H59" s="90"/>
    </row>
    <row r="60" spans="1:19" s="4" customFormat="1">
      <c r="H60" s="90"/>
    </row>
    <row r="61" spans="1:19" s="4" customFormat="1">
      <c r="H61" s="90"/>
    </row>
    <row r="62" spans="1:19" s="4" customFormat="1">
      <c r="H62" s="90"/>
    </row>
    <row r="63" spans="1:19" s="4" customFormat="1">
      <c r="H63" s="90"/>
    </row>
  </sheetData>
  <mergeCells count="32">
    <mergeCell ref="E3:G3"/>
    <mergeCell ref="H3:K3"/>
    <mergeCell ref="B6:B10"/>
    <mergeCell ref="B11:B13"/>
    <mergeCell ref="B16:B20"/>
    <mergeCell ref="I11:J11"/>
    <mergeCell ref="F9:J9"/>
    <mergeCell ref="F19:J19"/>
    <mergeCell ref="F11:G11"/>
    <mergeCell ref="M25:O25"/>
    <mergeCell ref="B26:B30"/>
    <mergeCell ref="B31:B33"/>
    <mergeCell ref="B36:B40"/>
    <mergeCell ref="B41:B43"/>
    <mergeCell ref="F29:J29"/>
    <mergeCell ref="F39:J39"/>
    <mergeCell ref="I32:J32"/>
    <mergeCell ref="F41:G41"/>
    <mergeCell ref="I42:J42"/>
    <mergeCell ref="G32:H32"/>
    <mergeCell ref="I47:J47"/>
    <mergeCell ref="F54:J54"/>
    <mergeCell ref="B51:B53"/>
    <mergeCell ref="B46:B50"/>
    <mergeCell ref="H17:J17"/>
    <mergeCell ref="F27:H27"/>
    <mergeCell ref="I27:J27"/>
    <mergeCell ref="I37:J37"/>
    <mergeCell ref="F47:H47"/>
    <mergeCell ref="B21:B23"/>
    <mergeCell ref="I21:J21"/>
    <mergeCell ref="G22:H22"/>
  </mergeCells>
  <phoneticPr fontId="6" type="noConversion"/>
  <pageMargins left="0.7" right="0.7" top="0.75" bottom="0.75" header="0.3" footer="0.3"/>
  <pageSetup paperSize="9" scale="3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S63"/>
  <sheetViews>
    <sheetView topLeftCell="A13" zoomScale="70" zoomScaleNormal="70" workbookViewId="0">
      <selection activeCell="F29" sqref="F29:J29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43800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f>G5+1</f>
        <v>4</v>
      </c>
      <c r="I5" s="60">
        <f>H5+1</f>
        <v>5</v>
      </c>
      <c r="J5" s="60">
        <f>I5+1</f>
        <v>6</v>
      </c>
      <c r="K5" s="132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290</v>
      </c>
      <c r="D6" s="13"/>
      <c r="E6" s="14"/>
      <c r="F6" s="197" t="s">
        <v>482</v>
      </c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92" t="s">
        <v>576</v>
      </c>
      <c r="D7" s="13"/>
      <c r="E7" s="14"/>
      <c r="F7" s="1542" t="s">
        <v>595</v>
      </c>
      <c r="G7" s="154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24" t="s">
        <v>7</v>
      </c>
      <c r="D8" s="13"/>
      <c r="E8" s="14"/>
      <c r="F8" s="124" t="s">
        <v>597</v>
      </c>
      <c r="G8" s="124" t="s">
        <v>548</v>
      </c>
      <c r="H8" s="124" t="s">
        <v>566</v>
      </c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3" t="s">
        <v>389</v>
      </c>
      <c r="D9" s="13"/>
      <c r="E9" s="14"/>
      <c r="F9" s="1527" t="s">
        <v>535</v>
      </c>
      <c r="G9" s="1536"/>
      <c r="H9" s="1536"/>
      <c r="I9" s="1536"/>
      <c r="J9" s="1529"/>
      <c r="K9" s="14"/>
      <c r="L9" s="4"/>
      <c r="M9" s="4"/>
      <c r="N9" s="4"/>
      <c r="R9" s="11"/>
      <c r="S9" s="4"/>
    </row>
    <row r="10" spans="1:19" s="5" customFormat="1" ht="24.6" customHeight="1">
      <c r="B10" s="1467"/>
      <c r="C10" s="162" t="s">
        <v>318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 t="s">
        <v>287</v>
      </c>
      <c r="C11" s="12" t="s">
        <v>290</v>
      </c>
      <c r="D11" s="13"/>
      <c r="E11" s="14"/>
      <c r="F11" s="1506" t="s">
        <v>565</v>
      </c>
      <c r="G11" s="1507"/>
      <c r="H11" s="14"/>
      <c r="I11" s="1506" t="s">
        <v>591</v>
      </c>
      <c r="J11" s="1507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24" t="s">
        <v>292</v>
      </c>
      <c r="D12" s="13"/>
      <c r="E12" s="14"/>
      <c r="F12" s="14"/>
      <c r="G12" s="14"/>
      <c r="H12" s="166" t="s">
        <v>568</v>
      </c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467"/>
      <c r="C13" s="162" t="s">
        <v>318</v>
      </c>
      <c r="D13" s="13"/>
      <c r="E13" s="14"/>
      <c r="F13" s="162" t="s">
        <v>542</v>
      </c>
      <c r="G13" s="165" t="s">
        <v>542</v>
      </c>
      <c r="H13" s="165" t="s">
        <v>542</v>
      </c>
      <c r="I13" s="165" t="s">
        <v>542</v>
      </c>
      <c r="J13" s="165" t="s">
        <v>542</v>
      </c>
      <c r="K13" s="14"/>
      <c r="L13" s="4"/>
      <c r="M13" s="4"/>
      <c r="N13" s="4"/>
      <c r="R13" s="11"/>
      <c r="S13" s="4"/>
    </row>
    <row r="14" spans="1:19" s="5" customFormat="1" ht="24.6" customHeight="1">
      <c r="B14" s="185" t="s">
        <v>317</v>
      </c>
      <c r="C14" s="125" t="s">
        <v>384</v>
      </c>
      <c r="D14" s="13"/>
      <c r="E14" s="14"/>
      <c r="F14" s="184"/>
      <c r="G14" s="184"/>
      <c r="H14" s="184"/>
      <c r="I14" s="142"/>
      <c r="J14" s="184"/>
      <c r="K14" s="14"/>
      <c r="L14" s="4"/>
      <c r="M14" s="4"/>
      <c r="N14" s="4"/>
      <c r="R14" s="11"/>
      <c r="S14" s="4"/>
    </row>
    <row r="15" spans="1:19" ht="24.6" customHeight="1">
      <c r="A15" s="84"/>
      <c r="B15" s="84"/>
      <c r="C15" s="5"/>
      <c r="D15" s="5"/>
      <c r="E15" s="23">
        <f>K5+1</f>
        <v>8</v>
      </c>
      <c r="F15" s="65">
        <f t="shared" ref="F15:K15" si="0">E15+1</f>
        <v>9</v>
      </c>
      <c r="G15" s="65">
        <f t="shared" si="0"/>
        <v>10</v>
      </c>
      <c r="H15" s="65">
        <f t="shared" si="0"/>
        <v>11</v>
      </c>
      <c r="I15" s="65">
        <f t="shared" si="0"/>
        <v>12</v>
      </c>
      <c r="J15" s="65">
        <f t="shared" si="0"/>
        <v>13</v>
      </c>
      <c r="K15" s="23">
        <f t="shared" si="0"/>
        <v>14</v>
      </c>
    </row>
    <row r="16" spans="1:19" ht="24.6" customHeight="1">
      <c r="A16" s="84"/>
      <c r="B16" s="1467" t="s">
        <v>286</v>
      </c>
      <c r="C16" s="12" t="s">
        <v>290</v>
      </c>
      <c r="D16" s="13"/>
      <c r="E16" s="24"/>
      <c r="F16" s="196" t="s">
        <v>594</v>
      </c>
      <c r="G16" s="196" t="s">
        <v>556</v>
      </c>
      <c r="H16" s="196" t="s">
        <v>557</v>
      </c>
      <c r="I16" s="196" t="s">
        <v>558</v>
      </c>
      <c r="J16" s="24"/>
      <c r="K16" s="24"/>
    </row>
    <row r="17" spans="1:19" ht="24.6" customHeight="1">
      <c r="A17" s="84"/>
      <c r="B17" s="1467"/>
      <c r="C17" s="192" t="s">
        <v>576</v>
      </c>
      <c r="D17" s="13"/>
      <c r="E17" s="24"/>
      <c r="F17" s="24"/>
      <c r="G17" s="24"/>
      <c r="H17" s="1542" t="s">
        <v>555</v>
      </c>
      <c r="I17" s="1543"/>
      <c r="J17" s="1544"/>
      <c r="K17" s="24"/>
    </row>
    <row r="18" spans="1:19" ht="24.6" customHeight="1">
      <c r="A18" s="84"/>
      <c r="B18" s="1467"/>
      <c r="C18" s="124" t="s">
        <v>7</v>
      </c>
      <c r="D18" s="13"/>
      <c r="E18" s="24"/>
      <c r="F18" s="24"/>
      <c r="G18" s="24"/>
      <c r="H18" s="24"/>
      <c r="I18" s="32" t="s">
        <v>552</v>
      </c>
      <c r="J18" s="32" t="s">
        <v>552</v>
      </c>
      <c r="K18" s="24"/>
    </row>
    <row r="19" spans="1:19" ht="24.6" customHeight="1">
      <c r="A19" s="84"/>
      <c r="B19" s="1467"/>
      <c r="C19" s="163" t="s">
        <v>389</v>
      </c>
      <c r="D19" s="13"/>
      <c r="E19" s="24"/>
      <c r="F19" s="1527" t="s">
        <v>535</v>
      </c>
      <c r="G19" s="1536"/>
      <c r="H19" s="1536"/>
      <c r="I19" s="1536"/>
      <c r="J19" s="1529"/>
      <c r="K19" s="24"/>
    </row>
    <row r="20" spans="1:19" ht="24.6" customHeight="1">
      <c r="A20" s="84"/>
      <c r="B20" s="1467"/>
      <c r="C20" s="162" t="s">
        <v>318</v>
      </c>
      <c r="D20" s="13"/>
      <c r="E20" s="24"/>
      <c r="F20" s="24"/>
      <c r="G20" s="24"/>
      <c r="H20" s="24"/>
      <c r="I20" s="24"/>
      <c r="J20" s="24"/>
      <c r="K20" s="24"/>
    </row>
    <row r="21" spans="1:19" ht="24.6" customHeight="1">
      <c r="A21" s="84"/>
      <c r="B21" s="1467" t="s">
        <v>287</v>
      </c>
      <c r="C21" s="12" t="s">
        <v>290</v>
      </c>
      <c r="D21" s="13"/>
      <c r="E21" s="24"/>
      <c r="F21" s="24"/>
      <c r="G21" s="24"/>
      <c r="H21" s="24"/>
      <c r="I21" s="24"/>
      <c r="J21" s="24"/>
      <c r="K21" s="24"/>
    </row>
    <row r="22" spans="1:19" ht="24" customHeight="1">
      <c r="A22" s="84"/>
      <c r="B22" s="1467"/>
      <c r="C22" s="124" t="s">
        <v>292</v>
      </c>
      <c r="D22" s="13"/>
      <c r="E22" s="24"/>
      <c r="F22" s="24"/>
      <c r="G22" s="1509" t="s">
        <v>593</v>
      </c>
      <c r="H22" s="1510"/>
      <c r="I22" s="1509" t="s">
        <v>488</v>
      </c>
      <c r="J22" s="1524"/>
      <c r="K22" s="24"/>
    </row>
    <row r="23" spans="1:19" ht="24" customHeight="1">
      <c r="A23" s="84"/>
      <c r="B23" s="1467"/>
      <c r="C23" s="162" t="s">
        <v>318</v>
      </c>
      <c r="D23" s="13"/>
      <c r="E23" s="24"/>
      <c r="F23" s="165" t="s">
        <v>542</v>
      </c>
      <c r="G23" s="165" t="s">
        <v>542</v>
      </c>
      <c r="H23" s="165" t="s">
        <v>542</v>
      </c>
      <c r="I23" s="165" t="s">
        <v>542</v>
      </c>
      <c r="J23" s="165" t="s">
        <v>543</v>
      </c>
      <c r="K23" s="24"/>
    </row>
    <row r="24" spans="1:19" ht="24.6" customHeight="1">
      <c r="A24" s="84"/>
      <c r="B24" s="185" t="s">
        <v>317</v>
      </c>
      <c r="C24" s="125" t="s">
        <v>384</v>
      </c>
      <c r="D24" s="13"/>
      <c r="E24" s="24"/>
      <c r="F24" s="24"/>
      <c r="G24" s="24"/>
      <c r="H24" s="24"/>
      <c r="I24" s="24"/>
      <c r="J24" s="24"/>
      <c r="K24" s="24"/>
    </row>
    <row r="25" spans="1:19" ht="24.6" customHeight="1">
      <c r="A25" s="84"/>
      <c r="B25" s="84"/>
      <c r="C25" s="5"/>
      <c r="D25" s="5"/>
      <c r="E25" s="26">
        <f>K15+1</f>
        <v>15</v>
      </c>
      <c r="F25" s="27">
        <f t="shared" ref="F25:K25" si="1">E25+1</f>
        <v>16</v>
      </c>
      <c r="G25" s="27">
        <f t="shared" si="1"/>
        <v>17</v>
      </c>
      <c r="H25" s="27">
        <f t="shared" si="1"/>
        <v>18</v>
      </c>
      <c r="I25" s="27">
        <f t="shared" si="1"/>
        <v>19</v>
      </c>
      <c r="J25" s="27">
        <f t="shared" si="1"/>
        <v>20</v>
      </c>
      <c r="K25" s="52">
        <f t="shared" si="1"/>
        <v>21</v>
      </c>
      <c r="M25" s="1453"/>
      <c r="N25" s="1453"/>
      <c r="O25" s="1453"/>
    </row>
    <row r="26" spans="1:19" ht="24.6" customHeight="1">
      <c r="A26" s="84"/>
      <c r="B26" s="1467" t="s">
        <v>286</v>
      </c>
      <c r="C26" s="12" t="s">
        <v>290</v>
      </c>
      <c r="D26" s="13"/>
      <c r="E26" s="14"/>
      <c r="F26" s="14"/>
      <c r="G26" s="196" t="s">
        <v>559</v>
      </c>
      <c r="H26" s="167" t="s">
        <v>571</v>
      </c>
      <c r="I26" s="167" t="s">
        <v>572</v>
      </c>
      <c r="J26" s="14"/>
      <c r="K26" s="14"/>
    </row>
    <row r="27" spans="1:19" ht="24.6" customHeight="1">
      <c r="A27" s="84"/>
      <c r="B27" s="1467"/>
      <c r="C27" s="192" t="s">
        <v>576</v>
      </c>
      <c r="D27" s="13"/>
      <c r="E27" s="14"/>
      <c r="F27" s="1542" t="s">
        <v>556</v>
      </c>
      <c r="G27" s="1543"/>
      <c r="H27" s="1543"/>
      <c r="I27" s="1543" t="s">
        <v>557</v>
      </c>
      <c r="J27" s="1544"/>
      <c r="K27" s="14"/>
    </row>
    <row r="28" spans="1:19" ht="24.6" customHeight="1">
      <c r="A28" s="84"/>
      <c r="B28" s="1467"/>
      <c r="C28" s="124" t="s">
        <v>7</v>
      </c>
      <c r="D28" s="13"/>
      <c r="E28" s="14"/>
      <c r="F28" s="184" t="s">
        <v>553</v>
      </c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63" t="s">
        <v>389</v>
      </c>
      <c r="D29" s="13"/>
      <c r="E29" s="14"/>
      <c r="F29" s="1527" t="s">
        <v>554</v>
      </c>
      <c r="G29" s="1536"/>
      <c r="H29" s="1536"/>
      <c r="I29" s="1536"/>
      <c r="J29" s="1529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318</v>
      </c>
      <c r="D30" s="13"/>
      <c r="E30" s="14"/>
      <c r="F30" s="14"/>
      <c r="G30" s="14"/>
      <c r="H30" s="14"/>
      <c r="I30" s="152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 t="s">
        <v>287</v>
      </c>
      <c r="C31" s="12" t="s">
        <v>290</v>
      </c>
      <c r="D31" s="13"/>
      <c r="E31" s="14"/>
      <c r="F31" s="1506" t="s">
        <v>408</v>
      </c>
      <c r="G31" s="1521"/>
      <c r="H31" s="14"/>
      <c r="I31" s="152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124" t="s">
        <v>292</v>
      </c>
      <c r="D32" s="13"/>
      <c r="E32" s="14"/>
      <c r="F32" s="14"/>
      <c r="G32" s="14"/>
      <c r="H32" s="14"/>
      <c r="I32" s="1506" t="s">
        <v>592</v>
      </c>
      <c r="J32" s="1507"/>
      <c r="K32" s="14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162" t="s">
        <v>318</v>
      </c>
      <c r="D33" s="13"/>
      <c r="E33" s="14"/>
      <c r="F33" s="165" t="s">
        <v>518</v>
      </c>
      <c r="G33" s="165" t="s">
        <v>518</v>
      </c>
      <c r="H33" s="165" t="s">
        <v>518</v>
      </c>
      <c r="I33" s="165" t="s">
        <v>518</v>
      </c>
      <c r="J33" s="165" t="s">
        <v>518</v>
      </c>
      <c r="K33" s="1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85" t="s">
        <v>317</v>
      </c>
      <c r="C34" s="125" t="s">
        <v>384</v>
      </c>
      <c r="D34" s="13"/>
      <c r="E34" s="14"/>
      <c r="F34" s="14"/>
      <c r="G34" s="14"/>
      <c r="H34" s="14"/>
      <c r="I34" s="14"/>
      <c r="J34" s="14"/>
      <c r="K34" s="1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3">
        <f>K25+1</f>
        <v>22</v>
      </c>
      <c r="F35" s="37">
        <f t="shared" ref="F35:K35" si="2">E35+1</f>
        <v>23</v>
      </c>
      <c r="G35" s="37">
        <f t="shared" si="2"/>
        <v>24</v>
      </c>
      <c r="H35" s="37">
        <f t="shared" si="2"/>
        <v>25</v>
      </c>
      <c r="I35" s="37">
        <f t="shared" si="2"/>
        <v>26</v>
      </c>
      <c r="J35" s="37">
        <f t="shared" si="2"/>
        <v>27</v>
      </c>
      <c r="K35" s="23">
        <f t="shared" si="2"/>
        <v>28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286</v>
      </c>
      <c r="C36" s="12" t="s">
        <v>290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92" t="s">
        <v>576</v>
      </c>
      <c r="D37" s="13"/>
      <c r="E37" s="24"/>
      <c r="F37" s="198" t="s">
        <v>557</v>
      </c>
      <c r="G37" s="198" t="s">
        <v>558</v>
      </c>
      <c r="H37" s="24"/>
      <c r="I37" s="1542" t="s">
        <v>574</v>
      </c>
      <c r="J37" s="154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7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3" t="s">
        <v>389</v>
      </c>
      <c r="D39" s="13"/>
      <c r="E39" s="24"/>
      <c r="F39" s="1527" t="s">
        <v>554</v>
      </c>
      <c r="G39" s="1536"/>
      <c r="H39" s="1536"/>
      <c r="I39" s="1536"/>
      <c r="J39" s="1529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162" t="s">
        <v>318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" customHeight="1">
      <c r="A41" s="84"/>
      <c r="B41" s="1467" t="s">
        <v>287</v>
      </c>
      <c r="C41" s="12" t="s">
        <v>290</v>
      </c>
      <c r="D41" s="13"/>
      <c r="E41" s="24"/>
      <c r="F41" s="24"/>
      <c r="G41" s="24"/>
      <c r="H41" s="24"/>
      <c r="I41" s="1506" t="s">
        <v>544</v>
      </c>
      <c r="J41" s="1507"/>
      <c r="K41" s="24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124" t="s">
        <v>292</v>
      </c>
      <c r="D42" s="13"/>
      <c r="E42" s="24"/>
      <c r="F42" s="1509" t="s">
        <v>590</v>
      </c>
      <c r="G42" s="1510"/>
      <c r="H42" s="24"/>
      <c r="I42" s="24"/>
      <c r="J42" s="24"/>
      <c r="K42" s="2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62" t="s">
        <v>318</v>
      </c>
      <c r="D43" s="13"/>
      <c r="E43" s="24"/>
      <c r="F43" s="165" t="s">
        <v>518</v>
      </c>
      <c r="G43" s="165" t="s">
        <v>518</v>
      </c>
      <c r="H43" s="24"/>
      <c r="I43" s="165" t="s">
        <v>518</v>
      </c>
      <c r="J43" s="165" t="s">
        <v>518</v>
      </c>
      <c r="K43" s="2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85" t="s">
        <v>317</v>
      </c>
      <c r="C44" s="125" t="s">
        <v>384</v>
      </c>
      <c r="D44" s="13"/>
      <c r="E44" s="24"/>
      <c r="F44" s="24"/>
      <c r="G44" s="24"/>
      <c r="H44" s="159" t="s">
        <v>370</v>
      </c>
      <c r="I44" s="24"/>
      <c r="J44" s="24"/>
      <c r="K44" s="2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30"/>
      <c r="D45" s="13"/>
      <c r="E45" s="31">
        <f>K35+1</f>
        <v>29</v>
      </c>
      <c r="F45" s="27">
        <f>E45+1</f>
        <v>30</v>
      </c>
      <c r="G45" s="27">
        <f>F45+1</f>
        <v>31</v>
      </c>
      <c r="H45" s="27"/>
      <c r="I45" s="27"/>
      <c r="J45" s="27"/>
      <c r="K45" s="52"/>
      <c r="L45" s="84"/>
      <c r="M45" s="84"/>
      <c r="N45" s="84">
        <v>1</v>
      </c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12" t="s">
        <v>290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92" t="s">
        <v>576</v>
      </c>
      <c r="D47" s="13"/>
      <c r="E47" s="14"/>
      <c r="F47" s="1542" t="s">
        <v>559</v>
      </c>
      <c r="G47" s="1543"/>
      <c r="H47" s="1543"/>
      <c r="I47" s="1543" t="s">
        <v>578</v>
      </c>
      <c r="J47" s="154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24" t="s">
        <v>7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163" t="s">
        <v>389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162" t="s">
        <v>318</v>
      </c>
      <c r="D50" s="13"/>
      <c r="E50" s="14"/>
      <c r="F50" s="14"/>
      <c r="G50" s="14"/>
      <c r="H50" s="14"/>
      <c r="I50" s="14"/>
      <c r="J50" s="14"/>
      <c r="K50" s="1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 t="s">
        <v>287</v>
      </c>
      <c r="C51" s="12" t="s">
        <v>290</v>
      </c>
      <c r="D51" s="13"/>
      <c r="E51" s="14"/>
      <c r="F51" s="14"/>
      <c r="G51" s="14"/>
      <c r="H51" s="14"/>
      <c r="I51" s="14"/>
      <c r="J51" s="14"/>
      <c r="K51" s="1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24" t="s">
        <v>292</v>
      </c>
      <c r="D52" s="13"/>
      <c r="E52" s="14"/>
      <c r="F52" s="14"/>
      <c r="G52" s="14"/>
      <c r="H52" s="14"/>
      <c r="I52" s="152"/>
      <c r="J52" s="14"/>
      <c r="K52" s="1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162" t="s">
        <v>318</v>
      </c>
      <c r="D53" s="13"/>
      <c r="E53" s="14"/>
      <c r="F53" s="14"/>
      <c r="G53" s="14"/>
      <c r="H53" s="14"/>
      <c r="I53" s="14"/>
      <c r="J53" s="14"/>
      <c r="K53" s="14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185" t="s">
        <v>317</v>
      </c>
      <c r="C54" s="125" t="s">
        <v>384</v>
      </c>
      <c r="D54" s="13"/>
      <c r="E54" s="14"/>
      <c r="F54" s="1547" t="s">
        <v>536</v>
      </c>
      <c r="G54" s="1548"/>
      <c r="H54" s="1548"/>
      <c r="I54" s="1548"/>
      <c r="J54" s="1549"/>
      <c r="K54" s="14"/>
      <c r="L54" s="84"/>
      <c r="M54" s="84"/>
      <c r="N54" s="84"/>
      <c r="O54" s="84"/>
      <c r="P54" s="84"/>
      <c r="Q54" s="84"/>
      <c r="R54" s="84"/>
      <c r="S54" s="84"/>
    </row>
    <row r="57" spans="1:19">
      <c r="I57" s="90"/>
      <c r="J57" s="90"/>
    </row>
    <row r="58" spans="1:19">
      <c r="H58" s="90"/>
    </row>
    <row r="59" spans="1:19">
      <c r="H59" s="90"/>
    </row>
    <row r="60" spans="1:19" s="4" customFormat="1">
      <c r="H60" s="90"/>
    </row>
    <row r="61" spans="1:19" s="4" customFormat="1">
      <c r="H61" s="90"/>
    </row>
    <row r="62" spans="1:19" s="4" customFormat="1">
      <c r="H62" s="90"/>
    </row>
    <row r="63" spans="1:19" s="4" customFormat="1">
      <c r="H63" s="90"/>
    </row>
  </sheetData>
  <mergeCells count="33">
    <mergeCell ref="B6:B10"/>
    <mergeCell ref="F9:J9"/>
    <mergeCell ref="B11:B13"/>
    <mergeCell ref="I11:J11"/>
    <mergeCell ref="I22:J22"/>
    <mergeCell ref="B16:B20"/>
    <mergeCell ref="F19:J19"/>
    <mergeCell ref="B21:B23"/>
    <mergeCell ref="F11:G11"/>
    <mergeCell ref="G22:H22"/>
    <mergeCell ref="H17:J17"/>
    <mergeCell ref="M25:O25"/>
    <mergeCell ref="E3:G3"/>
    <mergeCell ref="H3:K3"/>
    <mergeCell ref="F7:G7"/>
    <mergeCell ref="B51:B53"/>
    <mergeCell ref="B26:B30"/>
    <mergeCell ref="F29:J29"/>
    <mergeCell ref="B31:B33"/>
    <mergeCell ref="B36:B40"/>
    <mergeCell ref="F39:J39"/>
    <mergeCell ref="F31:G31"/>
    <mergeCell ref="I37:J37"/>
    <mergeCell ref="I32:J32"/>
    <mergeCell ref="F27:H27"/>
    <mergeCell ref="I27:J27"/>
    <mergeCell ref="F47:H47"/>
    <mergeCell ref="F54:J54"/>
    <mergeCell ref="B41:B43"/>
    <mergeCell ref="I41:J41"/>
    <mergeCell ref="B46:B50"/>
    <mergeCell ref="F42:G42"/>
    <mergeCell ref="I47:J47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S63"/>
  <sheetViews>
    <sheetView zoomScale="70" zoomScaleNormal="70" workbookViewId="0">
      <selection activeCell="G22" sqref="G22:H22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43800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f>G5+1</f>
        <v>4</v>
      </c>
      <c r="I5" s="60">
        <f>H5+1</f>
        <v>5</v>
      </c>
      <c r="J5" s="60">
        <f>I5+1</f>
        <v>6</v>
      </c>
      <c r="K5" s="132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204" t="s">
        <v>482</v>
      </c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92" t="s">
        <v>576</v>
      </c>
      <c r="D7" s="13"/>
      <c r="E7" s="14"/>
      <c r="F7" s="198" t="s">
        <v>551</v>
      </c>
      <c r="G7" s="198" t="s">
        <v>551</v>
      </c>
      <c r="H7" s="187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24" t="s">
        <v>7</v>
      </c>
      <c r="D8" s="13"/>
      <c r="E8" s="14"/>
      <c r="F8" s="124" t="s">
        <v>597</v>
      </c>
      <c r="G8" s="124" t="s">
        <v>548</v>
      </c>
      <c r="H8" s="124" t="s">
        <v>566</v>
      </c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3" t="s">
        <v>389</v>
      </c>
      <c r="D9" s="13"/>
      <c r="E9" s="14"/>
      <c r="F9" s="1527" t="s">
        <v>535</v>
      </c>
      <c r="G9" s="1536"/>
      <c r="H9" s="1536"/>
      <c r="I9" s="1536"/>
      <c r="J9" s="1529"/>
      <c r="K9" s="14"/>
      <c r="L9" s="4"/>
      <c r="M9" s="4"/>
      <c r="N9" s="4"/>
      <c r="R9" s="11"/>
      <c r="S9" s="4"/>
    </row>
    <row r="10" spans="1:19" s="5" customFormat="1" ht="24.6" customHeight="1">
      <c r="B10" s="1467"/>
      <c r="C10" s="162" t="s">
        <v>316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 t="s">
        <v>287</v>
      </c>
      <c r="C11" s="12" t="s">
        <v>9</v>
      </c>
      <c r="D11" s="13"/>
      <c r="E11" s="14"/>
      <c r="F11" s="1506" t="s">
        <v>617</v>
      </c>
      <c r="G11" s="1507"/>
      <c r="H11" s="14"/>
      <c r="I11" s="1506" t="s">
        <v>618</v>
      </c>
      <c r="J11" s="1507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24" t="s">
        <v>292</v>
      </c>
      <c r="D12" s="13"/>
      <c r="E12" s="14"/>
      <c r="F12" s="14"/>
      <c r="G12" s="14"/>
      <c r="H12" s="166" t="s">
        <v>601</v>
      </c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467"/>
      <c r="C13" s="162" t="s">
        <v>316</v>
      </c>
      <c r="D13" s="13"/>
      <c r="E13" s="162" t="s">
        <v>587</v>
      </c>
      <c r="F13" s="162" t="s">
        <v>588</v>
      </c>
      <c r="G13" s="162" t="s">
        <v>588</v>
      </c>
      <c r="H13" s="162" t="s">
        <v>588</v>
      </c>
      <c r="I13" s="162" t="s">
        <v>588</v>
      </c>
      <c r="J13" s="162" t="s">
        <v>588</v>
      </c>
      <c r="K13" s="14"/>
      <c r="L13" s="4"/>
      <c r="M13" s="4"/>
      <c r="N13" s="4"/>
      <c r="R13" s="11"/>
      <c r="S13" s="4"/>
    </row>
    <row r="14" spans="1:19" s="5" customFormat="1" ht="24.6" customHeight="1">
      <c r="B14" s="205" t="s">
        <v>317</v>
      </c>
      <c r="C14" s="125" t="s">
        <v>228</v>
      </c>
      <c r="D14" s="13"/>
      <c r="E14" s="14"/>
      <c r="F14" s="204"/>
      <c r="G14" s="204"/>
      <c r="H14" s="204"/>
      <c r="I14" s="142"/>
      <c r="J14" s="204"/>
      <c r="K14" s="14"/>
      <c r="L14" s="4"/>
      <c r="M14" s="4"/>
      <c r="N14" s="4"/>
      <c r="R14" s="11"/>
      <c r="S14" s="4"/>
    </row>
    <row r="15" spans="1:19" ht="24.6" customHeight="1">
      <c r="A15" s="84"/>
      <c r="B15" s="84"/>
      <c r="C15" s="5"/>
      <c r="D15" s="5"/>
      <c r="E15" s="23">
        <f>K5+1</f>
        <v>8</v>
      </c>
      <c r="F15" s="65">
        <f t="shared" ref="F15:K15" si="0">E15+1</f>
        <v>9</v>
      </c>
      <c r="G15" s="65">
        <f t="shared" si="0"/>
        <v>10</v>
      </c>
      <c r="H15" s="65">
        <f t="shared" si="0"/>
        <v>11</v>
      </c>
      <c r="I15" s="65">
        <f t="shared" si="0"/>
        <v>12</v>
      </c>
      <c r="J15" s="65">
        <f t="shared" si="0"/>
        <v>13</v>
      </c>
      <c r="K15" s="23">
        <f t="shared" si="0"/>
        <v>14</v>
      </c>
    </row>
    <row r="16" spans="1:19" ht="24.6" customHeight="1">
      <c r="A16" s="84"/>
      <c r="B16" s="1467" t="s">
        <v>286</v>
      </c>
      <c r="C16" s="12" t="s">
        <v>9</v>
      </c>
      <c r="D16" s="13"/>
      <c r="E16" s="24"/>
      <c r="F16" s="24"/>
      <c r="G16" s="167" t="s">
        <v>636</v>
      </c>
      <c r="H16" s="167" t="s">
        <v>637</v>
      </c>
      <c r="I16" s="24"/>
      <c r="J16" s="196" t="s">
        <v>555</v>
      </c>
      <c r="K16" s="32" t="s">
        <v>482</v>
      </c>
    </row>
    <row r="17" spans="1:19" ht="24.6" customHeight="1">
      <c r="A17" s="84"/>
      <c r="B17" s="1467"/>
      <c r="C17" s="192" t="s">
        <v>576</v>
      </c>
      <c r="D17" s="13"/>
      <c r="E17" s="24"/>
      <c r="F17" s="24"/>
      <c r="G17" s="24"/>
      <c r="H17" s="1542" t="s">
        <v>555</v>
      </c>
      <c r="I17" s="1543"/>
      <c r="J17" s="1544"/>
      <c r="K17" s="24"/>
    </row>
    <row r="18" spans="1:19" ht="24" customHeight="1">
      <c r="A18" s="84"/>
      <c r="B18" s="1467"/>
      <c r="C18" s="124" t="s">
        <v>7</v>
      </c>
      <c r="D18" s="13"/>
      <c r="E18" s="24"/>
      <c r="F18" s="24"/>
      <c r="G18" s="24"/>
      <c r="H18" s="24"/>
      <c r="I18" s="24"/>
      <c r="J18" s="32" t="s">
        <v>552</v>
      </c>
      <c r="K18" s="24"/>
    </row>
    <row r="19" spans="1:19" ht="24.6" customHeight="1">
      <c r="A19" s="84"/>
      <c r="B19" s="1467"/>
      <c r="C19" s="163" t="s">
        <v>389</v>
      </c>
      <c r="D19" s="13"/>
      <c r="E19" s="24"/>
      <c r="F19" s="1527" t="s">
        <v>535</v>
      </c>
      <c r="G19" s="1536"/>
      <c r="H19" s="1536"/>
      <c r="I19" s="1536"/>
      <c r="J19" s="1529"/>
      <c r="K19" s="24"/>
    </row>
    <row r="20" spans="1:19" ht="24.6" customHeight="1">
      <c r="A20" s="84"/>
      <c r="B20" s="1467"/>
      <c r="C20" s="162" t="s">
        <v>316</v>
      </c>
      <c r="D20" s="13"/>
      <c r="E20" s="24"/>
      <c r="F20" s="24"/>
      <c r="G20" s="24"/>
      <c r="H20" s="24"/>
      <c r="I20" s="24"/>
      <c r="J20" s="24"/>
      <c r="K20" s="24"/>
    </row>
    <row r="21" spans="1:19" ht="24.6" customHeight="1">
      <c r="A21" s="84"/>
      <c r="B21" s="1467" t="s">
        <v>287</v>
      </c>
      <c r="C21" s="12" t="s">
        <v>9</v>
      </c>
      <c r="D21" s="13"/>
      <c r="E21" s="24"/>
      <c r="F21" s="24"/>
      <c r="G21" s="24"/>
      <c r="H21" s="24"/>
      <c r="I21" s="1506" t="s">
        <v>408</v>
      </c>
      <c r="J21" s="1507"/>
      <c r="K21" s="24"/>
    </row>
    <row r="22" spans="1:19" ht="24" customHeight="1">
      <c r="A22" s="84"/>
      <c r="B22" s="1467"/>
      <c r="C22" s="124" t="s">
        <v>292</v>
      </c>
      <c r="D22" s="13"/>
      <c r="E22" s="24"/>
      <c r="F22" s="166" t="s">
        <v>635</v>
      </c>
      <c r="G22" s="1509" t="s">
        <v>627</v>
      </c>
      <c r="H22" s="1510"/>
      <c r="I22" s="24"/>
      <c r="J22" s="24"/>
      <c r="K22" s="24"/>
    </row>
    <row r="23" spans="1:19" ht="24" customHeight="1">
      <c r="A23" s="84"/>
      <c r="B23" s="1467"/>
      <c r="C23" s="162" t="s">
        <v>316</v>
      </c>
      <c r="D23" s="13"/>
      <c r="E23" s="24"/>
      <c r="F23" s="162" t="s">
        <v>588</v>
      </c>
      <c r="G23" s="162" t="s">
        <v>588</v>
      </c>
      <c r="H23" s="162" t="s">
        <v>588</v>
      </c>
      <c r="I23" s="162" t="s">
        <v>588</v>
      </c>
      <c r="J23" s="162" t="s">
        <v>622</v>
      </c>
      <c r="K23" s="24"/>
    </row>
    <row r="24" spans="1:19" ht="24.6" customHeight="1">
      <c r="A24" s="84"/>
      <c r="B24" s="205" t="s">
        <v>317</v>
      </c>
      <c r="C24" s="125" t="s">
        <v>228</v>
      </c>
      <c r="D24" s="13"/>
      <c r="E24" s="24"/>
      <c r="F24" s="24"/>
      <c r="G24" s="24"/>
      <c r="H24" s="24"/>
      <c r="I24" s="24"/>
      <c r="J24" s="24"/>
      <c r="K24" s="24"/>
    </row>
    <row r="25" spans="1:19" ht="24.6" customHeight="1">
      <c r="A25" s="84"/>
      <c r="B25" s="84"/>
      <c r="C25" s="5"/>
      <c r="D25" s="5"/>
      <c r="E25" s="26">
        <f>K15+1</f>
        <v>15</v>
      </c>
      <c r="F25" s="27">
        <f t="shared" ref="F25:K25" si="1">E25+1</f>
        <v>16</v>
      </c>
      <c r="G25" s="27">
        <f t="shared" si="1"/>
        <v>17</v>
      </c>
      <c r="H25" s="27">
        <f t="shared" si="1"/>
        <v>18</v>
      </c>
      <c r="I25" s="27">
        <f t="shared" si="1"/>
        <v>19</v>
      </c>
      <c r="J25" s="27">
        <f t="shared" si="1"/>
        <v>20</v>
      </c>
      <c r="K25" s="52">
        <f t="shared" si="1"/>
        <v>21</v>
      </c>
      <c r="M25" s="203"/>
      <c r="N25" s="203"/>
      <c r="O25" s="203"/>
    </row>
    <row r="26" spans="1:19" ht="24.6" customHeight="1">
      <c r="A26" s="84"/>
      <c r="B26" s="1467" t="s">
        <v>286</v>
      </c>
      <c r="C26" s="12" t="s">
        <v>9</v>
      </c>
      <c r="D26" s="13"/>
      <c r="E26" s="14"/>
      <c r="F26" s="14"/>
      <c r="G26" s="196" t="s">
        <v>603</v>
      </c>
      <c r="H26" s="196" t="s">
        <v>602</v>
      </c>
      <c r="I26" s="14"/>
      <c r="J26" s="196" t="s">
        <v>556</v>
      </c>
      <c r="K26" s="14"/>
    </row>
    <row r="27" spans="1:19" ht="24.6" customHeight="1">
      <c r="A27" s="84"/>
      <c r="B27" s="1467"/>
      <c r="C27" s="192" t="s">
        <v>576</v>
      </c>
      <c r="D27" s="13"/>
      <c r="E27" s="14"/>
      <c r="F27" s="1542" t="s">
        <v>556</v>
      </c>
      <c r="G27" s="1543"/>
      <c r="H27" s="1544"/>
      <c r="I27" s="1542" t="s">
        <v>577</v>
      </c>
      <c r="J27" s="1544"/>
      <c r="K27" s="14"/>
    </row>
    <row r="28" spans="1:19" ht="24.6" customHeight="1">
      <c r="A28" s="84"/>
      <c r="B28" s="1467"/>
      <c r="C28" s="124" t="s">
        <v>7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63" t="s">
        <v>389</v>
      </c>
      <c r="D29" s="13"/>
      <c r="E29" s="14"/>
      <c r="F29" s="1527" t="s">
        <v>554</v>
      </c>
      <c r="G29" s="1536"/>
      <c r="H29" s="1536"/>
      <c r="I29" s="1536"/>
      <c r="J29" s="1529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4"/>
      <c r="G30" s="14"/>
      <c r="H30" s="14"/>
      <c r="I30" s="152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 t="s">
        <v>287</v>
      </c>
      <c r="C31" s="12" t="s">
        <v>9</v>
      </c>
      <c r="D31" s="13"/>
      <c r="E31" s="14"/>
      <c r="F31" s="1506" t="s">
        <v>606</v>
      </c>
      <c r="G31" s="1521"/>
      <c r="H31" s="14"/>
      <c r="I31" s="1506" t="s">
        <v>607</v>
      </c>
      <c r="J31" s="1521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124" t="s">
        <v>292</v>
      </c>
      <c r="D32" s="13"/>
      <c r="E32" s="204" t="s">
        <v>482</v>
      </c>
      <c r="F32" s="14"/>
      <c r="G32" s="14"/>
      <c r="H32" s="209" t="s">
        <v>626</v>
      </c>
      <c r="I32" s="14"/>
      <c r="J32" s="14"/>
      <c r="K32" s="14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162" t="s">
        <v>316</v>
      </c>
      <c r="D33" s="13"/>
      <c r="E33" s="14"/>
      <c r="F33" s="165" t="s">
        <v>617</v>
      </c>
      <c r="G33" s="165" t="s">
        <v>617</v>
      </c>
      <c r="H33" s="165" t="s">
        <v>617</v>
      </c>
      <c r="I33" s="165" t="s">
        <v>617</v>
      </c>
      <c r="J33" s="165" t="s">
        <v>617</v>
      </c>
      <c r="K33" s="1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205" t="s">
        <v>317</v>
      </c>
      <c r="C34" s="125" t="s">
        <v>228</v>
      </c>
      <c r="D34" s="13"/>
      <c r="E34" s="14"/>
      <c r="F34" s="14"/>
      <c r="G34" s="14"/>
      <c r="H34" s="14"/>
      <c r="I34" s="14"/>
      <c r="J34" s="14"/>
      <c r="K34" s="1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3">
        <f>K25+1</f>
        <v>22</v>
      </c>
      <c r="F35" s="37">
        <f t="shared" ref="F35:K35" si="2">E35+1</f>
        <v>23</v>
      </c>
      <c r="G35" s="37">
        <f t="shared" si="2"/>
        <v>24</v>
      </c>
      <c r="H35" s="37">
        <f t="shared" si="2"/>
        <v>25</v>
      </c>
      <c r="I35" s="37">
        <f t="shared" si="2"/>
        <v>26</v>
      </c>
      <c r="J35" s="37">
        <f t="shared" si="2"/>
        <v>27</v>
      </c>
      <c r="K35" s="23">
        <f t="shared" si="2"/>
        <v>28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286</v>
      </c>
      <c r="C36" s="12" t="s">
        <v>9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92" t="s">
        <v>576</v>
      </c>
      <c r="D37" s="13"/>
      <c r="E37" s="24"/>
      <c r="F37" s="193" t="s">
        <v>577</v>
      </c>
      <c r="G37" s="193" t="s">
        <v>573</v>
      </c>
      <c r="H37" s="24"/>
      <c r="I37" s="1546" t="s">
        <v>573</v>
      </c>
      <c r="J37" s="154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7</v>
      </c>
      <c r="D38" s="13"/>
      <c r="E38" s="24"/>
      <c r="F38" s="204" t="s">
        <v>553</v>
      </c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3" t="s">
        <v>389</v>
      </c>
      <c r="D39" s="13"/>
      <c r="E39" s="24"/>
      <c r="F39" s="1527" t="s">
        <v>554</v>
      </c>
      <c r="G39" s="1536"/>
      <c r="H39" s="1536"/>
      <c r="I39" s="1536"/>
      <c r="J39" s="1529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162" t="s">
        <v>316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" customHeight="1">
      <c r="A41" s="84"/>
      <c r="B41" s="1467" t="s">
        <v>287</v>
      </c>
      <c r="C41" s="12" t="s">
        <v>9</v>
      </c>
      <c r="D41" s="13"/>
      <c r="E41" s="24"/>
      <c r="F41" s="1506" t="s">
        <v>544</v>
      </c>
      <c r="G41" s="1521"/>
      <c r="H41" s="24"/>
      <c r="I41" s="24"/>
      <c r="J41" s="24"/>
      <c r="K41" s="24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124" t="s">
        <v>292</v>
      </c>
      <c r="D42" s="13"/>
      <c r="E42" s="24"/>
      <c r="F42" s="24"/>
      <c r="G42" s="24"/>
      <c r="H42" s="24"/>
      <c r="I42" s="1509" t="s">
        <v>628</v>
      </c>
      <c r="J42" s="1510"/>
      <c r="K42" s="2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62" t="s">
        <v>316</v>
      </c>
      <c r="D43" s="13"/>
      <c r="E43" s="24"/>
      <c r="F43" s="165" t="s">
        <v>617</v>
      </c>
      <c r="G43" s="165" t="s">
        <v>617</v>
      </c>
      <c r="H43" s="24"/>
      <c r="I43" s="165" t="s">
        <v>617</v>
      </c>
      <c r="J43" s="165" t="s">
        <v>624</v>
      </c>
      <c r="K43" s="2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205" t="s">
        <v>317</v>
      </c>
      <c r="C44" s="125" t="s">
        <v>228</v>
      </c>
      <c r="D44" s="13"/>
      <c r="E44" s="24"/>
      <c r="F44" s="24"/>
      <c r="G44" s="24"/>
      <c r="H44" s="159" t="s">
        <v>370</v>
      </c>
      <c r="I44" s="24"/>
      <c r="J44" s="24"/>
      <c r="K44" s="2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30"/>
      <c r="D45" s="13"/>
      <c r="E45" s="31">
        <f>K35+1</f>
        <v>29</v>
      </c>
      <c r="F45" s="27">
        <f>E45+1</f>
        <v>30</v>
      </c>
      <c r="G45" s="27">
        <f>F45+1</f>
        <v>31</v>
      </c>
      <c r="H45" s="27"/>
      <c r="I45" s="27"/>
      <c r="J45" s="27"/>
      <c r="K45" s="52"/>
      <c r="L45" s="84"/>
      <c r="M45" s="84"/>
      <c r="N45" s="84">
        <v>1</v>
      </c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92" t="s">
        <v>193</v>
      </c>
      <c r="D47" s="13"/>
      <c r="E47" s="14"/>
      <c r="F47" s="1542" t="s">
        <v>559</v>
      </c>
      <c r="G47" s="1543"/>
      <c r="H47" s="1544"/>
      <c r="I47" s="1542" t="s">
        <v>571</v>
      </c>
      <c r="J47" s="154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24" t="s">
        <v>7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163" t="s">
        <v>389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162" t="s">
        <v>316</v>
      </c>
      <c r="D50" s="13"/>
      <c r="E50" s="14"/>
      <c r="F50" s="14"/>
      <c r="G50" s="14"/>
      <c r="H50" s="14"/>
      <c r="I50" s="14"/>
      <c r="J50" s="14"/>
      <c r="K50" s="1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 t="s">
        <v>287</v>
      </c>
      <c r="C51" s="12" t="s">
        <v>9</v>
      </c>
      <c r="D51" s="13"/>
      <c r="E51" s="14"/>
      <c r="F51" s="14"/>
      <c r="G51" s="14"/>
      <c r="H51" s="14"/>
      <c r="I51" s="14"/>
      <c r="J51" s="14"/>
      <c r="K51" s="1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24" t="s">
        <v>292</v>
      </c>
      <c r="D52" s="13"/>
      <c r="E52" s="14"/>
      <c r="F52" s="1509" t="s">
        <v>510</v>
      </c>
      <c r="G52" s="1510"/>
      <c r="H52" s="14"/>
      <c r="I52" s="152"/>
      <c r="J52" s="14"/>
      <c r="K52" s="1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162" t="s">
        <v>316</v>
      </c>
      <c r="D53" s="13"/>
      <c r="E53" s="14"/>
      <c r="F53" s="165" t="s">
        <v>618</v>
      </c>
      <c r="G53" s="165" t="s">
        <v>618</v>
      </c>
      <c r="H53" s="14"/>
      <c r="I53" s="14"/>
      <c r="J53" s="14"/>
      <c r="K53" s="14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205" t="s">
        <v>317</v>
      </c>
      <c r="C54" s="125" t="s">
        <v>228</v>
      </c>
      <c r="D54" s="13"/>
      <c r="E54" s="14"/>
      <c r="F54" s="1547" t="s">
        <v>336</v>
      </c>
      <c r="G54" s="1548"/>
      <c r="H54" s="1548"/>
      <c r="I54" s="1548"/>
      <c r="J54" s="1549"/>
      <c r="K54" s="14"/>
      <c r="L54" s="84"/>
      <c r="M54" s="84"/>
      <c r="N54" s="84"/>
      <c r="O54" s="84"/>
      <c r="P54" s="84"/>
      <c r="Q54" s="84"/>
      <c r="R54" s="84"/>
      <c r="S54" s="84"/>
    </row>
    <row r="57" spans="1:19">
      <c r="I57" s="90"/>
      <c r="J57" s="90"/>
    </row>
    <row r="58" spans="1:19">
      <c r="H58" s="90"/>
    </row>
    <row r="59" spans="1:19">
      <c r="H59" s="90"/>
    </row>
    <row r="60" spans="1:19" s="4" customFormat="1">
      <c r="H60" s="90"/>
    </row>
    <row r="61" spans="1:19" s="4" customFormat="1">
      <c r="H61" s="90"/>
    </row>
    <row r="62" spans="1:19" s="4" customFormat="1">
      <c r="H62" s="90"/>
    </row>
    <row r="63" spans="1:19" s="4" customFormat="1">
      <c r="H63" s="90"/>
    </row>
  </sheetData>
  <mergeCells count="32">
    <mergeCell ref="F54:J54"/>
    <mergeCell ref="B36:B40"/>
    <mergeCell ref="I37:J37"/>
    <mergeCell ref="F39:J39"/>
    <mergeCell ref="B41:B43"/>
    <mergeCell ref="F41:G41"/>
    <mergeCell ref="I42:J42"/>
    <mergeCell ref="B46:B50"/>
    <mergeCell ref="F47:H47"/>
    <mergeCell ref="I47:J47"/>
    <mergeCell ref="B51:B53"/>
    <mergeCell ref="F52:G52"/>
    <mergeCell ref="B26:B30"/>
    <mergeCell ref="F27:H27"/>
    <mergeCell ref="I27:J27"/>
    <mergeCell ref="F29:J29"/>
    <mergeCell ref="B31:B33"/>
    <mergeCell ref="F31:G31"/>
    <mergeCell ref="I31:J31"/>
    <mergeCell ref="B16:B20"/>
    <mergeCell ref="H17:J17"/>
    <mergeCell ref="F19:J19"/>
    <mergeCell ref="B21:B23"/>
    <mergeCell ref="I21:J21"/>
    <mergeCell ref="G22:H22"/>
    <mergeCell ref="E3:G3"/>
    <mergeCell ref="H3:K3"/>
    <mergeCell ref="B6:B10"/>
    <mergeCell ref="F9:J9"/>
    <mergeCell ref="B11:B13"/>
    <mergeCell ref="F11:G11"/>
    <mergeCell ref="I11:J11"/>
  </mergeCells>
  <phoneticPr fontId="6" type="noConversion"/>
  <pageMargins left="0.7" right="0.7" top="0.75" bottom="0.75" header="0.3" footer="0.3"/>
  <pageSetup paperSize="9" scale="37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S63"/>
  <sheetViews>
    <sheetView topLeftCell="C10" zoomScale="55" zoomScaleNormal="55" workbookViewId="0">
      <selection activeCell="H26" sqref="H2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43800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f>G5+1</f>
        <v>4</v>
      </c>
      <c r="I5" s="60">
        <f>H5+1</f>
        <v>5</v>
      </c>
      <c r="J5" s="60">
        <f>I5+1</f>
        <v>6</v>
      </c>
      <c r="K5" s="132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207" t="s">
        <v>482</v>
      </c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92" t="s">
        <v>576</v>
      </c>
      <c r="D7" s="13"/>
      <c r="E7" s="14"/>
      <c r="F7" s="198" t="s">
        <v>551</v>
      </c>
      <c r="G7" s="198" t="s">
        <v>551</v>
      </c>
      <c r="H7" s="187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24" t="s">
        <v>7</v>
      </c>
      <c r="D8" s="13"/>
      <c r="E8" s="14"/>
      <c r="F8" s="124" t="s">
        <v>597</v>
      </c>
      <c r="G8" s="124" t="s">
        <v>548</v>
      </c>
      <c r="H8" s="124" t="s">
        <v>566</v>
      </c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3" t="s">
        <v>389</v>
      </c>
      <c r="D9" s="13"/>
      <c r="E9" s="14"/>
      <c r="F9" s="1527" t="s">
        <v>535</v>
      </c>
      <c r="G9" s="1536"/>
      <c r="H9" s="1536"/>
      <c r="I9" s="1536"/>
      <c r="J9" s="1529"/>
      <c r="K9" s="14"/>
      <c r="L9" s="4"/>
      <c r="M9" s="4"/>
      <c r="N9" s="4"/>
      <c r="R9" s="11"/>
      <c r="S9" s="4"/>
    </row>
    <row r="10" spans="1:19" s="5" customFormat="1" ht="24.6" customHeight="1">
      <c r="B10" s="1467"/>
      <c r="C10" s="162" t="s">
        <v>316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 t="s">
        <v>287</v>
      </c>
      <c r="C11" s="12" t="s">
        <v>9</v>
      </c>
      <c r="D11" s="13"/>
      <c r="E11" s="14"/>
      <c r="F11" s="1506" t="s">
        <v>646</v>
      </c>
      <c r="G11" s="1507"/>
      <c r="H11" s="14"/>
      <c r="I11" s="1506" t="s">
        <v>647</v>
      </c>
      <c r="J11" s="1507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24" t="s">
        <v>292</v>
      </c>
      <c r="D12" s="13"/>
      <c r="E12" s="14"/>
      <c r="F12" s="14"/>
      <c r="G12" s="14"/>
      <c r="H12" s="166" t="s">
        <v>601</v>
      </c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467"/>
      <c r="C13" s="162" t="s">
        <v>316</v>
      </c>
      <c r="D13" s="13"/>
      <c r="E13" s="162" t="s">
        <v>587</v>
      </c>
      <c r="F13" s="162" t="s">
        <v>588</v>
      </c>
      <c r="G13" s="162" t="s">
        <v>588</v>
      </c>
      <c r="H13" s="162" t="s">
        <v>588</v>
      </c>
      <c r="I13" s="162" t="s">
        <v>588</v>
      </c>
      <c r="J13" s="162" t="s">
        <v>588</v>
      </c>
      <c r="K13" s="14"/>
      <c r="L13" s="4"/>
      <c r="M13" s="4"/>
      <c r="N13" s="4"/>
      <c r="R13" s="11"/>
      <c r="S13" s="4"/>
    </row>
    <row r="14" spans="1:19" s="5" customFormat="1" ht="24.6" customHeight="1">
      <c r="B14" s="208" t="s">
        <v>317</v>
      </c>
      <c r="C14" s="125" t="s">
        <v>228</v>
      </c>
      <c r="D14" s="13"/>
      <c r="E14" s="14"/>
      <c r="F14" s="207"/>
      <c r="G14" s="207"/>
      <c r="H14" s="207"/>
      <c r="I14" s="142"/>
      <c r="J14" s="207"/>
      <c r="K14" s="14"/>
      <c r="L14" s="4"/>
      <c r="M14" s="4"/>
      <c r="N14" s="4"/>
      <c r="R14" s="11"/>
      <c r="S14" s="4"/>
    </row>
    <row r="15" spans="1:19" ht="24.6" customHeight="1">
      <c r="A15" s="84"/>
      <c r="B15" s="84"/>
      <c r="C15" s="5"/>
      <c r="D15" s="5"/>
      <c r="E15" s="23">
        <f>K5+1</f>
        <v>8</v>
      </c>
      <c r="F15" s="65">
        <f t="shared" ref="F15:K15" si="0">E15+1</f>
        <v>9</v>
      </c>
      <c r="G15" s="65">
        <f t="shared" si="0"/>
        <v>10</v>
      </c>
      <c r="H15" s="65">
        <f t="shared" si="0"/>
        <v>11</v>
      </c>
      <c r="I15" s="65">
        <f t="shared" si="0"/>
        <v>12</v>
      </c>
      <c r="J15" s="65">
        <f t="shared" si="0"/>
        <v>13</v>
      </c>
      <c r="K15" s="23">
        <f t="shared" si="0"/>
        <v>14</v>
      </c>
    </row>
    <row r="16" spans="1:19" ht="24.6" customHeight="1">
      <c r="A16" s="84"/>
      <c r="B16" s="1467" t="s">
        <v>286</v>
      </c>
      <c r="C16" s="12" t="s">
        <v>9</v>
      </c>
      <c r="D16" s="13"/>
      <c r="E16" s="24"/>
      <c r="F16" s="24"/>
      <c r="G16" s="167" t="s">
        <v>636</v>
      </c>
      <c r="H16" s="24"/>
      <c r="I16" s="24"/>
      <c r="J16" s="196" t="s">
        <v>555</v>
      </c>
      <c r="K16" s="32" t="s">
        <v>482</v>
      </c>
    </row>
    <row r="17" spans="1:19" ht="24.6" customHeight="1">
      <c r="A17" s="84"/>
      <c r="B17" s="1467"/>
      <c r="C17" s="192" t="s">
        <v>576</v>
      </c>
      <c r="D17" s="13"/>
      <c r="E17" s="24"/>
      <c r="F17" s="24"/>
      <c r="G17" s="24"/>
      <c r="H17" s="1542" t="s">
        <v>640</v>
      </c>
      <c r="I17" s="1543"/>
      <c r="J17" s="1544"/>
      <c r="K17" s="24"/>
    </row>
    <row r="18" spans="1:19" ht="24" customHeight="1">
      <c r="A18" s="84"/>
      <c r="B18" s="1467"/>
      <c r="C18" s="124" t="s">
        <v>7</v>
      </c>
      <c r="D18" s="13"/>
      <c r="E18" s="24"/>
      <c r="F18" s="24"/>
      <c r="G18" s="24"/>
      <c r="H18" s="24"/>
      <c r="I18" s="24"/>
      <c r="J18" s="32" t="s">
        <v>552</v>
      </c>
      <c r="K18" s="24"/>
    </row>
    <row r="19" spans="1:19" ht="24.6" customHeight="1">
      <c r="A19" s="84"/>
      <c r="B19" s="1467"/>
      <c r="C19" s="163" t="s">
        <v>389</v>
      </c>
      <c r="D19" s="13"/>
      <c r="E19" s="24"/>
      <c r="F19" s="1527" t="s">
        <v>535</v>
      </c>
      <c r="G19" s="1536"/>
      <c r="H19" s="1536"/>
      <c r="I19" s="1536"/>
      <c r="J19" s="1529"/>
      <c r="K19" s="24"/>
    </row>
    <row r="20" spans="1:19" ht="24.6" customHeight="1">
      <c r="A20" s="84"/>
      <c r="B20" s="1467"/>
      <c r="C20" s="162" t="s">
        <v>316</v>
      </c>
      <c r="D20" s="13"/>
      <c r="E20" s="24"/>
      <c r="F20" s="24"/>
      <c r="G20" s="24"/>
      <c r="H20" s="24"/>
      <c r="I20" s="24"/>
      <c r="J20" s="24"/>
      <c r="K20" s="24"/>
    </row>
    <row r="21" spans="1:19" ht="24.6" customHeight="1">
      <c r="A21" s="84"/>
      <c r="B21" s="1467" t="s">
        <v>287</v>
      </c>
      <c r="C21" s="12" t="s">
        <v>9</v>
      </c>
      <c r="D21" s="13"/>
      <c r="E21" s="24"/>
      <c r="F21" s="24"/>
      <c r="G21" s="24"/>
      <c r="H21" s="24"/>
      <c r="I21" s="24"/>
      <c r="J21" s="24"/>
      <c r="K21" s="211" t="s">
        <v>408</v>
      </c>
    </row>
    <row r="22" spans="1:19" ht="24" customHeight="1">
      <c r="A22" s="84"/>
      <c r="B22" s="1467"/>
      <c r="C22" s="124" t="s">
        <v>292</v>
      </c>
      <c r="D22" s="13"/>
      <c r="E22" s="24"/>
      <c r="F22" s="166" t="s">
        <v>600</v>
      </c>
      <c r="G22" s="1509" t="s">
        <v>627</v>
      </c>
      <c r="H22" s="1510"/>
      <c r="I22" s="24"/>
      <c r="J22" s="24"/>
      <c r="K22" s="24"/>
    </row>
    <row r="23" spans="1:19" ht="24" customHeight="1">
      <c r="A23" s="84"/>
      <c r="B23" s="1467"/>
      <c r="C23" s="162" t="s">
        <v>316</v>
      </c>
      <c r="D23" s="13"/>
      <c r="E23" s="24"/>
      <c r="F23" s="162" t="s">
        <v>588</v>
      </c>
      <c r="G23" s="162" t="s">
        <v>588</v>
      </c>
      <c r="H23" s="162" t="s">
        <v>588</v>
      </c>
      <c r="I23" s="162" t="s">
        <v>588</v>
      </c>
      <c r="J23" s="162" t="s">
        <v>622</v>
      </c>
      <c r="K23" s="24"/>
    </row>
    <row r="24" spans="1:19" ht="24.6" customHeight="1">
      <c r="A24" s="84"/>
      <c r="B24" s="208" t="s">
        <v>317</v>
      </c>
      <c r="C24" s="125" t="s">
        <v>228</v>
      </c>
      <c r="D24" s="13"/>
      <c r="E24" s="24"/>
      <c r="F24" s="24"/>
      <c r="G24" s="24"/>
      <c r="H24" s="24"/>
      <c r="I24" s="24"/>
      <c r="J24" s="24"/>
      <c r="K24" s="24"/>
    </row>
    <row r="25" spans="1:19" ht="24.6" customHeight="1">
      <c r="A25" s="84"/>
      <c r="B25" s="84"/>
      <c r="C25" s="5"/>
      <c r="D25" s="5"/>
      <c r="E25" s="26">
        <f>K15+1</f>
        <v>15</v>
      </c>
      <c r="F25" s="27">
        <f t="shared" ref="F25:K25" si="1">E25+1</f>
        <v>16</v>
      </c>
      <c r="G25" s="27">
        <f t="shared" si="1"/>
        <v>17</v>
      </c>
      <c r="H25" s="27">
        <f t="shared" si="1"/>
        <v>18</v>
      </c>
      <c r="I25" s="27">
        <f t="shared" si="1"/>
        <v>19</v>
      </c>
      <c r="J25" s="27">
        <f t="shared" si="1"/>
        <v>20</v>
      </c>
      <c r="K25" s="52">
        <f t="shared" si="1"/>
        <v>21</v>
      </c>
      <c r="M25" s="203"/>
      <c r="N25" s="203"/>
      <c r="O25" s="203"/>
    </row>
    <row r="26" spans="1:19" ht="24.6" customHeight="1">
      <c r="A26" s="84"/>
      <c r="B26" s="1467" t="s">
        <v>286</v>
      </c>
      <c r="C26" s="12" t="s">
        <v>9</v>
      </c>
      <c r="D26" s="13"/>
      <c r="E26" s="14"/>
      <c r="F26" s="196" t="s">
        <v>602</v>
      </c>
      <c r="G26" s="14"/>
      <c r="H26" s="196" t="s">
        <v>603</v>
      </c>
      <c r="I26" s="196" t="s">
        <v>556</v>
      </c>
      <c r="J26" s="14"/>
      <c r="K26" s="196" t="s">
        <v>557</v>
      </c>
    </row>
    <row r="27" spans="1:19" ht="24.6" customHeight="1">
      <c r="A27" s="84"/>
      <c r="B27" s="1467"/>
      <c r="C27" s="192" t="s">
        <v>576</v>
      </c>
      <c r="D27" s="13"/>
      <c r="E27" s="14"/>
      <c r="F27" s="1542" t="s">
        <v>555</v>
      </c>
      <c r="G27" s="1543"/>
      <c r="H27" s="1544"/>
      <c r="I27" s="1542" t="s">
        <v>641</v>
      </c>
      <c r="J27" s="1544"/>
      <c r="K27" s="14"/>
    </row>
    <row r="28" spans="1:19" ht="24.6" customHeight="1">
      <c r="A28" s="84"/>
      <c r="B28" s="1467"/>
      <c r="C28" s="124" t="s">
        <v>7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63" t="s">
        <v>389</v>
      </c>
      <c r="D29" s="13"/>
      <c r="E29" s="14"/>
      <c r="F29" s="1527" t="s">
        <v>554</v>
      </c>
      <c r="G29" s="1536"/>
      <c r="H29" s="1536"/>
      <c r="I29" s="1536"/>
      <c r="J29" s="1529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4"/>
      <c r="G30" s="14"/>
      <c r="H30" s="14"/>
      <c r="I30" s="152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 t="s">
        <v>287</v>
      </c>
      <c r="C31" s="12" t="s">
        <v>9</v>
      </c>
      <c r="D31" s="13"/>
      <c r="E31" s="211" t="s">
        <v>408</v>
      </c>
      <c r="F31" s="14"/>
      <c r="G31" s="1506" t="s">
        <v>645</v>
      </c>
      <c r="H31" s="1507"/>
      <c r="I31" s="152"/>
      <c r="J31" s="1506" t="s">
        <v>607</v>
      </c>
      <c r="K31" s="1521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124" t="s">
        <v>292</v>
      </c>
      <c r="D32" s="13"/>
      <c r="E32" s="207" t="s">
        <v>482</v>
      </c>
      <c r="F32" s="14"/>
      <c r="G32" s="14"/>
      <c r="H32" s="14"/>
      <c r="I32" s="209" t="s">
        <v>626</v>
      </c>
      <c r="J32" s="14"/>
      <c r="K32" s="14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162" t="s">
        <v>316</v>
      </c>
      <c r="D33" s="13"/>
      <c r="E33" s="14"/>
      <c r="F33" s="165" t="s">
        <v>617</v>
      </c>
      <c r="G33" s="165" t="s">
        <v>617</v>
      </c>
      <c r="H33" s="165" t="s">
        <v>617</v>
      </c>
      <c r="I33" s="165" t="s">
        <v>617</v>
      </c>
      <c r="J33" s="165" t="s">
        <v>617</v>
      </c>
      <c r="K33" s="1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208" t="s">
        <v>317</v>
      </c>
      <c r="C34" s="125" t="s">
        <v>228</v>
      </c>
      <c r="D34" s="13"/>
      <c r="E34" s="14"/>
      <c r="F34" s="14"/>
      <c r="G34" s="14"/>
      <c r="H34" s="14"/>
      <c r="I34" s="14"/>
      <c r="J34" s="14"/>
      <c r="K34" s="1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3">
        <f>K25+1</f>
        <v>22</v>
      </c>
      <c r="F35" s="37">
        <f t="shared" ref="F35:K35" si="2">E35+1</f>
        <v>23</v>
      </c>
      <c r="G35" s="37">
        <f t="shared" si="2"/>
        <v>24</v>
      </c>
      <c r="H35" s="37">
        <f t="shared" si="2"/>
        <v>25</v>
      </c>
      <c r="I35" s="37">
        <f t="shared" si="2"/>
        <v>26</v>
      </c>
      <c r="J35" s="37">
        <f t="shared" si="2"/>
        <v>27</v>
      </c>
      <c r="K35" s="23">
        <f t="shared" si="2"/>
        <v>28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286</v>
      </c>
      <c r="C36" s="12" t="s">
        <v>9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92" t="s">
        <v>576</v>
      </c>
      <c r="D37" s="13"/>
      <c r="E37" s="24"/>
      <c r="F37" s="193" t="s">
        <v>642</v>
      </c>
      <c r="G37" s="193" t="s">
        <v>643</v>
      </c>
      <c r="H37" s="24"/>
      <c r="I37" s="1546" t="s">
        <v>643</v>
      </c>
      <c r="J37" s="154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7</v>
      </c>
      <c r="D38" s="13"/>
      <c r="E38" s="24"/>
      <c r="F38" s="207" t="s">
        <v>553</v>
      </c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3" t="s">
        <v>389</v>
      </c>
      <c r="D39" s="13"/>
      <c r="E39" s="24"/>
      <c r="F39" s="1527" t="s">
        <v>554</v>
      </c>
      <c r="G39" s="1536"/>
      <c r="H39" s="1536"/>
      <c r="I39" s="1536"/>
      <c r="J39" s="1529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162" t="s">
        <v>316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" customHeight="1">
      <c r="A41" s="84"/>
      <c r="B41" s="1467" t="s">
        <v>287</v>
      </c>
      <c r="C41" s="12" t="s">
        <v>9</v>
      </c>
      <c r="D41" s="13"/>
      <c r="E41" s="24"/>
      <c r="F41" s="1506" t="s">
        <v>544</v>
      </c>
      <c r="G41" s="1521"/>
      <c r="H41" s="24"/>
      <c r="I41" s="24"/>
      <c r="J41" s="24"/>
      <c r="K41" s="24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124" t="s">
        <v>292</v>
      </c>
      <c r="D42" s="13"/>
      <c r="E42" s="24"/>
      <c r="F42" s="24"/>
      <c r="G42" s="24"/>
      <c r="H42" s="24"/>
      <c r="I42" s="1509" t="s">
        <v>628</v>
      </c>
      <c r="J42" s="1510"/>
      <c r="K42" s="2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62" t="s">
        <v>316</v>
      </c>
      <c r="D43" s="13"/>
      <c r="E43" s="24"/>
      <c r="F43" s="165" t="s">
        <v>617</v>
      </c>
      <c r="G43" s="165" t="s">
        <v>617</v>
      </c>
      <c r="H43" s="24"/>
      <c r="I43" s="165" t="s">
        <v>617</v>
      </c>
      <c r="J43" s="165" t="s">
        <v>624</v>
      </c>
      <c r="K43" s="2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208" t="s">
        <v>317</v>
      </c>
      <c r="C44" s="125" t="s">
        <v>228</v>
      </c>
      <c r="D44" s="13"/>
      <c r="E44" s="24"/>
      <c r="F44" s="24"/>
      <c r="G44" s="24"/>
      <c r="H44" s="159" t="s">
        <v>370</v>
      </c>
      <c r="I44" s="24"/>
      <c r="J44" s="24"/>
      <c r="K44" s="2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30"/>
      <c r="D45" s="13"/>
      <c r="E45" s="31">
        <f>K35+1</f>
        <v>29</v>
      </c>
      <c r="F45" s="27">
        <f>E45+1</f>
        <v>30</v>
      </c>
      <c r="G45" s="27">
        <f>F45+1</f>
        <v>31</v>
      </c>
      <c r="H45" s="27"/>
      <c r="I45" s="27"/>
      <c r="J45" s="27"/>
      <c r="K45" s="52"/>
      <c r="L45" s="84"/>
      <c r="M45" s="84"/>
      <c r="N45" s="84">
        <v>1</v>
      </c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92" t="s">
        <v>193</v>
      </c>
      <c r="D47" s="13"/>
      <c r="E47" s="14"/>
      <c r="F47" s="1542" t="s">
        <v>556</v>
      </c>
      <c r="G47" s="1543"/>
      <c r="H47" s="14"/>
      <c r="I47" s="198" t="s">
        <v>556</v>
      </c>
      <c r="J47" s="198" t="s">
        <v>557</v>
      </c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24" t="s">
        <v>7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163" t="s">
        <v>389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162" t="s">
        <v>316</v>
      </c>
      <c r="D50" s="13"/>
      <c r="E50" s="14"/>
      <c r="F50" s="14"/>
      <c r="G50" s="14"/>
      <c r="H50" s="14"/>
      <c r="I50" s="14"/>
      <c r="J50" s="14"/>
      <c r="K50" s="1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 t="s">
        <v>287</v>
      </c>
      <c r="C51" s="12" t="s">
        <v>9</v>
      </c>
      <c r="D51" s="13"/>
      <c r="E51" s="14"/>
      <c r="F51" s="14"/>
      <c r="G51" s="14"/>
      <c r="H51" s="14"/>
      <c r="I51" s="14"/>
      <c r="J51" s="14"/>
      <c r="K51" s="1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24" t="s">
        <v>292</v>
      </c>
      <c r="D52" s="13"/>
      <c r="E52" s="14"/>
      <c r="F52" s="1509" t="s">
        <v>510</v>
      </c>
      <c r="G52" s="1510"/>
      <c r="H52" s="14"/>
      <c r="I52" s="152"/>
      <c r="J52" s="14"/>
      <c r="K52" s="1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162" t="s">
        <v>316</v>
      </c>
      <c r="D53" s="13"/>
      <c r="E53" s="14"/>
      <c r="F53" s="165" t="s">
        <v>618</v>
      </c>
      <c r="G53" s="165" t="s">
        <v>618</v>
      </c>
      <c r="H53" s="14"/>
      <c r="I53" s="14"/>
      <c r="J53" s="14"/>
      <c r="K53" s="14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208" t="s">
        <v>317</v>
      </c>
      <c r="C54" s="125" t="s">
        <v>228</v>
      </c>
      <c r="D54" s="13"/>
      <c r="E54" s="14"/>
      <c r="F54" s="1547" t="s">
        <v>336</v>
      </c>
      <c r="G54" s="1548"/>
      <c r="H54" s="1548"/>
      <c r="I54" s="1548"/>
      <c r="J54" s="1549"/>
      <c r="K54" s="14"/>
      <c r="L54" s="84"/>
      <c r="M54" s="84"/>
      <c r="N54" s="84"/>
      <c r="O54" s="84"/>
      <c r="P54" s="84"/>
      <c r="Q54" s="84"/>
      <c r="R54" s="84"/>
      <c r="S54" s="84"/>
    </row>
    <row r="57" spans="1:19">
      <c r="I57" s="90"/>
      <c r="J57" s="90"/>
    </row>
    <row r="58" spans="1:19">
      <c r="H58" s="90"/>
    </row>
    <row r="59" spans="1:19">
      <c r="H59" s="90"/>
    </row>
    <row r="60" spans="1:19" s="4" customFormat="1">
      <c r="H60" s="90"/>
    </row>
    <row r="61" spans="1:19" s="4" customFormat="1">
      <c r="H61" s="90"/>
    </row>
    <row r="62" spans="1:19" s="4" customFormat="1">
      <c r="H62" s="90"/>
    </row>
    <row r="63" spans="1:19" s="4" customFormat="1">
      <c r="H63" s="90"/>
    </row>
  </sheetData>
  <mergeCells count="30">
    <mergeCell ref="E3:G3"/>
    <mergeCell ref="H3:K3"/>
    <mergeCell ref="B6:B10"/>
    <mergeCell ref="F9:J9"/>
    <mergeCell ref="B11:B13"/>
    <mergeCell ref="F11:G11"/>
    <mergeCell ref="I11:J11"/>
    <mergeCell ref="B16:B20"/>
    <mergeCell ref="H17:J17"/>
    <mergeCell ref="F19:J19"/>
    <mergeCell ref="B21:B23"/>
    <mergeCell ref="G22:H22"/>
    <mergeCell ref="B26:B30"/>
    <mergeCell ref="F27:H27"/>
    <mergeCell ref="I27:J27"/>
    <mergeCell ref="F29:J29"/>
    <mergeCell ref="B31:B33"/>
    <mergeCell ref="G31:H31"/>
    <mergeCell ref="J31:K31"/>
    <mergeCell ref="F54:J54"/>
    <mergeCell ref="B36:B40"/>
    <mergeCell ref="I37:J37"/>
    <mergeCell ref="F39:J39"/>
    <mergeCell ref="B41:B43"/>
    <mergeCell ref="F41:G41"/>
    <mergeCell ref="I42:J42"/>
    <mergeCell ref="B46:B50"/>
    <mergeCell ref="B51:B53"/>
    <mergeCell ref="F52:G52"/>
    <mergeCell ref="F47:G47"/>
  </mergeCells>
  <phoneticPr fontId="6" type="noConversion"/>
  <pageMargins left="0.7" right="0.7" top="0.75" bottom="0.75" header="0.3" footer="0.3"/>
  <pageSetup paperSize="9" scale="37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T58"/>
  <sheetViews>
    <sheetView topLeftCell="A30" zoomScale="70" zoomScaleNormal="7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6" width="6.6640625" style="4" customWidth="1"/>
    <col min="17" max="17" width="11.44140625" style="4" bestFit="1" customWidth="1"/>
    <col min="18" max="18" width="12" style="4" customWidth="1"/>
    <col min="19" max="19" width="11.44140625" style="4" customWidth="1"/>
    <col min="20" max="20" width="11.6640625" style="84" customWidth="1"/>
    <col min="21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43831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1">
        <f>G5+1</f>
        <v>1</v>
      </c>
      <c r="I5" s="60">
        <f>H5+1</f>
        <v>2</v>
      </c>
      <c r="J5" s="60">
        <f>I5+1</f>
        <v>3</v>
      </c>
      <c r="K5" s="132">
        <f>J5+1</f>
        <v>4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24" t="s">
        <v>664</v>
      </c>
      <c r="J11" s="124" t="s">
        <v>605</v>
      </c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65" t="s">
        <v>618</v>
      </c>
      <c r="J12" s="165" t="s">
        <v>618</v>
      </c>
      <c r="K12" s="14"/>
      <c r="L12" s="4"/>
      <c r="M12" s="4"/>
      <c r="N12" s="4"/>
      <c r="R12" s="11"/>
      <c r="S12" s="4"/>
    </row>
    <row r="13" spans="1:19" s="5" customFormat="1" ht="24.6" customHeight="1">
      <c r="B13" s="179" t="s">
        <v>317</v>
      </c>
      <c r="C13" s="125" t="s">
        <v>228</v>
      </c>
      <c r="D13" s="13"/>
      <c r="E13" s="14"/>
      <c r="F13" s="178"/>
      <c r="G13" s="178"/>
      <c r="H13" s="181" t="s">
        <v>538</v>
      </c>
      <c r="I13" s="142" t="s">
        <v>336</v>
      </c>
      <c r="J13" s="178" t="s">
        <v>336</v>
      </c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5</v>
      </c>
      <c r="F14" s="65">
        <f t="shared" ref="F14:K14" si="0">E14+1</f>
        <v>6</v>
      </c>
      <c r="G14" s="65">
        <f t="shared" si="0"/>
        <v>7</v>
      </c>
      <c r="H14" s="65">
        <f t="shared" si="0"/>
        <v>8</v>
      </c>
      <c r="I14" s="65">
        <f t="shared" si="0"/>
        <v>9</v>
      </c>
      <c r="J14" s="65">
        <f t="shared" si="0"/>
        <v>10</v>
      </c>
      <c r="K14" s="23">
        <f t="shared" si="0"/>
        <v>11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1542" t="s">
        <v>557</v>
      </c>
      <c r="G18" s="154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124" t="s">
        <v>667</v>
      </c>
      <c r="G20" s="1509" t="s">
        <v>655</v>
      </c>
      <c r="H20" s="1524"/>
      <c r="I20" s="212" t="s">
        <v>665</v>
      </c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165" t="s">
        <v>687</v>
      </c>
      <c r="G21" s="165" t="s">
        <v>687</v>
      </c>
      <c r="H21" s="165" t="s">
        <v>687</v>
      </c>
      <c r="I21" s="165" t="s">
        <v>625</v>
      </c>
      <c r="J21" s="165" t="s">
        <v>650</v>
      </c>
      <c r="K21" s="24"/>
    </row>
    <row r="22" spans="1:19" ht="24.6" customHeight="1">
      <c r="A22" s="84"/>
      <c r="B22" s="179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12</v>
      </c>
      <c r="F23" s="27">
        <f t="shared" ref="F23:K23" si="1">E23+1</f>
        <v>13</v>
      </c>
      <c r="G23" s="27">
        <f t="shared" si="1"/>
        <v>14</v>
      </c>
      <c r="H23" s="27">
        <f t="shared" si="1"/>
        <v>15</v>
      </c>
      <c r="I23" s="27">
        <f t="shared" si="1"/>
        <v>16</v>
      </c>
      <c r="J23" s="27">
        <f t="shared" si="1"/>
        <v>17</v>
      </c>
      <c r="K23" s="52">
        <f t="shared" si="1"/>
        <v>18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52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509" t="s">
        <v>654</v>
      </c>
      <c r="H29" s="1510"/>
      <c r="I29" s="14"/>
      <c r="J29" s="124" t="s">
        <v>666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5" t="s">
        <v>669</v>
      </c>
      <c r="G30" s="165" t="s">
        <v>668</v>
      </c>
      <c r="H30" s="165" t="s">
        <v>651</v>
      </c>
      <c r="I30" s="165" t="s">
        <v>651</v>
      </c>
      <c r="J30" s="165" t="s">
        <v>651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79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19</v>
      </c>
      <c r="F32" s="37">
        <f t="shared" ref="F32:K32" si="2">E32+1</f>
        <v>20</v>
      </c>
      <c r="G32" s="37">
        <f t="shared" si="2"/>
        <v>21</v>
      </c>
      <c r="H32" s="37">
        <f t="shared" si="2"/>
        <v>22</v>
      </c>
      <c r="I32" s="37">
        <f t="shared" si="2"/>
        <v>23</v>
      </c>
      <c r="J32" s="54">
        <f t="shared" si="2"/>
        <v>24</v>
      </c>
      <c r="K32" s="23">
        <f t="shared" si="2"/>
        <v>25</v>
      </c>
      <c r="L32" s="84"/>
      <c r="M32" s="84"/>
      <c r="N32" s="84"/>
      <c r="O32" s="84"/>
      <c r="P32" s="84"/>
      <c r="Q32" s="84"/>
      <c r="R32" s="84"/>
      <c r="S32" s="84"/>
    </row>
    <row r="33" spans="1:20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1554" t="s">
        <v>675</v>
      </c>
      <c r="R33" s="1554"/>
      <c r="S33" s="1554" t="s">
        <v>676</v>
      </c>
      <c r="T33" s="1554"/>
    </row>
    <row r="34" spans="1:20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66"/>
      <c r="Q34" s="66" t="s">
        <v>677</v>
      </c>
      <c r="R34" s="66" t="s">
        <v>678</v>
      </c>
      <c r="S34" s="66" t="s">
        <v>677</v>
      </c>
      <c r="T34" s="66" t="s">
        <v>679</v>
      </c>
    </row>
    <row r="35" spans="1:20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 t="s">
        <v>680</v>
      </c>
      <c r="P35" s="66" t="s">
        <v>674</v>
      </c>
      <c r="Q35" s="66" t="s">
        <v>682</v>
      </c>
      <c r="R35" s="66" t="s">
        <v>681</v>
      </c>
      <c r="S35" s="66" t="s">
        <v>681</v>
      </c>
      <c r="T35" s="66" t="s">
        <v>683</v>
      </c>
    </row>
    <row r="36" spans="1:20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66"/>
      <c r="Q36" s="66"/>
      <c r="R36" s="66"/>
      <c r="S36" s="66"/>
      <c r="T36" s="66"/>
    </row>
    <row r="37" spans="1:20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20" ht="24.6" customHeight="1">
      <c r="A38" s="84"/>
      <c r="B38" s="1467"/>
      <c r="C38" s="124" t="s">
        <v>292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20" ht="24.6" customHeight="1">
      <c r="A39" s="84"/>
      <c r="B39" s="1467"/>
      <c r="C39" s="162" t="s">
        <v>316</v>
      </c>
      <c r="D39" s="13"/>
      <c r="E39" s="24"/>
      <c r="F39" s="165" t="s">
        <v>685</v>
      </c>
      <c r="G39" s="165" t="s">
        <v>684</v>
      </c>
      <c r="H39" s="165" t="s">
        <v>670</v>
      </c>
      <c r="I39" s="165" t="s">
        <v>670</v>
      </c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20" ht="24.6" customHeight="1">
      <c r="A40" s="84"/>
      <c r="B40" s="179" t="s">
        <v>317</v>
      </c>
      <c r="C40" s="125" t="s">
        <v>228</v>
      </c>
      <c r="D40" s="13"/>
      <c r="E40" s="24"/>
      <c r="F40" s="24"/>
      <c r="G40" s="32" t="s">
        <v>610</v>
      </c>
      <c r="H40" s="32" t="s">
        <v>609</v>
      </c>
      <c r="I40" s="24"/>
      <c r="J40" s="1550" t="s">
        <v>539</v>
      </c>
      <c r="K40" s="1551"/>
      <c r="L40" s="84"/>
      <c r="M40" s="84"/>
      <c r="N40" s="84"/>
      <c r="O40" s="84"/>
      <c r="P40" s="84"/>
      <c r="Q40" s="84"/>
      <c r="R40" s="84"/>
      <c r="S40" s="84"/>
    </row>
    <row r="41" spans="1:20" ht="24.6" customHeight="1">
      <c r="A41" s="84"/>
      <c r="B41" s="84"/>
      <c r="C41" s="30"/>
      <c r="D41" s="13"/>
      <c r="E41" s="31">
        <f>K32+1</f>
        <v>26</v>
      </c>
      <c r="F41" s="27">
        <f>E41+1</f>
        <v>27</v>
      </c>
      <c r="G41" s="27">
        <f>F41+1</f>
        <v>28</v>
      </c>
      <c r="H41" s="27">
        <f>G41+1</f>
        <v>29</v>
      </c>
      <c r="I41" s="27">
        <f>H41+1</f>
        <v>30</v>
      </c>
      <c r="J41" s="27">
        <f>I41+1</f>
        <v>31</v>
      </c>
      <c r="K41" s="27"/>
      <c r="L41" s="84"/>
      <c r="M41" s="84"/>
      <c r="N41" s="84"/>
      <c r="O41" s="84"/>
      <c r="P41" s="84"/>
      <c r="Q41" s="84"/>
      <c r="R41" s="84"/>
      <c r="S41" s="84"/>
    </row>
    <row r="42" spans="1:20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20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24" t="s">
        <v>691</v>
      </c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20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20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20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20" ht="24.6" customHeight="1">
      <c r="A47" s="84"/>
      <c r="B47" s="1467"/>
      <c r="C47" s="124" t="s">
        <v>292</v>
      </c>
      <c r="D47" s="13"/>
      <c r="E47" s="14"/>
      <c r="F47" s="14"/>
      <c r="G47" s="209" t="s">
        <v>652</v>
      </c>
      <c r="H47" s="14"/>
      <c r="I47" s="14"/>
      <c r="J47" s="209" t="s">
        <v>652</v>
      </c>
      <c r="K47" s="14"/>
      <c r="L47" s="84"/>
      <c r="M47" s="84"/>
      <c r="N47" s="84"/>
      <c r="O47" s="84"/>
      <c r="P47" s="84"/>
      <c r="Q47" s="84"/>
      <c r="R47" s="84"/>
      <c r="S47" s="84"/>
    </row>
    <row r="48" spans="1:20" ht="24.6" customHeight="1">
      <c r="A48" s="84"/>
      <c r="B48" s="1467"/>
      <c r="C48" s="162" t="s">
        <v>316</v>
      </c>
      <c r="D48" s="13"/>
      <c r="E48" s="14"/>
      <c r="F48" s="14"/>
      <c r="G48" s="165" t="s">
        <v>670</v>
      </c>
      <c r="H48" s="165" t="s">
        <v>670</v>
      </c>
      <c r="I48" s="165" t="s">
        <v>670</v>
      </c>
      <c r="J48" s="165" t="s">
        <v>670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20" ht="24.6" customHeight="1">
      <c r="A49" s="84"/>
      <c r="B49" s="179" t="s">
        <v>317</v>
      </c>
      <c r="C49" s="125" t="s">
        <v>228</v>
      </c>
      <c r="D49" s="13"/>
      <c r="E49" s="1552" t="s">
        <v>539</v>
      </c>
      <c r="F49" s="1553"/>
      <c r="G49" s="201"/>
      <c r="H49" s="215" t="s">
        <v>611</v>
      </c>
      <c r="I49" s="215" t="s">
        <v>611</v>
      </c>
      <c r="J49" s="14"/>
      <c r="K49" s="14"/>
      <c r="L49" s="84"/>
      <c r="M49" s="84"/>
      <c r="N49" s="84"/>
    </row>
    <row r="52" spans="1:20">
      <c r="I52" s="90"/>
      <c r="J52" s="90"/>
    </row>
    <row r="53" spans="1:20">
      <c r="H53" s="90"/>
    </row>
    <row r="54" spans="1:20">
      <c r="H54" s="90"/>
      <c r="T54" s="4"/>
    </row>
    <row r="55" spans="1:20" s="4" customFormat="1">
      <c r="H55" s="90"/>
    </row>
    <row r="56" spans="1:20" s="4" customFormat="1">
      <c r="H56" s="90"/>
    </row>
    <row r="57" spans="1:20" s="4" customFormat="1">
      <c r="H57" s="90"/>
    </row>
    <row r="58" spans="1:20" s="4" customFormat="1">
      <c r="H58" s="90"/>
      <c r="T58" s="84"/>
    </row>
  </sheetData>
  <mergeCells count="20">
    <mergeCell ref="Q33:R33"/>
    <mergeCell ref="S33:T33"/>
    <mergeCell ref="B15:B18"/>
    <mergeCell ref="B19:B21"/>
    <mergeCell ref="M23:O23"/>
    <mergeCell ref="G20:H20"/>
    <mergeCell ref="E3:G3"/>
    <mergeCell ref="H3:K3"/>
    <mergeCell ref="B6:B9"/>
    <mergeCell ref="B10:B12"/>
    <mergeCell ref="F18:G18"/>
    <mergeCell ref="B46:B48"/>
    <mergeCell ref="J40:K40"/>
    <mergeCell ref="E49:F49"/>
    <mergeCell ref="B24:B27"/>
    <mergeCell ref="B28:B30"/>
    <mergeCell ref="B33:B36"/>
    <mergeCell ref="B37:B39"/>
    <mergeCell ref="B42:B45"/>
    <mergeCell ref="G29:H29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S62"/>
  <sheetViews>
    <sheetView topLeftCell="A32" zoomScale="55" zoomScaleNormal="5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43862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1"/>
      <c r="I5" s="60"/>
      <c r="J5" s="60"/>
      <c r="K5" s="182">
        <v>1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79" t="s">
        <v>317</v>
      </c>
      <c r="C13" s="125" t="s">
        <v>228</v>
      </c>
      <c r="D13" s="13"/>
      <c r="E13" s="14"/>
      <c r="F13" s="178"/>
      <c r="G13" s="178"/>
      <c r="H13" s="14"/>
      <c r="I13" s="142"/>
      <c r="J13" s="178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2</v>
      </c>
      <c r="F14" s="65">
        <f t="shared" ref="F14:K14" si="0">E14+1</f>
        <v>3</v>
      </c>
      <c r="G14" s="65">
        <f t="shared" si="0"/>
        <v>4</v>
      </c>
      <c r="H14" s="65">
        <f t="shared" si="0"/>
        <v>5</v>
      </c>
      <c r="I14" s="65">
        <f t="shared" si="0"/>
        <v>6</v>
      </c>
      <c r="J14" s="65">
        <f t="shared" si="0"/>
        <v>7</v>
      </c>
      <c r="K14" s="23">
        <f t="shared" si="0"/>
        <v>8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12" t="s">
        <v>693</v>
      </c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hidden="1" customHeight="1">
      <c r="A18" s="84"/>
      <c r="B18" s="1467"/>
      <c r="C18" s="162" t="s">
        <v>316</v>
      </c>
      <c r="D18" s="13"/>
      <c r="E18" s="24"/>
      <c r="F18" s="24"/>
      <c r="G18" s="24"/>
      <c r="H18" s="206" t="s">
        <v>629</v>
      </c>
      <c r="I18" s="206" t="s">
        <v>629</v>
      </c>
      <c r="J18" s="24"/>
      <c r="K18" s="24"/>
    </row>
    <row r="19" spans="1:19" ht="24.6" customHeight="1">
      <c r="A19" s="84"/>
      <c r="B19" s="1467"/>
      <c r="C19" s="162" t="s">
        <v>316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 t="s">
        <v>287</v>
      </c>
      <c r="C20" s="12" t="s">
        <v>9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24" t="s">
        <v>292</v>
      </c>
      <c r="D21" s="13"/>
      <c r="E21" s="24"/>
      <c r="F21" s="209" t="s">
        <v>653</v>
      </c>
      <c r="G21" s="24"/>
      <c r="H21" s="24"/>
      <c r="I21" s="209" t="s">
        <v>653</v>
      </c>
      <c r="J21" s="124" t="s">
        <v>673</v>
      </c>
      <c r="K21" s="24"/>
    </row>
    <row r="22" spans="1:19" ht="24" customHeight="1">
      <c r="A22" s="84"/>
      <c r="B22" s="1467"/>
      <c r="C22" s="162" t="s">
        <v>316</v>
      </c>
      <c r="D22" s="13"/>
      <c r="E22" s="24"/>
      <c r="F22" s="165" t="s">
        <v>686</v>
      </c>
      <c r="G22" s="24"/>
      <c r="H22" s="165" t="s">
        <v>661</v>
      </c>
      <c r="I22" s="165" t="s">
        <v>661</v>
      </c>
      <c r="J22" s="165" t="s">
        <v>661</v>
      </c>
      <c r="K22" s="24"/>
    </row>
    <row r="23" spans="1:19" ht="24.6" customHeight="1">
      <c r="A23" s="84"/>
      <c r="B23" s="179" t="s">
        <v>317</v>
      </c>
      <c r="C23" s="125" t="s">
        <v>228</v>
      </c>
      <c r="D23" s="13"/>
      <c r="E23" s="24"/>
      <c r="F23" s="24"/>
      <c r="G23" s="32"/>
      <c r="H23" s="32" t="s">
        <v>612</v>
      </c>
      <c r="I23" s="32" t="s">
        <v>612</v>
      </c>
      <c r="K23" s="24"/>
    </row>
    <row r="24" spans="1:19" ht="24.6" customHeight="1">
      <c r="A24" s="84"/>
      <c r="B24" s="84"/>
      <c r="C24" s="5"/>
      <c r="D24" s="5"/>
      <c r="E24" s="26">
        <f>K14+1</f>
        <v>9</v>
      </c>
      <c r="F24" s="27">
        <f t="shared" ref="F24:K24" si="1">E24+1</f>
        <v>10</v>
      </c>
      <c r="G24" s="27">
        <f t="shared" si="1"/>
        <v>11</v>
      </c>
      <c r="H24" s="27">
        <f t="shared" si="1"/>
        <v>12</v>
      </c>
      <c r="I24" s="27">
        <f t="shared" si="1"/>
        <v>13</v>
      </c>
      <c r="J24" s="27">
        <f t="shared" si="1"/>
        <v>14</v>
      </c>
      <c r="K24" s="52">
        <f t="shared" si="1"/>
        <v>15</v>
      </c>
      <c r="M24" s="1453"/>
      <c r="N24" s="1453"/>
      <c r="O24" s="1453"/>
    </row>
    <row r="25" spans="1:19" ht="24.6" customHeight="1">
      <c r="A25" s="84"/>
      <c r="B25" s="1467" t="s">
        <v>286</v>
      </c>
      <c r="C25" s="12" t="s">
        <v>9</v>
      </c>
      <c r="D25" s="13"/>
      <c r="E25" s="14"/>
      <c r="F25" s="12" t="s">
        <v>699</v>
      </c>
      <c r="G25" s="221" t="s">
        <v>700</v>
      </c>
      <c r="H25" s="12" t="s">
        <v>694</v>
      </c>
      <c r="I25" s="14"/>
      <c r="J25" s="12" t="s">
        <v>702</v>
      </c>
      <c r="K25" s="14"/>
    </row>
    <row r="26" spans="1:19" ht="24.6" customHeight="1">
      <c r="A26" s="84"/>
      <c r="B26" s="1467"/>
      <c r="C26" s="124" t="s">
        <v>7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3" t="s">
        <v>389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hidden="1" customHeight="1">
      <c r="A28" s="84"/>
      <c r="B28" s="1467"/>
      <c r="C28" s="162" t="s">
        <v>316</v>
      </c>
      <c r="D28" s="13"/>
      <c r="E28" s="14"/>
      <c r="F28" s="206" t="s">
        <v>630</v>
      </c>
      <c r="G28" s="206" t="s">
        <v>630</v>
      </c>
      <c r="H28" s="206" t="s">
        <v>631</v>
      </c>
      <c r="I28" s="206" t="s">
        <v>631</v>
      </c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220"/>
      <c r="C29" s="162"/>
      <c r="D29" s="13"/>
      <c r="E29" s="14"/>
      <c r="F29" s="14"/>
      <c r="G29" s="14"/>
      <c r="H29" s="162" t="s">
        <v>693</v>
      </c>
      <c r="I29" s="162" t="s">
        <v>699</v>
      </c>
      <c r="J29" s="162" t="s">
        <v>694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 t="s">
        <v>287</v>
      </c>
      <c r="C30" s="12" t="s">
        <v>9</v>
      </c>
      <c r="D30" s="13"/>
      <c r="E30" s="14"/>
      <c r="F30" s="14"/>
      <c r="G30" s="14"/>
      <c r="H30" s="14"/>
      <c r="I30" s="14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124" t="s">
        <v>292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162" t="s">
        <v>316</v>
      </c>
      <c r="D32" s="13"/>
      <c r="E32" s="14"/>
      <c r="F32" s="165" t="s">
        <v>661</v>
      </c>
      <c r="G32" s="165" t="s">
        <v>661</v>
      </c>
      <c r="H32" s="165" t="s">
        <v>661</v>
      </c>
      <c r="I32" s="165" t="s">
        <v>661</v>
      </c>
      <c r="J32" s="165" t="s">
        <v>672</v>
      </c>
      <c r="K32" s="14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79" t="s">
        <v>317</v>
      </c>
      <c r="C33" s="125" t="s">
        <v>228</v>
      </c>
      <c r="D33" s="13"/>
      <c r="E33" s="14"/>
      <c r="F33" s="14"/>
      <c r="G33" s="14"/>
      <c r="H33" s="14"/>
      <c r="I33" s="218" t="s">
        <v>701</v>
      </c>
      <c r="J33" s="217" t="s">
        <v>697</v>
      </c>
      <c r="K33" s="217" t="s">
        <v>698</v>
      </c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84"/>
      <c r="C34" s="5"/>
      <c r="D34" s="5"/>
      <c r="E34" s="23">
        <f>K24+1</f>
        <v>16</v>
      </c>
      <c r="F34" s="37">
        <f t="shared" ref="F34:K34" si="2">E34+1</f>
        <v>17</v>
      </c>
      <c r="G34" s="37">
        <f t="shared" si="2"/>
        <v>18</v>
      </c>
      <c r="H34" s="37">
        <f t="shared" si="2"/>
        <v>19</v>
      </c>
      <c r="I34" s="37">
        <f t="shared" si="2"/>
        <v>20</v>
      </c>
      <c r="J34" s="37">
        <f t="shared" si="2"/>
        <v>21</v>
      </c>
      <c r="K34" s="23">
        <f t="shared" si="2"/>
        <v>22</v>
      </c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 t="s">
        <v>286</v>
      </c>
      <c r="C35" s="12" t="s">
        <v>9</v>
      </c>
      <c r="D35" s="13"/>
      <c r="E35" s="24"/>
      <c r="F35" s="24"/>
      <c r="G35" s="24"/>
      <c r="H35" s="12" t="s">
        <v>695</v>
      </c>
      <c r="I35" s="12" t="s">
        <v>722</v>
      </c>
      <c r="J35" s="12" t="s">
        <v>721</v>
      </c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24" t="s">
        <v>7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63" t="s">
        <v>389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hidden="1" customHeight="1">
      <c r="A38" s="84"/>
      <c r="B38" s="1467"/>
      <c r="C38" s="162" t="s">
        <v>316</v>
      </c>
      <c r="D38" s="13"/>
      <c r="E38" s="24"/>
      <c r="F38" s="206" t="s">
        <v>632</v>
      </c>
      <c r="G38" s="206" t="s">
        <v>632</v>
      </c>
      <c r="H38" s="206" t="s">
        <v>633</v>
      </c>
      <c r="I38" s="206" t="s">
        <v>633</v>
      </c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162" t="s">
        <v>702</v>
      </c>
      <c r="G39" s="24"/>
      <c r="H39" s="24"/>
      <c r="I39" s="162" t="s">
        <v>695</v>
      </c>
      <c r="J39" s="162" t="s">
        <v>722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" customHeight="1">
      <c r="A40" s="84"/>
      <c r="B40" s="1467" t="s">
        <v>287</v>
      </c>
      <c r="C40" s="12" t="s">
        <v>9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124" t="s">
        <v>292</v>
      </c>
      <c r="D41" s="13"/>
      <c r="E41" s="24"/>
      <c r="F41" s="24"/>
      <c r="G41" s="12" t="s">
        <v>703</v>
      </c>
      <c r="H41" s="24"/>
      <c r="I41" s="24"/>
      <c r="J41" s="24"/>
      <c r="K41" s="24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162" t="s">
        <v>316</v>
      </c>
      <c r="D42" s="13"/>
      <c r="E42" s="24"/>
      <c r="F42" s="24"/>
      <c r="G42" s="24"/>
      <c r="H42" s="24"/>
      <c r="I42" s="24"/>
      <c r="J42" s="24"/>
      <c r="K42" s="2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79" t="s">
        <v>317</v>
      </c>
      <c r="C43" s="125" t="s">
        <v>228</v>
      </c>
      <c r="D43" s="13"/>
      <c r="E43" s="24"/>
      <c r="F43" s="24"/>
      <c r="G43" s="24"/>
      <c r="H43" s="24"/>
      <c r="I43" s="24"/>
      <c r="J43" s="24"/>
      <c r="K43" s="2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84"/>
      <c r="C44" s="30"/>
      <c r="D44" s="13"/>
      <c r="E44" s="31">
        <f>K34+1</f>
        <v>23</v>
      </c>
      <c r="F44" s="27">
        <f t="shared" ref="F44:K44" si="3">E44+1</f>
        <v>24</v>
      </c>
      <c r="G44" s="27">
        <f t="shared" si="3"/>
        <v>25</v>
      </c>
      <c r="H44" s="27">
        <f t="shared" si="3"/>
        <v>26</v>
      </c>
      <c r="I44" s="27">
        <f t="shared" si="3"/>
        <v>27</v>
      </c>
      <c r="J44" s="27">
        <f t="shared" si="3"/>
        <v>28</v>
      </c>
      <c r="K44" s="52">
        <f t="shared" si="3"/>
        <v>29</v>
      </c>
      <c r="L44" s="84"/>
      <c r="M44" s="84"/>
      <c r="N44" s="84">
        <v>1</v>
      </c>
      <c r="O44" s="84"/>
      <c r="P44" s="84"/>
      <c r="Q44" s="84"/>
      <c r="R44" s="84"/>
      <c r="S44" s="84"/>
    </row>
    <row r="45" spans="1:19" ht="24.6" customHeight="1">
      <c r="A45" s="84"/>
      <c r="B45" s="1467" t="s">
        <v>286</v>
      </c>
      <c r="C45" s="12" t="s">
        <v>9</v>
      </c>
      <c r="D45" s="13"/>
      <c r="E45" s="14"/>
      <c r="F45" s="14"/>
      <c r="G45" s="12" t="s">
        <v>748</v>
      </c>
      <c r="H45" s="14"/>
      <c r="I45" s="12" t="s">
        <v>834</v>
      </c>
      <c r="J45" s="12" t="s">
        <v>835</v>
      </c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124" t="s">
        <v>7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63" t="s">
        <v>389</v>
      </c>
      <c r="D47" s="13"/>
      <c r="E47" s="14"/>
      <c r="F47" s="14"/>
      <c r="G47" s="14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hidden="1" customHeight="1">
      <c r="A48" s="84"/>
      <c r="B48" s="1467"/>
      <c r="C48" s="162" t="s">
        <v>316</v>
      </c>
      <c r="D48" s="13"/>
      <c r="E48" s="14"/>
      <c r="F48" s="206" t="s">
        <v>638</v>
      </c>
      <c r="G48" s="206" t="s">
        <v>638</v>
      </c>
      <c r="H48" s="206" t="s">
        <v>639</v>
      </c>
      <c r="I48" s="206" t="s">
        <v>634</v>
      </c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162" t="s">
        <v>316</v>
      </c>
      <c r="D49" s="13"/>
      <c r="E49" s="14"/>
      <c r="F49" s="162" t="s">
        <v>721</v>
      </c>
      <c r="G49" s="162" t="s">
        <v>721</v>
      </c>
      <c r="H49" s="14"/>
      <c r="I49" s="14"/>
      <c r="J49" s="162" t="s">
        <v>748</v>
      </c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287</v>
      </c>
      <c r="C50" s="12" t="s">
        <v>9</v>
      </c>
      <c r="D50" s="13"/>
      <c r="E50" s="14"/>
      <c r="F50" s="1506" t="s">
        <v>817</v>
      </c>
      <c r="G50" s="1507"/>
      <c r="H50" s="14"/>
      <c r="I50" s="14"/>
      <c r="J50" s="14"/>
      <c r="K50" s="1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124" t="s">
        <v>292</v>
      </c>
      <c r="D51" s="13"/>
      <c r="E51" s="14"/>
      <c r="F51" s="14"/>
      <c r="G51" s="14"/>
      <c r="H51" s="12" t="s">
        <v>813</v>
      </c>
      <c r="I51" s="152"/>
      <c r="J51" s="14"/>
      <c r="K51" s="1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62" t="s">
        <v>316</v>
      </c>
      <c r="D52" s="13"/>
      <c r="E52" s="14"/>
      <c r="F52" s="14"/>
      <c r="G52" s="14"/>
      <c r="H52" s="162" t="s">
        <v>787</v>
      </c>
      <c r="I52" s="162" t="s">
        <v>787</v>
      </c>
      <c r="J52" s="162" t="s">
        <v>787</v>
      </c>
      <c r="K52" s="1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79" t="s">
        <v>317</v>
      </c>
      <c r="C53" s="125" t="s">
        <v>228</v>
      </c>
      <c r="D53" s="13"/>
      <c r="E53" s="14"/>
      <c r="F53" s="14"/>
      <c r="G53" s="14"/>
      <c r="H53" s="14"/>
      <c r="I53" s="14"/>
      <c r="J53" s="14"/>
      <c r="K53" s="14"/>
      <c r="L53" s="84"/>
      <c r="M53" s="84"/>
      <c r="N53" s="84"/>
      <c r="O53" s="84"/>
      <c r="P53" s="84"/>
      <c r="Q53" s="84"/>
      <c r="R53" s="84"/>
      <c r="S53" s="84"/>
    </row>
    <row r="56" spans="1:19">
      <c r="I56" s="90"/>
      <c r="J56" s="90"/>
    </row>
    <row r="57" spans="1:19">
      <c r="H57" s="90"/>
    </row>
    <row r="58" spans="1:19">
      <c r="H58" s="90"/>
    </row>
    <row r="59" spans="1:19" s="4" customFormat="1">
      <c r="H59" s="90"/>
    </row>
    <row r="60" spans="1:19" s="4" customFormat="1">
      <c r="H60" s="90"/>
    </row>
    <row r="61" spans="1:19" s="4" customFormat="1">
      <c r="H61" s="90"/>
    </row>
    <row r="62" spans="1:19" s="4" customFormat="1">
      <c r="H62" s="90"/>
    </row>
  </sheetData>
  <mergeCells count="14">
    <mergeCell ref="B20:B22"/>
    <mergeCell ref="E3:G3"/>
    <mergeCell ref="H3:K3"/>
    <mergeCell ref="B6:B9"/>
    <mergeCell ref="B10:B12"/>
    <mergeCell ref="B15:B19"/>
    <mergeCell ref="B50:B52"/>
    <mergeCell ref="M24:O24"/>
    <mergeCell ref="B25:B28"/>
    <mergeCell ref="B30:B32"/>
    <mergeCell ref="B40:B42"/>
    <mergeCell ref="F50:G50"/>
    <mergeCell ref="B35:B39"/>
    <mergeCell ref="B45:B49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S58"/>
  <sheetViews>
    <sheetView zoomScale="55" zoomScaleNormal="5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5" width="27.109375" style="4" bestFit="1" customWidth="1"/>
    <col min="16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43891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v>4</v>
      </c>
      <c r="I5" s="60">
        <v>5</v>
      </c>
      <c r="J5" s="60">
        <v>6</v>
      </c>
      <c r="K5" s="182"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84" t="s">
        <v>853</v>
      </c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84" t="s">
        <v>852</v>
      </c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84" t="s">
        <v>854</v>
      </c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62" t="s">
        <v>815</v>
      </c>
      <c r="G9" s="162" t="s">
        <v>815</v>
      </c>
      <c r="H9" s="162" t="s">
        <v>815</v>
      </c>
      <c r="I9" s="162" t="s">
        <v>816</v>
      </c>
      <c r="J9" s="162" t="s">
        <v>816</v>
      </c>
      <c r="K9" s="14"/>
      <c r="L9" s="4"/>
      <c r="M9" s="84" t="s">
        <v>855</v>
      </c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506" t="s">
        <v>3504</v>
      </c>
      <c r="G10" s="1507"/>
      <c r="H10" s="14"/>
      <c r="I10" s="1506" t="s">
        <v>864</v>
      </c>
      <c r="J10" s="1507"/>
      <c r="K10" s="14"/>
      <c r="L10" s="4"/>
      <c r="M10" s="4"/>
      <c r="N10" s="8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66" t="s">
        <v>827</v>
      </c>
      <c r="I11" s="1509" t="s">
        <v>841</v>
      </c>
      <c r="J11" s="1510"/>
      <c r="K11" s="14"/>
      <c r="L11" s="4"/>
      <c r="M11" s="90" t="s">
        <v>862</v>
      </c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90" t="s">
        <v>860</v>
      </c>
      <c r="N12" s="4"/>
      <c r="R12" s="11"/>
      <c r="S12" s="4"/>
    </row>
    <row r="13" spans="1:19" s="5" customFormat="1" ht="24.6" customHeight="1">
      <c r="B13" s="248" t="s">
        <v>317</v>
      </c>
      <c r="C13" s="125" t="s">
        <v>228</v>
      </c>
      <c r="D13" s="13"/>
      <c r="E13" s="14"/>
      <c r="F13" s="247" t="s">
        <v>613</v>
      </c>
      <c r="G13" s="247"/>
      <c r="H13" s="14"/>
      <c r="I13" s="142" t="s">
        <v>193</v>
      </c>
      <c r="J13" s="247"/>
      <c r="K13" s="14"/>
      <c r="L13" s="4"/>
      <c r="M13" s="90" t="s">
        <v>861</v>
      </c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124" t="s">
        <v>751</v>
      </c>
      <c r="G16" s="24"/>
      <c r="H16" s="32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32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162" t="s">
        <v>816</v>
      </c>
      <c r="G18" s="24"/>
      <c r="H18" s="32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56" t="s">
        <v>865</v>
      </c>
      <c r="G19" s="1557"/>
      <c r="H19" s="166" t="s">
        <v>856</v>
      </c>
      <c r="I19" s="1556" t="s">
        <v>866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162" t="s">
        <v>857</v>
      </c>
      <c r="G21" s="162" t="s">
        <v>857</v>
      </c>
      <c r="H21" s="162" t="s">
        <v>857</v>
      </c>
      <c r="I21" s="162" t="s">
        <v>857</v>
      </c>
      <c r="J21" s="162" t="s">
        <v>857</v>
      </c>
      <c r="K21" s="24"/>
    </row>
    <row r="22" spans="1:19" ht="24.6" customHeight="1">
      <c r="A22" s="84"/>
      <c r="B22" s="248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203"/>
      <c r="N23" s="203"/>
      <c r="O23" s="20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67" t="s">
        <v>926</v>
      </c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P25" s="84"/>
      <c r="Q25" s="84"/>
      <c r="R25" s="84"/>
      <c r="S25" s="84"/>
    </row>
    <row r="26" spans="1:19" ht="24" hidden="1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62" t="s">
        <v>926</v>
      </c>
      <c r="K27" s="14"/>
      <c r="L27" s="84"/>
      <c r="M27" s="84"/>
      <c r="N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867</v>
      </c>
      <c r="G28" s="1521"/>
      <c r="H28" s="14"/>
      <c r="I28" s="14"/>
      <c r="J28" s="14"/>
      <c r="K28" s="14"/>
      <c r="L28" s="84"/>
      <c r="M28" s="84"/>
      <c r="N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24" t="s">
        <v>859</v>
      </c>
      <c r="I29" s="1522" t="s">
        <v>830</v>
      </c>
      <c r="J29" s="1555"/>
      <c r="K29" s="14"/>
      <c r="L29" s="84"/>
      <c r="M29" s="84"/>
      <c r="N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858</v>
      </c>
      <c r="G30" s="162" t="s">
        <v>928</v>
      </c>
      <c r="H30" s="162" t="s">
        <v>928</v>
      </c>
      <c r="I30" s="162" t="s">
        <v>928</v>
      </c>
      <c r="J30" s="162" t="s">
        <v>928</v>
      </c>
      <c r="K30" s="14"/>
      <c r="L30" s="84"/>
      <c r="M30" s="84"/>
      <c r="N30" s="84"/>
      <c r="P30" s="84"/>
      <c r="Q30" s="84"/>
      <c r="R30" s="84"/>
      <c r="S30" s="84"/>
    </row>
    <row r="31" spans="1:19" ht="24.6" customHeight="1">
      <c r="A31" s="84"/>
      <c r="B31" s="248" t="s">
        <v>317</v>
      </c>
      <c r="C31" s="125" t="s">
        <v>228</v>
      </c>
      <c r="D31" s="13"/>
      <c r="E31" s="14"/>
      <c r="F31" s="14"/>
      <c r="G31" s="14"/>
      <c r="H31" s="14"/>
      <c r="I31" s="247"/>
      <c r="J31" s="247"/>
      <c r="K31" s="14"/>
      <c r="L31" s="84"/>
      <c r="M31" s="84"/>
      <c r="N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2">E32+1</f>
        <v>23</v>
      </c>
      <c r="G32" s="37">
        <f t="shared" si="2"/>
        <v>24</v>
      </c>
      <c r="H32" s="37">
        <f t="shared" si="2"/>
        <v>25</v>
      </c>
      <c r="I32" s="37">
        <f t="shared" si="2"/>
        <v>26</v>
      </c>
      <c r="J32" s="37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558" t="s">
        <v>286</v>
      </c>
      <c r="C33" s="12" t="s">
        <v>9</v>
      </c>
      <c r="D33" s="13"/>
      <c r="E33" s="24"/>
      <c r="F33" s="24"/>
      <c r="G33" s="24"/>
      <c r="H33" s="167" t="s">
        <v>933</v>
      </c>
      <c r="I33" s="167" t="s">
        <v>936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558"/>
      <c r="C34" s="124" t="s">
        <v>7</v>
      </c>
      <c r="D34" s="13"/>
      <c r="E34" s="24"/>
      <c r="F34" s="24"/>
      <c r="G34" s="124" t="s">
        <v>695</v>
      </c>
      <c r="H34" s="124" t="s">
        <v>722</v>
      </c>
      <c r="I34" s="166" t="s">
        <v>783</v>
      </c>
      <c r="J34" s="124" t="s">
        <v>721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hidden="1" customHeight="1">
      <c r="A35" s="84"/>
      <c r="B35" s="1558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558"/>
      <c r="C36" s="162" t="s">
        <v>316</v>
      </c>
      <c r="D36" s="13"/>
      <c r="E36" s="24"/>
      <c r="F36" s="162" t="s">
        <v>926</v>
      </c>
      <c r="G36" s="24"/>
      <c r="H36" s="24"/>
      <c r="I36" s="24"/>
      <c r="J36" s="162" t="s">
        <v>926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558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558"/>
      <c r="C38" s="124" t="s">
        <v>292</v>
      </c>
      <c r="D38" s="13"/>
      <c r="E38" s="24"/>
      <c r="F38" s="166" t="s">
        <v>870</v>
      </c>
      <c r="G38" s="243" t="s">
        <v>831</v>
      </c>
      <c r="H38" s="243" t="s">
        <v>831</v>
      </c>
      <c r="I38" s="24"/>
      <c r="J38" s="243" t="s">
        <v>927</v>
      </c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558"/>
      <c r="C39" s="162" t="s">
        <v>316</v>
      </c>
      <c r="D39" s="13"/>
      <c r="E39" s="24"/>
      <c r="F39" s="162" t="s">
        <v>928</v>
      </c>
      <c r="G39" s="162" t="s">
        <v>929</v>
      </c>
      <c r="H39" s="162" t="s">
        <v>839</v>
      </c>
      <c r="I39" s="162" t="s">
        <v>839</v>
      </c>
      <c r="J39" s="162" t="s">
        <v>839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49" t="s">
        <v>317</v>
      </c>
      <c r="C40" s="125" t="s">
        <v>228</v>
      </c>
      <c r="D40" s="13"/>
      <c r="E40" s="24"/>
      <c r="F40" s="32"/>
      <c r="G40" s="32"/>
      <c r="H40" s="32"/>
      <c r="I40" s="32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f>F41+1</f>
        <v>31</v>
      </c>
      <c r="H41" s="27"/>
      <c r="I41" s="27"/>
      <c r="J41" s="27"/>
      <c r="K41" s="52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223" t="s">
        <v>892</v>
      </c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506" t="s">
        <v>947</v>
      </c>
      <c r="G46" s="1521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4"/>
      <c r="G47" s="14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926</v>
      </c>
      <c r="G48" s="162" t="s">
        <v>931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48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0">
    <mergeCell ref="B33:B36"/>
    <mergeCell ref="B37:B39"/>
    <mergeCell ref="B42:B45"/>
    <mergeCell ref="B46:B48"/>
    <mergeCell ref="F46:G46"/>
    <mergeCell ref="B28:B30"/>
    <mergeCell ref="F28:G28"/>
    <mergeCell ref="I29:J29"/>
    <mergeCell ref="E3:G3"/>
    <mergeCell ref="H3:K3"/>
    <mergeCell ref="B6:B9"/>
    <mergeCell ref="B10:B12"/>
    <mergeCell ref="F10:G10"/>
    <mergeCell ref="I10:J10"/>
    <mergeCell ref="I11:J11"/>
    <mergeCell ref="B15:B18"/>
    <mergeCell ref="B19:B21"/>
    <mergeCell ref="F19:G19"/>
    <mergeCell ref="I19:J19"/>
    <mergeCell ref="B24:B27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S58"/>
  <sheetViews>
    <sheetView topLeftCell="A16" zoomScale="80" zoomScaleNormal="80" workbookViewId="0">
      <selection activeCell="H27" sqref="H27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5" width="27.109375" style="4" bestFit="1" customWidth="1"/>
    <col min="16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43891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v>4</v>
      </c>
      <c r="I5" s="60">
        <v>5</v>
      </c>
      <c r="J5" s="60">
        <v>6</v>
      </c>
      <c r="K5" s="182"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84" t="s">
        <v>853</v>
      </c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84" t="s">
        <v>852</v>
      </c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84" t="s">
        <v>854</v>
      </c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62" t="s">
        <v>815</v>
      </c>
      <c r="G9" s="162" t="s">
        <v>815</v>
      </c>
      <c r="H9" s="162" t="s">
        <v>815</v>
      </c>
      <c r="I9" s="162" t="s">
        <v>816</v>
      </c>
      <c r="J9" s="162" t="s">
        <v>816</v>
      </c>
      <c r="K9" s="14"/>
      <c r="L9" s="4"/>
      <c r="M9" s="84" t="s">
        <v>855</v>
      </c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506" t="s">
        <v>818</v>
      </c>
      <c r="G10" s="1507"/>
      <c r="H10" s="14"/>
      <c r="I10" s="1506" t="s">
        <v>864</v>
      </c>
      <c r="J10" s="1507"/>
      <c r="K10" s="14"/>
      <c r="L10" s="4"/>
      <c r="M10" s="4"/>
      <c r="N10" s="8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66" t="s">
        <v>827</v>
      </c>
      <c r="I11" s="1509" t="s">
        <v>841</v>
      </c>
      <c r="J11" s="1510"/>
      <c r="K11" s="14"/>
      <c r="L11" s="4"/>
      <c r="M11" s="90" t="s">
        <v>862</v>
      </c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90" t="s">
        <v>860</v>
      </c>
      <c r="N12" s="4"/>
      <c r="R12" s="11"/>
      <c r="S12" s="4"/>
    </row>
    <row r="13" spans="1:19" s="5" customFormat="1" ht="24.6" customHeight="1">
      <c r="B13" s="245" t="s">
        <v>317</v>
      </c>
      <c r="C13" s="125" t="s">
        <v>228</v>
      </c>
      <c r="D13" s="13"/>
      <c r="E13" s="14"/>
      <c r="F13" s="244" t="s">
        <v>613</v>
      </c>
      <c r="G13" s="244"/>
      <c r="H13" s="14"/>
      <c r="I13" s="142" t="s">
        <v>193</v>
      </c>
      <c r="J13" s="244"/>
      <c r="K13" s="14"/>
      <c r="L13" s="4"/>
      <c r="M13" s="90" t="s">
        <v>861</v>
      </c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124" t="s">
        <v>751</v>
      </c>
      <c r="G16" s="24"/>
      <c r="H16" s="32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32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162" t="s">
        <v>816</v>
      </c>
      <c r="G18" s="24"/>
      <c r="H18" s="32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56" t="s">
        <v>865</v>
      </c>
      <c r="G19" s="1557"/>
      <c r="H19" s="166" t="s">
        <v>856</v>
      </c>
      <c r="I19" s="1556" t="s">
        <v>866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162" t="s">
        <v>857</v>
      </c>
      <c r="G21" s="162" t="s">
        <v>857</v>
      </c>
      <c r="H21" s="162" t="s">
        <v>857</v>
      </c>
      <c r="I21" s="162" t="s">
        <v>857</v>
      </c>
      <c r="J21" s="162" t="s">
        <v>857</v>
      </c>
      <c r="K21" s="24"/>
    </row>
    <row r="22" spans="1:19" ht="24.6" customHeight="1">
      <c r="A22" s="84"/>
      <c r="B22" s="245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203"/>
      <c r="N23" s="203"/>
      <c r="O23" s="20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67" t="s">
        <v>921</v>
      </c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P25" s="84"/>
      <c r="Q25" s="84"/>
      <c r="R25" s="84"/>
      <c r="S25" s="84"/>
    </row>
    <row r="26" spans="1:19" ht="24" hidden="1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62" t="s">
        <v>885</v>
      </c>
      <c r="K27" s="14"/>
      <c r="L27" s="84"/>
      <c r="M27" s="84"/>
      <c r="N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867</v>
      </c>
      <c r="G28" s="1521"/>
      <c r="H28" s="14"/>
      <c r="I28" s="14"/>
      <c r="J28" s="14"/>
      <c r="K28" s="14"/>
      <c r="L28" s="84"/>
      <c r="M28" s="84"/>
      <c r="N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24" t="s">
        <v>859</v>
      </c>
      <c r="I29" s="1522" t="s">
        <v>830</v>
      </c>
      <c r="J29" s="1555"/>
      <c r="K29" s="14"/>
      <c r="L29" s="84"/>
      <c r="M29" s="84"/>
      <c r="N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857</v>
      </c>
      <c r="G30" s="162" t="s">
        <v>857</v>
      </c>
      <c r="H30" s="162" t="s">
        <v>857</v>
      </c>
      <c r="I30" s="162" t="s">
        <v>857</v>
      </c>
      <c r="J30" s="162" t="s">
        <v>863</v>
      </c>
      <c r="K30" s="14"/>
      <c r="L30" s="84"/>
      <c r="M30" s="84"/>
      <c r="N30" s="84"/>
      <c r="P30" s="84"/>
      <c r="Q30" s="84"/>
      <c r="R30" s="84"/>
      <c r="S30" s="84"/>
    </row>
    <row r="31" spans="1:19" ht="24.6" customHeight="1">
      <c r="A31" s="84"/>
      <c r="B31" s="245" t="s">
        <v>317</v>
      </c>
      <c r="C31" s="125" t="s">
        <v>228</v>
      </c>
      <c r="D31" s="13"/>
      <c r="E31" s="14"/>
      <c r="F31" s="14"/>
      <c r="G31" s="14"/>
      <c r="H31" s="14"/>
      <c r="I31" s="244"/>
      <c r="J31" s="244"/>
      <c r="K31" s="14"/>
      <c r="L31" s="84"/>
      <c r="M31" s="84"/>
      <c r="N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2">E32+1</f>
        <v>23</v>
      </c>
      <c r="G32" s="37">
        <f t="shared" si="2"/>
        <v>24</v>
      </c>
      <c r="H32" s="37">
        <f t="shared" si="2"/>
        <v>25</v>
      </c>
      <c r="I32" s="37">
        <f t="shared" si="2"/>
        <v>26</v>
      </c>
      <c r="J32" s="37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558" t="s">
        <v>286</v>
      </c>
      <c r="C33" s="12" t="s">
        <v>9</v>
      </c>
      <c r="D33" s="13"/>
      <c r="E33" s="24"/>
      <c r="F33" s="167" t="s">
        <v>891</v>
      </c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558"/>
      <c r="C34" s="124" t="s">
        <v>7</v>
      </c>
      <c r="D34" s="13"/>
      <c r="E34" s="24"/>
      <c r="F34" s="24"/>
      <c r="G34" s="124" t="s">
        <v>695</v>
      </c>
      <c r="H34" s="124" t="s">
        <v>722</v>
      </c>
      <c r="I34" s="166" t="s">
        <v>783</v>
      </c>
      <c r="J34" s="124" t="s">
        <v>721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hidden="1" customHeight="1">
      <c r="A35" s="84"/>
      <c r="B35" s="1558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558"/>
      <c r="C36" s="162" t="s">
        <v>316</v>
      </c>
      <c r="D36" s="13"/>
      <c r="E36" s="24"/>
      <c r="F36" s="162" t="s">
        <v>885</v>
      </c>
      <c r="G36" s="162" t="s">
        <v>886</v>
      </c>
      <c r="H36" s="162" t="s">
        <v>891</v>
      </c>
      <c r="I36" s="162" t="s">
        <v>891</v>
      </c>
      <c r="J36" s="162" t="s">
        <v>894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558" t="s">
        <v>287</v>
      </c>
      <c r="C37" s="12" t="s">
        <v>9</v>
      </c>
      <c r="D37" s="13"/>
      <c r="E37" s="24"/>
      <c r="F37" s="24"/>
      <c r="G37" s="24"/>
      <c r="H37" s="1506" t="s">
        <v>868</v>
      </c>
      <c r="I37" s="1521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558"/>
      <c r="C38" s="124" t="s">
        <v>292</v>
      </c>
      <c r="D38" s="13"/>
      <c r="E38" s="24"/>
      <c r="F38" s="166" t="s">
        <v>870</v>
      </c>
      <c r="G38" s="243" t="s">
        <v>831</v>
      </c>
      <c r="H38" s="24"/>
      <c r="I38" s="24"/>
      <c r="J38" s="243" t="s">
        <v>831</v>
      </c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558"/>
      <c r="C39" s="162" t="s">
        <v>316</v>
      </c>
      <c r="D39" s="13"/>
      <c r="E39" s="24"/>
      <c r="F39" s="162" t="s">
        <v>839</v>
      </c>
      <c r="G39" s="162" t="s">
        <v>839</v>
      </c>
      <c r="H39" s="162" t="s">
        <v>839</v>
      </c>
      <c r="I39" s="162" t="s">
        <v>839</v>
      </c>
      <c r="J39" s="162" t="s">
        <v>839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46" t="s">
        <v>317</v>
      </c>
      <c r="C40" s="125" t="s">
        <v>228</v>
      </c>
      <c r="D40" s="13"/>
      <c r="E40" s="24"/>
      <c r="F40" s="32"/>
      <c r="G40" s="32"/>
      <c r="H40" s="32"/>
      <c r="I40" s="32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f>F41+1</f>
        <v>31</v>
      </c>
      <c r="H41" s="27"/>
      <c r="I41" s="27"/>
      <c r="J41" s="27"/>
      <c r="K41" s="52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67" t="s">
        <v>892</v>
      </c>
      <c r="G42" s="167" t="s">
        <v>896</v>
      </c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223" t="s">
        <v>892</v>
      </c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06" t="s">
        <v>832</v>
      </c>
      <c r="G47" s="1507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839</v>
      </c>
      <c r="G48" s="162" t="s">
        <v>898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45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1">
    <mergeCell ref="B28:B30"/>
    <mergeCell ref="F28:G28"/>
    <mergeCell ref="I29:J29"/>
    <mergeCell ref="E3:G3"/>
    <mergeCell ref="H3:K3"/>
    <mergeCell ref="B6:B9"/>
    <mergeCell ref="B10:B12"/>
    <mergeCell ref="F10:G10"/>
    <mergeCell ref="I10:J10"/>
    <mergeCell ref="I11:J11"/>
    <mergeCell ref="B15:B18"/>
    <mergeCell ref="B19:B21"/>
    <mergeCell ref="F19:G19"/>
    <mergeCell ref="I19:J19"/>
    <mergeCell ref="B24:B27"/>
    <mergeCell ref="B33:B36"/>
    <mergeCell ref="B37:B39"/>
    <mergeCell ref="H37:I37"/>
    <mergeCell ref="B42:B45"/>
    <mergeCell ref="B46:B48"/>
    <mergeCell ref="F47:G47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S58"/>
  <sheetViews>
    <sheetView topLeftCell="A4" zoomScale="80" zoomScaleNormal="80" workbookViewId="0">
      <selection activeCell="G39" sqref="G39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5" width="27.109375" style="4" bestFit="1" customWidth="1"/>
    <col min="16" max="19" width="6.6640625" style="4" customWidth="1"/>
    <col min="20" max="20" width="6.6640625" style="84" customWidth="1"/>
    <col min="21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43891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v>4</v>
      </c>
      <c r="I5" s="60">
        <v>5</v>
      </c>
      <c r="J5" s="60">
        <v>6</v>
      </c>
      <c r="K5" s="182"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84" t="s">
        <v>853</v>
      </c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84" t="s">
        <v>852</v>
      </c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84" t="s">
        <v>854</v>
      </c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62" t="s">
        <v>815</v>
      </c>
      <c r="G9" s="162" t="s">
        <v>815</v>
      </c>
      <c r="H9" s="162" t="s">
        <v>815</v>
      </c>
      <c r="I9" s="162" t="s">
        <v>816</v>
      </c>
      <c r="J9" s="162" t="s">
        <v>816</v>
      </c>
      <c r="K9" s="14"/>
      <c r="L9" s="4"/>
      <c r="M9" s="84" t="s">
        <v>855</v>
      </c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506" t="s">
        <v>818</v>
      </c>
      <c r="G10" s="1507"/>
      <c r="H10" s="14"/>
      <c r="I10" s="1506" t="s">
        <v>832</v>
      </c>
      <c r="J10" s="1507"/>
      <c r="K10" s="14"/>
      <c r="L10" s="4"/>
      <c r="M10" s="4"/>
      <c r="N10" s="8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66" t="s">
        <v>827</v>
      </c>
      <c r="I11" s="1509" t="s">
        <v>841</v>
      </c>
      <c r="J11" s="1510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62" t="s">
        <v>787</v>
      </c>
      <c r="G12" s="162" t="s">
        <v>787</v>
      </c>
      <c r="H12" s="162" t="s">
        <v>839</v>
      </c>
      <c r="I12" s="162" t="s">
        <v>839</v>
      </c>
      <c r="J12" s="162" t="s">
        <v>839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40" t="s">
        <v>317</v>
      </c>
      <c r="C13" s="125" t="s">
        <v>228</v>
      </c>
      <c r="D13" s="13"/>
      <c r="E13" s="14"/>
      <c r="F13" s="239" t="s">
        <v>613</v>
      </c>
      <c r="G13" s="239"/>
      <c r="H13" s="14"/>
      <c r="I13" s="142" t="s">
        <v>193</v>
      </c>
      <c r="J13" s="239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124" t="s">
        <v>751</v>
      </c>
      <c r="G16" s="24"/>
      <c r="H16" s="32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32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162" t="s">
        <v>816</v>
      </c>
      <c r="G18" s="24"/>
      <c r="H18" s="32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56" t="s">
        <v>789</v>
      </c>
      <c r="G19" s="1557"/>
      <c r="H19" s="166" t="s">
        <v>856</v>
      </c>
      <c r="I19" s="1556" t="s">
        <v>819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162" t="s">
        <v>857</v>
      </c>
      <c r="G21" s="162" t="s">
        <v>857</v>
      </c>
      <c r="H21" s="162" t="s">
        <v>857</v>
      </c>
      <c r="I21" s="162" t="s">
        <v>857</v>
      </c>
      <c r="J21" s="162" t="s">
        <v>857</v>
      </c>
      <c r="K21" s="24"/>
    </row>
    <row r="22" spans="1:19" ht="24.6" customHeight="1">
      <c r="A22" s="84"/>
      <c r="B22" s="240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203"/>
      <c r="N23" s="203"/>
      <c r="O23" s="20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67" t="s">
        <v>833</v>
      </c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24" t="s">
        <v>695</v>
      </c>
      <c r="G25" s="14"/>
      <c r="H25" s="14"/>
      <c r="I25" s="14"/>
      <c r="J25" s="124" t="s">
        <v>722</v>
      </c>
      <c r="K25" s="14"/>
      <c r="L25" s="84"/>
      <c r="M25" s="84"/>
      <c r="N25" s="84"/>
      <c r="P25" s="84"/>
      <c r="Q25" s="84"/>
      <c r="R25" s="84"/>
      <c r="S25" s="84"/>
    </row>
    <row r="26" spans="1:19" ht="24" hidden="1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786</v>
      </c>
      <c r="G28" s="1521"/>
      <c r="H28" s="14"/>
      <c r="I28" s="14"/>
      <c r="J28" s="14"/>
      <c r="K28" s="14"/>
      <c r="L28" s="84"/>
      <c r="M28" s="84"/>
      <c r="N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24" t="s">
        <v>859</v>
      </c>
      <c r="I29" s="1522" t="s">
        <v>830</v>
      </c>
      <c r="J29" s="1555"/>
      <c r="K29" s="14"/>
      <c r="L29" s="84"/>
      <c r="M29" s="84"/>
      <c r="N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857</v>
      </c>
      <c r="G30" s="162" t="s">
        <v>857</v>
      </c>
      <c r="H30" s="162" t="s">
        <v>858</v>
      </c>
      <c r="I30" s="162" t="s">
        <v>842</v>
      </c>
      <c r="J30" s="162" t="s">
        <v>842</v>
      </c>
      <c r="K30" s="14"/>
      <c r="L30" s="84"/>
      <c r="M30" s="84"/>
      <c r="N30" s="84"/>
      <c r="P30" s="84"/>
      <c r="Q30" s="84"/>
      <c r="R30" s="84"/>
      <c r="S30" s="84"/>
    </row>
    <row r="31" spans="1:19" ht="24.6" customHeight="1">
      <c r="A31" s="84"/>
      <c r="B31" s="240" t="s">
        <v>317</v>
      </c>
      <c r="C31" s="125" t="s">
        <v>228</v>
      </c>
      <c r="D31" s="13"/>
      <c r="E31" s="14"/>
      <c r="F31" s="14"/>
      <c r="G31" s="14"/>
      <c r="H31" s="14"/>
      <c r="I31" s="239"/>
      <c r="J31" s="239"/>
      <c r="K31" s="14"/>
      <c r="L31" s="84"/>
      <c r="M31" s="84"/>
      <c r="N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2">E32+1</f>
        <v>23</v>
      </c>
      <c r="G32" s="37">
        <f t="shared" si="2"/>
        <v>24</v>
      </c>
      <c r="H32" s="37">
        <f t="shared" si="2"/>
        <v>25</v>
      </c>
      <c r="I32" s="37">
        <f t="shared" si="2"/>
        <v>26</v>
      </c>
      <c r="J32" s="37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558" t="s">
        <v>286</v>
      </c>
      <c r="C33" s="12" t="s">
        <v>9</v>
      </c>
      <c r="D33" s="13"/>
      <c r="E33" s="24"/>
      <c r="F33" s="167" t="s">
        <v>922</v>
      </c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558"/>
      <c r="C34" s="124" t="s">
        <v>7</v>
      </c>
      <c r="D34" s="13"/>
      <c r="E34" s="24"/>
      <c r="F34" s="24"/>
      <c r="G34" s="24"/>
      <c r="H34" s="24"/>
      <c r="I34" s="166" t="s">
        <v>783</v>
      </c>
      <c r="J34" s="124" t="s">
        <v>721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hidden="1" customHeight="1">
      <c r="A35" s="84"/>
      <c r="B35" s="1558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558"/>
      <c r="C36" s="162" t="s">
        <v>316</v>
      </c>
      <c r="D36" s="13"/>
      <c r="E36" s="24"/>
      <c r="F36" s="223" t="s">
        <v>707</v>
      </c>
      <c r="G36" s="223" t="s">
        <v>799</v>
      </c>
      <c r="H36" s="223" t="s">
        <v>848</v>
      </c>
      <c r="I36" s="223" t="s">
        <v>800</v>
      </c>
      <c r="J36" s="223" t="s">
        <v>801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558" t="s">
        <v>287</v>
      </c>
      <c r="C37" s="12" t="s">
        <v>9</v>
      </c>
      <c r="D37" s="13"/>
      <c r="E37" s="24"/>
      <c r="F37" s="24"/>
      <c r="G37" s="24"/>
      <c r="H37" s="1506" t="s">
        <v>849</v>
      </c>
      <c r="I37" s="1521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558"/>
      <c r="C38" s="124" t="s">
        <v>292</v>
      </c>
      <c r="D38" s="13"/>
      <c r="E38" s="24"/>
      <c r="F38" s="166" t="s">
        <v>851</v>
      </c>
      <c r="G38" s="243" t="s">
        <v>831</v>
      </c>
      <c r="H38" s="24"/>
      <c r="I38" s="24"/>
      <c r="J38" s="243" t="s">
        <v>831</v>
      </c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558"/>
      <c r="C39" s="162" t="s">
        <v>316</v>
      </c>
      <c r="D39" s="13"/>
      <c r="E39" s="24"/>
      <c r="F39" s="162" t="s">
        <v>842</v>
      </c>
      <c r="G39" s="162" t="s">
        <v>842</v>
      </c>
      <c r="H39" s="162" t="s">
        <v>843</v>
      </c>
      <c r="I39" s="162" t="s">
        <v>790</v>
      </c>
      <c r="J39" s="162" t="s">
        <v>790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41" t="s">
        <v>317</v>
      </c>
      <c r="C40" s="125" t="s">
        <v>228</v>
      </c>
      <c r="D40" s="13"/>
      <c r="E40" s="24"/>
      <c r="F40" s="32"/>
      <c r="G40" s="32"/>
      <c r="H40" s="32"/>
      <c r="I40" s="32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f>F41+1</f>
        <v>31</v>
      </c>
      <c r="H41" s="27"/>
      <c r="I41" s="27"/>
      <c r="J41" s="27"/>
      <c r="K41" s="52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67" t="s">
        <v>923</v>
      </c>
      <c r="G42" s="167" t="s">
        <v>924</v>
      </c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223" t="s">
        <v>802</v>
      </c>
      <c r="G45" s="223" t="s">
        <v>802</v>
      </c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06" t="s">
        <v>832</v>
      </c>
      <c r="G47" s="1507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790</v>
      </c>
      <c r="G48" s="162" t="s">
        <v>790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40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1">
    <mergeCell ref="B33:B36"/>
    <mergeCell ref="B37:B39"/>
    <mergeCell ref="H37:I37"/>
    <mergeCell ref="B42:B45"/>
    <mergeCell ref="B46:B48"/>
    <mergeCell ref="F47:G47"/>
    <mergeCell ref="B28:B30"/>
    <mergeCell ref="F28:G28"/>
    <mergeCell ref="I29:J29"/>
    <mergeCell ref="E3:G3"/>
    <mergeCell ref="H3:K3"/>
    <mergeCell ref="B6:B9"/>
    <mergeCell ref="B10:B12"/>
    <mergeCell ref="F10:G10"/>
    <mergeCell ref="I10:J10"/>
    <mergeCell ref="I11:J11"/>
    <mergeCell ref="B15:B18"/>
    <mergeCell ref="B19:B21"/>
    <mergeCell ref="F19:G19"/>
    <mergeCell ref="I19:J19"/>
    <mergeCell ref="B24:B27"/>
  </mergeCells>
  <phoneticPr fontId="6" type="noConversion"/>
  <pageMargins left="0.7" right="0.7" top="0.75" bottom="0.75" header="0.3" footer="0.3"/>
  <pageSetup paperSize="9" scale="43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S58"/>
  <sheetViews>
    <sheetView topLeftCell="A4" zoomScale="70" zoomScaleNormal="70" workbookViewId="0">
      <selection activeCell="N36" sqref="N3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43891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v>4</v>
      </c>
      <c r="I5" s="60">
        <v>5</v>
      </c>
      <c r="J5" s="60">
        <v>6</v>
      </c>
      <c r="K5" s="182"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62" t="s">
        <v>815</v>
      </c>
      <c r="G9" s="162" t="s">
        <v>815</v>
      </c>
      <c r="H9" s="162" t="s">
        <v>815</v>
      </c>
      <c r="I9" s="162" t="s">
        <v>816</v>
      </c>
      <c r="J9" s="162" t="s">
        <v>816</v>
      </c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506" t="s">
        <v>838</v>
      </c>
      <c r="G10" s="1507"/>
      <c r="H10" s="14"/>
      <c r="I10" s="1506" t="s">
        <v>832</v>
      </c>
      <c r="J10" s="150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66" t="s">
        <v>827</v>
      </c>
      <c r="I11" s="1509" t="s">
        <v>841</v>
      </c>
      <c r="J11" s="1510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62" t="s">
        <v>787</v>
      </c>
      <c r="G12" s="162" t="s">
        <v>787</v>
      </c>
      <c r="H12" s="162" t="s">
        <v>839</v>
      </c>
      <c r="I12" s="162" t="s">
        <v>839</v>
      </c>
      <c r="J12" s="162" t="s">
        <v>839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37" t="s">
        <v>317</v>
      </c>
      <c r="C13" s="125" t="s">
        <v>228</v>
      </c>
      <c r="D13" s="13"/>
      <c r="E13" s="14"/>
      <c r="F13" s="236" t="s">
        <v>613</v>
      </c>
      <c r="G13" s="236"/>
      <c r="H13" s="14"/>
      <c r="I13" s="142" t="s">
        <v>193</v>
      </c>
      <c r="J13" s="236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124" t="s">
        <v>751</v>
      </c>
      <c r="G16" s="24"/>
      <c r="H16" s="124" t="s">
        <v>749</v>
      </c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32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162" t="s">
        <v>816</v>
      </c>
      <c r="G18" s="24"/>
      <c r="H18" s="32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56" t="s">
        <v>844</v>
      </c>
      <c r="G19" s="1557"/>
      <c r="H19" s="24"/>
      <c r="I19" s="1556" t="s">
        <v>819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162" t="s">
        <v>839</v>
      </c>
      <c r="G21" s="162" t="s">
        <v>839</v>
      </c>
      <c r="H21" s="162" t="s">
        <v>839</v>
      </c>
      <c r="I21" s="162" t="s">
        <v>839</v>
      </c>
      <c r="J21" s="162" t="s">
        <v>840</v>
      </c>
      <c r="K21" s="24"/>
    </row>
    <row r="22" spans="1:19" ht="24.6" customHeight="1">
      <c r="A22" s="84"/>
      <c r="B22" s="237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203"/>
      <c r="N23" s="203"/>
      <c r="O23" s="20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67" t="s">
        <v>833</v>
      </c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24" t="s">
        <v>695</v>
      </c>
      <c r="G25" s="14"/>
      <c r="H25" s="14"/>
      <c r="I25" s="14"/>
      <c r="J25" s="124" t="s">
        <v>722</v>
      </c>
      <c r="K25" s="14"/>
      <c r="L25" s="84"/>
      <c r="M25" s="84"/>
      <c r="N25" s="84"/>
      <c r="P25" s="84"/>
      <c r="Q25" s="84"/>
      <c r="R25" s="84"/>
      <c r="S25" s="84"/>
    </row>
    <row r="26" spans="1:19" ht="24" hidden="1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786</v>
      </c>
      <c r="G28" s="1521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4"/>
      <c r="I29" s="1522" t="s">
        <v>830</v>
      </c>
      <c r="J29" s="1555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842</v>
      </c>
      <c r="G30" s="162" t="s">
        <v>842</v>
      </c>
      <c r="H30" s="162" t="s">
        <v>842</v>
      </c>
      <c r="I30" s="162" t="s">
        <v>842</v>
      </c>
      <c r="J30" s="162" t="s">
        <v>842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37" t="s">
        <v>317</v>
      </c>
      <c r="C31" s="125" t="s">
        <v>228</v>
      </c>
      <c r="D31" s="13"/>
      <c r="E31" s="14"/>
      <c r="F31" s="14"/>
      <c r="G31" s="14"/>
      <c r="H31" s="14"/>
      <c r="I31" s="236"/>
      <c r="J31" s="236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2">E32+1</f>
        <v>23</v>
      </c>
      <c r="G32" s="37">
        <f t="shared" si="2"/>
        <v>24</v>
      </c>
      <c r="H32" s="37">
        <f t="shared" si="2"/>
        <v>25</v>
      </c>
      <c r="I32" s="37">
        <f t="shared" si="2"/>
        <v>26</v>
      </c>
      <c r="J32" s="37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558" t="s">
        <v>286</v>
      </c>
      <c r="C33" s="12" t="s">
        <v>9</v>
      </c>
      <c r="D33" s="13"/>
      <c r="E33" s="24"/>
      <c r="F33" s="167" t="s">
        <v>704</v>
      </c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558"/>
      <c r="C34" s="124" t="s">
        <v>7</v>
      </c>
      <c r="D34" s="13"/>
      <c r="E34" s="24"/>
      <c r="F34" s="24"/>
      <c r="G34" s="24"/>
      <c r="H34" s="24"/>
      <c r="I34" s="166" t="s">
        <v>783</v>
      </c>
      <c r="J34" s="124" t="s">
        <v>721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hidden="1" customHeight="1">
      <c r="A35" s="84"/>
      <c r="B35" s="1558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558"/>
      <c r="C36" s="162" t="s">
        <v>316</v>
      </c>
      <c r="D36" s="13"/>
      <c r="E36" s="24"/>
      <c r="F36" s="223" t="s">
        <v>707</v>
      </c>
      <c r="G36" s="223" t="s">
        <v>799</v>
      </c>
      <c r="H36" s="223" t="s">
        <v>848</v>
      </c>
      <c r="I36" s="223" t="s">
        <v>800</v>
      </c>
      <c r="J36" s="223" t="s">
        <v>801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558" t="s">
        <v>287</v>
      </c>
      <c r="C37" s="12" t="s">
        <v>9</v>
      </c>
      <c r="D37" s="13"/>
      <c r="E37" s="24"/>
      <c r="F37" s="24"/>
      <c r="G37" s="24"/>
      <c r="H37" s="1506" t="s">
        <v>849</v>
      </c>
      <c r="I37" s="1521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558"/>
      <c r="C38" s="124" t="s">
        <v>292</v>
      </c>
      <c r="D38" s="13"/>
      <c r="E38" s="24"/>
      <c r="F38" s="1522" t="s">
        <v>831</v>
      </c>
      <c r="G38" s="1555"/>
      <c r="H38" s="24"/>
      <c r="I38" s="24"/>
      <c r="J38" s="124" t="s">
        <v>847</v>
      </c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558"/>
      <c r="C39" s="162" t="s">
        <v>316</v>
      </c>
      <c r="D39" s="13"/>
      <c r="E39" s="24"/>
      <c r="F39" s="162" t="s">
        <v>842</v>
      </c>
      <c r="G39" s="162" t="s">
        <v>842</v>
      </c>
      <c r="H39" s="162" t="s">
        <v>843</v>
      </c>
      <c r="I39" s="162" t="s">
        <v>790</v>
      </c>
      <c r="J39" s="162" t="s">
        <v>790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38" t="s">
        <v>317</v>
      </c>
      <c r="C40" s="125" t="s">
        <v>228</v>
      </c>
      <c r="D40" s="13"/>
      <c r="E40" s="24"/>
      <c r="F40" s="32"/>
      <c r="G40" s="32"/>
      <c r="H40" s="32"/>
      <c r="I40" s="32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f>F41+1</f>
        <v>31</v>
      </c>
      <c r="H41" s="27"/>
      <c r="I41" s="27"/>
      <c r="J41" s="27"/>
      <c r="K41" s="52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67" t="s">
        <v>836</v>
      </c>
      <c r="G42" s="167" t="s">
        <v>837</v>
      </c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223" t="s">
        <v>802</v>
      </c>
      <c r="G45" s="223" t="s">
        <v>802</v>
      </c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06" t="s">
        <v>832</v>
      </c>
      <c r="G47" s="1507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845</v>
      </c>
      <c r="G48" s="162" t="s">
        <v>790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37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2">
    <mergeCell ref="E3:G3"/>
    <mergeCell ref="H3:K3"/>
    <mergeCell ref="B6:B9"/>
    <mergeCell ref="B10:B12"/>
    <mergeCell ref="F10:G10"/>
    <mergeCell ref="I10:J10"/>
    <mergeCell ref="I11:J11"/>
    <mergeCell ref="I19:J19"/>
    <mergeCell ref="B24:B27"/>
    <mergeCell ref="B28:B30"/>
    <mergeCell ref="F28:G28"/>
    <mergeCell ref="I29:J29"/>
    <mergeCell ref="B46:B48"/>
    <mergeCell ref="F47:G47"/>
    <mergeCell ref="B15:B18"/>
    <mergeCell ref="B19:B21"/>
    <mergeCell ref="F19:G19"/>
    <mergeCell ref="H37:I37"/>
    <mergeCell ref="B33:B36"/>
    <mergeCell ref="B37:B39"/>
    <mergeCell ref="F38:G38"/>
    <mergeCell ref="B42:B45"/>
  </mergeCells>
  <phoneticPr fontId="6" type="noConversion"/>
  <pageMargins left="0.7" right="0.7" top="0.75" bottom="0.75" header="0.3" footer="0.3"/>
  <pageSetup paperSize="9" scale="43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S58"/>
  <sheetViews>
    <sheetView zoomScale="70" zoomScaleNormal="70" workbookViewId="0">
      <selection activeCell="G51" sqref="G51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43891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v>4</v>
      </c>
      <c r="I5" s="60">
        <v>5</v>
      </c>
      <c r="J5" s="60">
        <v>6</v>
      </c>
      <c r="K5" s="182"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62" t="s">
        <v>820</v>
      </c>
      <c r="G9" s="162" t="s">
        <v>820</v>
      </c>
      <c r="H9" s="162" t="s">
        <v>820</v>
      </c>
      <c r="I9" s="162" t="s">
        <v>816</v>
      </c>
      <c r="J9" s="162" t="s">
        <v>816</v>
      </c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506" t="s">
        <v>838</v>
      </c>
      <c r="G10" s="1507"/>
      <c r="H10" s="14"/>
      <c r="I10" s="1506" t="s">
        <v>832</v>
      </c>
      <c r="J10" s="150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66" t="s">
        <v>827</v>
      </c>
      <c r="I11" s="1509" t="s">
        <v>841</v>
      </c>
      <c r="J11" s="1510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62" t="s">
        <v>787</v>
      </c>
      <c r="G12" s="162" t="s">
        <v>787</v>
      </c>
      <c r="H12" s="162" t="s">
        <v>839</v>
      </c>
      <c r="I12" s="162" t="s">
        <v>839</v>
      </c>
      <c r="J12" s="162" t="s">
        <v>839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31" t="s">
        <v>317</v>
      </c>
      <c r="C13" s="125" t="s">
        <v>228</v>
      </c>
      <c r="D13" s="13"/>
      <c r="E13" s="14"/>
      <c r="F13" s="230" t="s">
        <v>613</v>
      </c>
      <c r="G13" s="230"/>
      <c r="H13" s="14"/>
      <c r="I13" s="142" t="s">
        <v>193</v>
      </c>
      <c r="J13" s="230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124" t="s">
        <v>751</v>
      </c>
      <c r="G16" s="24"/>
      <c r="H16" s="124" t="s">
        <v>749</v>
      </c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32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162" t="s">
        <v>816</v>
      </c>
      <c r="G18" s="24"/>
      <c r="H18" s="32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56" t="s">
        <v>844</v>
      </c>
      <c r="G19" s="1557"/>
      <c r="H19" s="24"/>
      <c r="I19" s="1556" t="s">
        <v>819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162" t="s">
        <v>839</v>
      </c>
      <c r="G21" s="162" t="s">
        <v>839</v>
      </c>
      <c r="H21" s="162" t="s">
        <v>839</v>
      </c>
      <c r="I21" s="162" t="s">
        <v>839</v>
      </c>
      <c r="J21" s="162" t="s">
        <v>840</v>
      </c>
      <c r="K21" s="24"/>
    </row>
    <row r="22" spans="1:19" ht="24.6" customHeight="1">
      <c r="A22" s="84"/>
      <c r="B22" s="231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203"/>
      <c r="N23" s="203"/>
      <c r="O23" s="20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24" t="s">
        <v>695</v>
      </c>
      <c r="G25" s="14"/>
      <c r="H25" s="14"/>
      <c r="I25" s="124" t="s">
        <v>722</v>
      </c>
      <c r="J25" s="14"/>
      <c r="K25" s="14"/>
      <c r="L25" s="84"/>
      <c r="M25" s="84"/>
      <c r="N25" s="84"/>
      <c r="P25" s="84"/>
      <c r="Q25" s="84"/>
      <c r="R25" s="84"/>
      <c r="S25" s="84"/>
    </row>
    <row r="26" spans="1:19" ht="24.6" hidden="1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hidden="1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786</v>
      </c>
      <c r="G28" s="1521"/>
      <c r="H28" s="14"/>
      <c r="I28" s="1506" t="s">
        <v>747</v>
      </c>
      <c r="J28" s="150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hidden="1" customHeight="1">
      <c r="A30" s="84"/>
      <c r="B30" s="1467"/>
      <c r="C30" s="162" t="s">
        <v>316</v>
      </c>
      <c r="D30" s="13"/>
      <c r="E30" s="14"/>
      <c r="F30" s="162" t="s">
        <v>842</v>
      </c>
      <c r="G30" s="162" t="s">
        <v>842</v>
      </c>
      <c r="H30" s="162" t="s">
        <v>842</v>
      </c>
      <c r="I30" s="162" t="s">
        <v>842</v>
      </c>
      <c r="J30" s="162" t="s">
        <v>842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hidden="1" customHeight="1">
      <c r="A31" s="84"/>
      <c r="B31" s="231" t="s">
        <v>317</v>
      </c>
      <c r="C31" s="125" t="s">
        <v>228</v>
      </c>
      <c r="D31" s="13"/>
      <c r="E31" s="14"/>
      <c r="F31" s="14"/>
      <c r="G31" s="14"/>
      <c r="H31" s="14"/>
      <c r="I31" s="230"/>
      <c r="J31" s="230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2">E32+1</f>
        <v>23</v>
      </c>
      <c r="G32" s="37">
        <f t="shared" si="2"/>
        <v>24</v>
      </c>
      <c r="H32" s="37">
        <f t="shared" si="2"/>
        <v>25</v>
      </c>
      <c r="I32" s="37">
        <f t="shared" si="2"/>
        <v>26</v>
      </c>
      <c r="J32" s="37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558" t="s">
        <v>286</v>
      </c>
      <c r="C33" s="12" t="s">
        <v>9</v>
      </c>
      <c r="D33" s="13"/>
      <c r="E33" s="24"/>
      <c r="F33" s="24"/>
      <c r="G33" s="24"/>
      <c r="H33" s="167" t="s">
        <v>833</v>
      </c>
      <c r="I33" s="167" t="s">
        <v>704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558"/>
      <c r="C34" s="124" t="s">
        <v>7</v>
      </c>
      <c r="D34" s="13"/>
      <c r="E34" s="24"/>
      <c r="F34" s="24"/>
      <c r="G34" s="24"/>
      <c r="H34" s="24"/>
      <c r="I34" s="166" t="s">
        <v>783</v>
      </c>
      <c r="J34" s="124" t="s">
        <v>721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hidden="1" customHeight="1">
      <c r="A35" s="84"/>
      <c r="B35" s="1558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" hidden="1" customHeight="1">
      <c r="A36" s="84"/>
      <c r="B36" s="1558"/>
      <c r="C36" s="162" t="s">
        <v>316</v>
      </c>
      <c r="D36" s="13"/>
      <c r="E36" s="24"/>
      <c r="F36" s="223" t="s">
        <v>707</v>
      </c>
      <c r="G36" s="223" t="s">
        <v>799</v>
      </c>
      <c r="H36" s="223" t="s">
        <v>800</v>
      </c>
      <c r="I36" s="223" t="s">
        <v>800</v>
      </c>
      <c r="J36" s="223" t="s">
        <v>801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558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558"/>
      <c r="C38" s="124" t="s">
        <v>292</v>
      </c>
      <c r="D38" s="13"/>
      <c r="E38" s="24"/>
      <c r="F38" s="1559" t="s">
        <v>830</v>
      </c>
      <c r="G38" s="1559"/>
      <c r="H38" s="242" t="s">
        <v>846</v>
      </c>
      <c r="I38" s="1522" t="s">
        <v>831</v>
      </c>
      <c r="J38" s="1555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hidden="1" customHeight="1">
      <c r="A39" s="84"/>
      <c r="B39" s="1558"/>
      <c r="C39" s="162" t="s">
        <v>316</v>
      </c>
      <c r="D39" s="13"/>
      <c r="E39" s="24"/>
      <c r="F39" s="162" t="s">
        <v>842</v>
      </c>
      <c r="G39" s="162" t="s">
        <v>842</v>
      </c>
      <c r="H39" s="162" t="s">
        <v>843</v>
      </c>
      <c r="I39" s="162" t="s">
        <v>790</v>
      </c>
      <c r="J39" s="162" t="s">
        <v>790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hidden="1" customHeight="1">
      <c r="A40" s="84"/>
      <c r="B40" s="232" t="s">
        <v>317</v>
      </c>
      <c r="C40" s="125" t="s">
        <v>228</v>
      </c>
      <c r="D40" s="13"/>
      <c r="E40" s="24"/>
      <c r="F40" s="32"/>
      <c r="G40" s="32"/>
      <c r="H40" s="32"/>
      <c r="I40" s="32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f>F41+1</f>
        <v>31</v>
      </c>
      <c r="H41" s="27"/>
      <c r="I41" s="27"/>
      <c r="J41" s="27"/>
      <c r="K41" s="52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67" t="s">
        <v>836</v>
      </c>
      <c r="G42" s="167" t="s">
        <v>837</v>
      </c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223" t="s">
        <v>802</v>
      </c>
      <c r="G45" s="223" t="s">
        <v>802</v>
      </c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06" t="s">
        <v>832</v>
      </c>
      <c r="G47" s="1507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845</v>
      </c>
      <c r="G48" s="162" t="s">
        <v>790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31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2">
    <mergeCell ref="B24:B27"/>
    <mergeCell ref="E3:G3"/>
    <mergeCell ref="H3:K3"/>
    <mergeCell ref="B6:B9"/>
    <mergeCell ref="B10:B12"/>
    <mergeCell ref="F10:G10"/>
    <mergeCell ref="F19:G19"/>
    <mergeCell ref="I11:J11"/>
    <mergeCell ref="B15:B18"/>
    <mergeCell ref="B19:B21"/>
    <mergeCell ref="I19:J19"/>
    <mergeCell ref="I10:J10"/>
    <mergeCell ref="B46:B48"/>
    <mergeCell ref="F47:G47"/>
    <mergeCell ref="I28:J28"/>
    <mergeCell ref="F28:G28"/>
    <mergeCell ref="F38:G38"/>
    <mergeCell ref="I38:J38"/>
    <mergeCell ref="B28:B30"/>
    <mergeCell ref="B33:B36"/>
    <mergeCell ref="B37:B39"/>
    <mergeCell ref="B42:B45"/>
  </mergeCells>
  <phoneticPr fontId="6" type="noConversion"/>
  <pageMargins left="0.7" right="0.7" top="0.75" bottom="0.75" header="0.3" footer="0.3"/>
  <pageSetup paperSize="9" scale="4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S58"/>
  <sheetViews>
    <sheetView zoomScale="70" zoomScaleNormal="70" workbookViewId="0">
      <selection activeCell="F37" sqref="F37:G37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43891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v>4</v>
      </c>
      <c r="I5" s="60">
        <v>5</v>
      </c>
      <c r="J5" s="60">
        <v>6</v>
      </c>
      <c r="K5" s="182"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62" t="s">
        <v>820</v>
      </c>
      <c r="G9" s="162" t="s">
        <v>820</v>
      </c>
      <c r="H9" s="162" t="s">
        <v>820</v>
      </c>
      <c r="I9" s="162" t="s">
        <v>816</v>
      </c>
      <c r="J9" s="162" t="s">
        <v>816</v>
      </c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506" t="s">
        <v>818</v>
      </c>
      <c r="G10" s="1507"/>
      <c r="H10" s="14"/>
      <c r="I10" s="1556" t="s">
        <v>789</v>
      </c>
      <c r="J10" s="155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66" t="s">
        <v>827</v>
      </c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62" t="s">
        <v>787</v>
      </c>
      <c r="G12" s="162" t="s">
        <v>787</v>
      </c>
      <c r="H12" s="162" t="s">
        <v>787</v>
      </c>
      <c r="I12" s="162" t="s">
        <v>787</v>
      </c>
      <c r="J12" s="162" t="s">
        <v>788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31" t="s">
        <v>317</v>
      </c>
      <c r="C13" s="125" t="s">
        <v>228</v>
      </c>
      <c r="D13" s="13"/>
      <c r="E13" s="14"/>
      <c r="F13" s="230" t="s">
        <v>613</v>
      </c>
      <c r="G13" s="230"/>
      <c r="H13" s="14"/>
      <c r="I13" s="142" t="s">
        <v>193</v>
      </c>
      <c r="J13" s="230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167" t="s">
        <v>828</v>
      </c>
      <c r="G15" s="167" t="s">
        <v>829</v>
      </c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124" t="s">
        <v>751</v>
      </c>
      <c r="G16" s="24"/>
      <c r="H16" s="124" t="s">
        <v>749</v>
      </c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32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162" t="s">
        <v>816</v>
      </c>
      <c r="G18" s="24"/>
      <c r="H18" s="162" t="s">
        <v>821</v>
      </c>
      <c r="I18" s="162" t="s">
        <v>821</v>
      </c>
      <c r="J18" s="162" t="s">
        <v>821</v>
      </c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4"/>
      <c r="G19" s="24"/>
      <c r="H19" s="24"/>
      <c r="I19" s="1556" t="s">
        <v>819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1509" t="s">
        <v>778</v>
      </c>
      <c r="G20" s="1510"/>
      <c r="H20" s="24"/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162" t="s">
        <v>790</v>
      </c>
      <c r="G21" s="162" t="s">
        <v>790</v>
      </c>
      <c r="H21" s="162" t="s">
        <v>790</v>
      </c>
      <c r="I21" s="162" t="s">
        <v>790</v>
      </c>
      <c r="J21" s="162" t="s">
        <v>790</v>
      </c>
      <c r="K21" s="24"/>
    </row>
    <row r="22" spans="1:19" ht="24.6" customHeight="1">
      <c r="A22" s="84"/>
      <c r="B22" s="231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24" t="s">
        <v>695</v>
      </c>
      <c r="G25" s="14"/>
      <c r="H25" s="14"/>
      <c r="I25" s="124" t="s">
        <v>722</v>
      </c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223" t="s">
        <v>704</v>
      </c>
      <c r="H27" s="223" t="s">
        <v>798</v>
      </c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4"/>
      <c r="G28" s="1506" t="s">
        <v>786</v>
      </c>
      <c r="H28" s="1507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4"/>
      <c r="I29" s="14"/>
      <c r="J29" s="206" t="s">
        <v>826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790</v>
      </c>
      <c r="G30" s="162" t="s">
        <v>790</v>
      </c>
      <c r="H30" s="162" t="s">
        <v>791</v>
      </c>
      <c r="I30" s="162" t="s">
        <v>696</v>
      </c>
      <c r="J30" s="162" t="s">
        <v>696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31" t="s">
        <v>317</v>
      </c>
      <c r="C31" s="125" t="s">
        <v>228</v>
      </c>
      <c r="D31" s="13"/>
      <c r="E31" s="14"/>
      <c r="F31" s="14"/>
      <c r="G31" s="14"/>
      <c r="H31" s="14"/>
      <c r="I31" s="230" t="s">
        <v>710</v>
      </c>
      <c r="J31" s="230" t="s">
        <v>711</v>
      </c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2">E32+1</f>
        <v>23</v>
      </c>
      <c r="G32" s="37">
        <f t="shared" si="2"/>
        <v>24</v>
      </c>
      <c r="H32" s="37">
        <f t="shared" si="2"/>
        <v>25</v>
      </c>
      <c r="I32" s="37">
        <f t="shared" si="2"/>
        <v>26</v>
      </c>
      <c r="J32" s="37">
        <f>I32+1</f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558" t="s">
        <v>286</v>
      </c>
      <c r="C33" s="12" t="s">
        <v>9</v>
      </c>
      <c r="D33" s="13"/>
      <c r="E33" s="24"/>
      <c r="F33" s="24"/>
      <c r="G33" s="24"/>
      <c r="H33" s="167" t="s">
        <v>822</v>
      </c>
      <c r="I33" s="167" t="s">
        <v>823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558"/>
      <c r="C34" s="124" t="s">
        <v>7</v>
      </c>
      <c r="D34" s="13"/>
      <c r="E34" s="24"/>
      <c r="F34" s="24"/>
      <c r="G34" s="24"/>
      <c r="H34" s="24"/>
      <c r="I34" s="166" t="s">
        <v>783</v>
      </c>
      <c r="J34" s="124" t="s">
        <v>721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558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558"/>
      <c r="C36" s="162" t="s">
        <v>316</v>
      </c>
      <c r="D36" s="13"/>
      <c r="E36" s="24"/>
      <c r="F36" s="223" t="s">
        <v>707</v>
      </c>
      <c r="G36" s="223" t="s">
        <v>799</v>
      </c>
      <c r="H36" s="223" t="s">
        <v>800</v>
      </c>
      <c r="I36" s="223" t="s">
        <v>800</v>
      </c>
      <c r="J36" s="223" t="s">
        <v>801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558" t="s">
        <v>287</v>
      </c>
      <c r="C37" s="12" t="s">
        <v>9</v>
      </c>
      <c r="D37" s="13"/>
      <c r="E37" s="24"/>
      <c r="F37" s="1506" t="s">
        <v>747</v>
      </c>
      <c r="G37" s="1507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558"/>
      <c r="C38" s="124" t="s">
        <v>292</v>
      </c>
      <c r="D38" s="13"/>
      <c r="E38" s="24"/>
      <c r="F38" s="24"/>
      <c r="G38" s="24"/>
      <c r="H38" s="24"/>
      <c r="I38" s="233"/>
      <c r="J38" s="233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558"/>
      <c r="C39" s="162" t="s">
        <v>316</v>
      </c>
      <c r="D39" s="13"/>
      <c r="E39" s="24"/>
      <c r="F39" s="162" t="s">
        <v>696</v>
      </c>
      <c r="G39" s="162" t="s">
        <v>696</v>
      </c>
      <c r="H39" s="162" t="s">
        <v>696</v>
      </c>
      <c r="I39" s="162" t="s">
        <v>696</v>
      </c>
      <c r="J39" s="162" t="s">
        <v>696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32" t="s">
        <v>317</v>
      </c>
      <c r="C40" s="125" t="s">
        <v>228</v>
      </c>
      <c r="D40" s="13"/>
      <c r="E40" s="24"/>
      <c r="F40" s="32" t="s">
        <v>711</v>
      </c>
      <c r="G40" s="32"/>
      <c r="H40" s="32"/>
      <c r="I40" s="32" t="s">
        <v>782</v>
      </c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f>F41+1</f>
        <v>31</v>
      </c>
      <c r="H41" s="27"/>
      <c r="I41" s="27"/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67" t="s">
        <v>824</v>
      </c>
      <c r="G42" s="167" t="s">
        <v>825</v>
      </c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223" t="s">
        <v>802</v>
      </c>
      <c r="G45" s="223" t="s">
        <v>802</v>
      </c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30" t="s">
        <v>812</v>
      </c>
      <c r="G47" s="1531"/>
      <c r="H47" s="14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705</v>
      </c>
      <c r="G48" s="162" t="s">
        <v>792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31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0">
    <mergeCell ref="B15:B18"/>
    <mergeCell ref="I10:J10"/>
    <mergeCell ref="E3:G3"/>
    <mergeCell ref="H3:K3"/>
    <mergeCell ref="B6:B9"/>
    <mergeCell ref="B10:B12"/>
    <mergeCell ref="F10:G10"/>
    <mergeCell ref="B19:B21"/>
    <mergeCell ref="F20:G20"/>
    <mergeCell ref="M23:O23"/>
    <mergeCell ref="B24:B27"/>
    <mergeCell ref="B28:B30"/>
    <mergeCell ref="G28:H28"/>
    <mergeCell ref="I19:J19"/>
    <mergeCell ref="B33:B36"/>
    <mergeCell ref="B37:B39"/>
    <mergeCell ref="F37:G37"/>
    <mergeCell ref="B42:B45"/>
    <mergeCell ref="B46:B48"/>
    <mergeCell ref="F47:G47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S58"/>
  <sheetViews>
    <sheetView topLeftCell="B1" zoomScale="85" zoomScaleNormal="85" workbookViewId="0">
      <selection activeCell="I6" sqref="I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43891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v>4</v>
      </c>
      <c r="I5" s="60">
        <v>5</v>
      </c>
      <c r="J5" s="60">
        <v>6</v>
      </c>
      <c r="K5" s="182"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2" t="s">
        <v>794</v>
      </c>
      <c r="I6" s="167" t="s">
        <v>746</v>
      </c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24" t="s">
        <v>749</v>
      </c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706</v>
      </c>
      <c r="D9" s="13"/>
      <c r="E9" s="14"/>
      <c r="F9" s="14"/>
      <c r="G9" s="14"/>
      <c r="H9" s="14"/>
      <c r="I9" s="14"/>
      <c r="J9" s="162" t="s">
        <v>795</v>
      </c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556" t="s">
        <v>785</v>
      </c>
      <c r="G10" s="1557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62" t="s">
        <v>787</v>
      </c>
      <c r="G12" s="162" t="s">
        <v>787</v>
      </c>
      <c r="H12" s="162" t="s">
        <v>787</v>
      </c>
      <c r="I12" s="162" t="s">
        <v>787</v>
      </c>
      <c r="J12" s="162" t="s">
        <v>788</v>
      </c>
      <c r="K12" s="14"/>
      <c r="L12" s="4"/>
      <c r="M12" s="4"/>
      <c r="N12" s="4"/>
      <c r="R12" s="11"/>
      <c r="S12" s="4"/>
    </row>
    <row r="13" spans="1:19" s="5" customFormat="1" ht="24.6" customHeight="1">
      <c r="B13" s="179" t="s">
        <v>317</v>
      </c>
      <c r="C13" s="125" t="s">
        <v>228</v>
      </c>
      <c r="D13" s="13"/>
      <c r="E13" s="14"/>
      <c r="F13" s="178" t="s">
        <v>613</v>
      </c>
      <c r="G13" s="178"/>
      <c r="H13" s="14"/>
      <c r="I13" s="142" t="s">
        <v>614</v>
      </c>
      <c r="J13" s="178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167" t="s">
        <v>804</v>
      </c>
      <c r="G15" s="167" t="s">
        <v>805</v>
      </c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32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162" t="s">
        <v>795</v>
      </c>
      <c r="I18" s="162" t="s">
        <v>795</v>
      </c>
      <c r="J18" s="162" t="s">
        <v>796</v>
      </c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4"/>
      <c r="G19" s="24"/>
      <c r="H19" s="1506" t="s">
        <v>696</v>
      </c>
      <c r="I19" s="1507"/>
      <c r="J19" s="24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1509" t="s">
        <v>778</v>
      </c>
      <c r="G20" s="1510"/>
      <c r="H20" s="24"/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162" t="s">
        <v>790</v>
      </c>
      <c r="G21" s="162" t="s">
        <v>790</v>
      </c>
      <c r="H21" s="162" t="s">
        <v>790</v>
      </c>
      <c r="I21" s="162" t="s">
        <v>790</v>
      </c>
      <c r="J21" s="162" t="s">
        <v>790</v>
      </c>
      <c r="K21" s="24"/>
    </row>
    <row r="22" spans="1:19" ht="24.6" customHeight="1">
      <c r="A22" s="84"/>
      <c r="B22" s="179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24" t="s">
        <v>695</v>
      </c>
      <c r="G25" s="14"/>
      <c r="H25" s="14"/>
      <c r="I25" s="124" t="s">
        <v>722</v>
      </c>
      <c r="J25" s="124" t="s">
        <v>814</v>
      </c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223" t="s">
        <v>797</v>
      </c>
      <c r="H27" s="223" t="s">
        <v>798</v>
      </c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4"/>
      <c r="G28" s="1506" t="s">
        <v>786</v>
      </c>
      <c r="H28" s="1507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4"/>
      <c r="I29" s="14"/>
      <c r="J29" s="206" t="s">
        <v>713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790</v>
      </c>
      <c r="G30" s="162" t="s">
        <v>790</v>
      </c>
      <c r="H30" s="162" t="s">
        <v>791</v>
      </c>
      <c r="I30" s="162" t="s">
        <v>696</v>
      </c>
      <c r="J30" s="162" t="s">
        <v>696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79" t="s">
        <v>317</v>
      </c>
      <c r="C31" s="125" t="s">
        <v>228</v>
      </c>
      <c r="D31" s="13"/>
      <c r="E31" s="14"/>
      <c r="F31" s="14"/>
      <c r="G31" s="14"/>
      <c r="H31" s="14"/>
      <c r="I31" s="219" t="s">
        <v>710</v>
      </c>
      <c r="J31" s="219" t="s">
        <v>711</v>
      </c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2">E32+1</f>
        <v>23</v>
      </c>
      <c r="G32" s="37">
        <f t="shared" si="2"/>
        <v>24</v>
      </c>
      <c r="H32" s="37">
        <f t="shared" si="2"/>
        <v>25</v>
      </c>
      <c r="I32" s="37">
        <f t="shared" si="2"/>
        <v>26</v>
      </c>
      <c r="J32" s="37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558" t="s">
        <v>286</v>
      </c>
      <c r="C33" s="12" t="s">
        <v>9</v>
      </c>
      <c r="D33" s="13"/>
      <c r="E33" s="24"/>
      <c r="F33" s="24"/>
      <c r="G33" s="24"/>
      <c r="H33" s="167" t="s">
        <v>806</v>
      </c>
      <c r="I33" s="167" t="s">
        <v>807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558"/>
      <c r="C34" s="124" t="s">
        <v>7</v>
      </c>
      <c r="D34" s="13"/>
      <c r="E34" s="24"/>
      <c r="F34" s="24"/>
      <c r="G34" s="24"/>
      <c r="H34" s="24"/>
      <c r="I34" s="166" t="s">
        <v>783</v>
      </c>
      <c r="J34" s="124" t="s">
        <v>750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558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558"/>
      <c r="C36" s="162" t="s">
        <v>316</v>
      </c>
      <c r="D36" s="13"/>
      <c r="E36" s="24"/>
      <c r="F36" s="223" t="s">
        <v>707</v>
      </c>
      <c r="G36" s="223" t="s">
        <v>799</v>
      </c>
      <c r="H36" s="223" t="s">
        <v>800</v>
      </c>
      <c r="I36" s="223" t="s">
        <v>800</v>
      </c>
      <c r="J36" s="223" t="s">
        <v>801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558" t="s">
        <v>287</v>
      </c>
      <c r="C37" s="12" t="s">
        <v>9</v>
      </c>
      <c r="D37" s="13"/>
      <c r="E37" s="24"/>
      <c r="F37" s="1506" t="s">
        <v>793</v>
      </c>
      <c r="G37" s="1507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558"/>
      <c r="C38" s="124" t="s">
        <v>292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558"/>
      <c r="C39" s="162" t="s">
        <v>316</v>
      </c>
      <c r="D39" s="13"/>
      <c r="E39" s="24"/>
      <c r="F39" s="162" t="s">
        <v>696</v>
      </c>
      <c r="G39" s="162" t="s">
        <v>696</v>
      </c>
      <c r="H39" s="162" t="s">
        <v>696</v>
      </c>
      <c r="I39" s="162" t="s">
        <v>696</v>
      </c>
      <c r="J39" s="162" t="s">
        <v>696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32" t="s">
        <v>317</v>
      </c>
      <c r="C40" s="125" t="s">
        <v>228</v>
      </c>
      <c r="D40" s="13"/>
      <c r="E40" s="24"/>
      <c r="F40" s="32" t="s">
        <v>712</v>
      </c>
      <c r="G40" s="32"/>
      <c r="H40" s="32"/>
      <c r="I40" s="32" t="s">
        <v>782</v>
      </c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f>F41+1</f>
        <v>31</v>
      </c>
      <c r="H41" s="27"/>
      <c r="I41" s="27"/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67" t="s">
        <v>808</v>
      </c>
      <c r="G42" s="167" t="s">
        <v>803</v>
      </c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223" t="s">
        <v>802</v>
      </c>
      <c r="G45" s="223" t="s">
        <v>802</v>
      </c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09" t="s">
        <v>812</v>
      </c>
      <c r="G47" s="1510"/>
      <c r="H47" s="14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705</v>
      </c>
      <c r="G48" s="162" t="s">
        <v>792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79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9">
    <mergeCell ref="E3:G3"/>
    <mergeCell ref="H3:K3"/>
    <mergeCell ref="B6:B9"/>
    <mergeCell ref="B10:B12"/>
    <mergeCell ref="B15:B18"/>
    <mergeCell ref="F10:G10"/>
    <mergeCell ref="M23:O23"/>
    <mergeCell ref="B24:B27"/>
    <mergeCell ref="B28:B30"/>
    <mergeCell ref="B33:B36"/>
    <mergeCell ref="B37:B39"/>
    <mergeCell ref="G28:H28"/>
    <mergeCell ref="H19:I19"/>
    <mergeCell ref="F47:G47"/>
    <mergeCell ref="B46:B48"/>
    <mergeCell ref="B42:B45"/>
    <mergeCell ref="B19:B21"/>
    <mergeCell ref="F37:G37"/>
    <mergeCell ref="F20:G20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>
    <pageSetUpPr fitToPage="1"/>
  </sheetPr>
  <dimension ref="A1:S58"/>
  <sheetViews>
    <sheetView topLeftCell="A21" zoomScale="55" zoomScaleNormal="5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5" width="9.88671875" style="4" bestFit="1" customWidth="1"/>
    <col min="16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  <c r="E1" s="90" t="s">
        <v>715</v>
      </c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43922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>
        <v>1</v>
      </c>
      <c r="I5" s="60">
        <v>2</v>
      </c>
      <c r="J5" s="60">
        <v>3</v>
      </c>
      <c r="K5" s="182">
        <v>4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223" t="s">
        <v>932</v>
      </c>
      <c r="I9" s="223" t="s">
        <v>932</v>
      </c>
      <c r="J9" s="223" t="s">
        <v>969</v>
      </c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506" t="s">
        <v>925</v>
      </c>
      <c r="J10" s="150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62" t="s">
        <v>839</v>
      </c>
      <c r="I12" s="162" t="s">
        <v>839</v>
      </c>
      <c r="J12" s="162" t="s">
        <v>839</v>
      </c>
      <c r="K12" s="14"/>
      <c r="L12" s="4"/>
      <c r="M12" s="4"/>
      <c r="N12" s="4"/>
      <c r="O12" s="234"/>
      <c r="R12" s="11"/>
      <c r="S12" s="4"/>
    </row>
    <row r="13" spans="1:19" s="5" customFormat="1" ht="24.6" customHeight="1">
      <c r="B13" s="257" t="s">
        <v>317</v>
      </c>
      <c r="C13" s="125" t="s">
        <v>228</v>
      </c>
      <c r="D13" s="13"/>
      <c r="E13" s="14"/>
      <c r="F13" s="256"/>
      <c r="G13" s="256"/>
      <c r="H13" s="14"/>
      <c r="I13" s="142"/>
      <c r="J13" s="256"/>
      <c r="K13" s="14"/>
      <c r="L13" s="4"/>
      <c r="M13" s="4"/>
      <c r="N13" s="4"/>
      <c r="O13" s="23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5</v>
      </c>
      <c r="F14" s="65">
        <f t="shared" ref="F14:K14" si="0">E14+1</f>
        <v>6</v>
      </c>
      <c r="G14" s="65">
        <f t="shared" si="0"/>
        <v>7</v>
      </c>
      <c r="H14" s="65">
        <f t="shared" si="0"/>
        <v>8</v>
      </c>
      <c r="I14" s="65">
        <f t="shared" si="0"/>
        <v>9</v>
      </c>
      <c r="J14" s="65">
        <f t="shared" si="0"/>
        <v>10</v>
      </c>
      <c r="K14" s="23">
        <f t="shared" si="0"/>
        <v>11</v>
      </c>
      <c r="N14" s="90" t="s">
        <v>949</v>
      </c>
      <c r="O14" s="235"/>
    </row>
    <row r="15" spans="1:19" ht="24.6" customHeight="1">
      <c r="A15" s="84"/>
      <c r="B15" s="1558" t="s">
        <v>286</v>
      </c>
      <c r="C15" s="12" t="s">
        <v>9</v>
      </c>
      <c r="D15" s="13"/>
      <c r="E15" s="24"/>
      <c r="F15" s="24"/>
      <c r="G15" s="167" t="s">
        <v>937</v>
      </c>
      <c r="H15" s="167" t="s">
        <v>972</v>
      </c>
      <c r="I15" s="189" t="s">
        <v>1266</v>
      </c>
      <c r="J15" s="24"/>
      <c r="K15" s="24"/>
      <c r="N15" s="90" t="s">
        <v>950</v>
      </c>
    </row>
    <row r="16" spans="1:19" ht="24.6" customHeight="1">
      <c r="A16" s="84"/>
      <c r="B16" s="1558"/>
      <c r="C16" s="124" t="s">
        <v>7</v>
      </c>
      <c r="D16" s="13"/>
      <c r="E16" s="24"/>
      <c r="F16" s="24"/>
      <c r="G16" s="24"/>
      <c r="H16" s="24"/>
      <c r="I16" s="24"/>
      <c r="J16" s="24"/>
      <c r="K16" s="24"/>
      <c r="N16" s="90" t="s">
        <v>951</v>
      </c>
    </row>
    <row r="17" spans="1:19" ht="24.6" customHeight="1">
      <c r="A17" s="84"/>
      <c r="B17" s="1558"/>
      <c r="C17" s="163" t="s">
        <v>389</v>
      </c>
      <c r="D17" s="13"/>
      <c r="E17" s="24"/>
      <c r="F17" s="24"/>
      <c r="G17" s="24"/>
      <c r="H17" s="24"/>
      <c r="I17" s="24"/>
      <c r="J17" s="24"/>
      <c r="K17" s="24"/>
      <c r="N17" s="90" t="s">
        <v>952</v>
      </c>
    </row>
    <row r="18" spans="1:19" ht="24.6" customHeight="1">
      <c r="A18" s="84"/>
      <c r="B18" s="1558"/>
      <c r="C18" s="162" t="s">
        <v>316</v>
      </c>
      <c r="D18" s="13"/>
      <c r="E18" s="24"/>
      <c r="F18" s="223" t="s">
        <v>970</v>
      </c>
      <c r="G18" s="223" t="s">
        <v>970</v>
      </c>
      <c r="H18" s="223" t="s">
        <v>970</v>
      </c>
      <c r="I18" s="223" t="s">
        <v>970</v>
      </c>
      <c r="J18" s="223" t="s">
        <v>971</v>
      </c>
      <c r="K18" s="24"/>
      <c r="N18" s="90" t="s">
        <v>953</v>
      </c>
    </row>
    <row r="19" spans="1:19" ht="24.6" customHeight="1">
      <c r="A19" s="84"/>
      <c r="B19" s="1558" t="s">
        <v>287</v>
      </c>
      <c r="C19" s="12" t="s">
        <v>9</v>
      </c>
      <c r="D19" s="13"/>
      <c r="E19" s="24"/>
      <c r="F19" s="24"/>
      <c r="G19" s="24"/>
      <c r="H19" s="24"/>
      <c r="I19" s="24"/>
      <c r="J19" s="24"/>
      <c r="K19" s="24"/>
      <c r="N19" s="90" t="s">
        <v>954</v>
      </c>
    </row>
    <row r="20" spans="1:19" ht="24" customHeight="1">
      <c r="A20" s="84"/>
      <c r="B20" s="1558"/>
      <c r="C20" s="124" t="s">
        <v>292</v>
      </c>
      <c r="D20" s="13"/>
      <c r="E20" s="24"/>
      <c r="F20" s="24"/>
      <c r="G20" s="24"/>
      <c r="H20" s="24"/>
      <c r="I20" s="24"/>
      <c r="J20" s="124" t="s">
        <v>956</v>
      </c>
      <c r="K20" s="24"/>
    </row>
    <row r="21" spans="1:19" ht="24" customHeight="1">
      <c r="A21" s="84"/>
      <c r="B21" s="1558"/>
      <c r="C21" s="162" t="s">
        <v>316</v>
      </c>
      <c r="D21" s="13"/>
      <c r="E21" s="24"/>
      <c r="F21" s="162" t="s">
        <v>839</v>
      </c>
      <c r="G21" s="162" t="s">
        <v>840</v>
      </c>
      <c r="H21" s="162" t="s">
        <v>871</v>
      </c>
      <c r="I21" s="162" t="s">
        <v>871</v>
      </c>
      <c r="J21" s="162" t="s">
        <v>955</v>
      </c>
      <c r="K21" s="24"/>
      <c r="N21" s="90" t="s">
        <v>957</v>
      </c>
    </row>
    <row r="22" spans="1:19" ht="24.6" customHeight="1">
      <c r="A22" s="84"/>
      <c r="B22" s="258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  <c r="N22" s="90" t="s">
        <v>962</v>
      </c>
    </row>
    <row r="23" spans="1:19" ht="24.6" customHeight="1">
      <c r="A23" s="84"/>
      <c r="B23" s="25"/>
      <c r="C23" s="5"/>
      <c r="D23" s="5"/>
      <c r="E23" s="26">
        <f>K14+1</f>
        <v>12</v>
      </c>
      <c r="F23" s="27">
        <f t="shared" ref="F23:K23" si="1">E23+1</f>
        <v>13</v>
      </c>
      <c r="G23" s="27">
        <f t="shared" si="1"/>
        <v>14</v>
      </c>
      <c r="H23" s="27">
        <f t="shared" si="1"/>
        <v>15</v>
      </c>
      <c r="I23" s="27">
        <f t="shared" si="1"/>
        <v>16</v>
      </c>
      <c r="J23" s="27">
        <f t="shared" si="1"/>
        <v>17</v>
      </c>
      <c r="K23" s="52">
        <f t="shared" si="1"/>
        <v>18</v>
      </c>
      <c r="M23" s="203"/>
      <c r="N23" s="203" t="s">
        <v>963</v>
      </c>
      <c r="O23" s="20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  <c r="N24" s="90" t="s">
        <v>964</v>
      </c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 t="s">
        <v>960</v>
      </c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 t="s">
        <v>959</v>
      </c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223" t="s">
        <v>940</v>
      </c>
      <c r="G27" s="223" t="s">
        <v>940</v>
      </c>
      <c r="H27" s="14"/>
      <c r="I27" s="223" t="s">
        <v>973</v>
      </c>
      <c r="J27" s="223" t="s">
        <v>972</v>
      </c>
      <c r="K27" s="14"/>
      <c r="L27" s="84"/>
      <c r="M27" s="84"/>
      <c r="N27" s="84" t="s">
        <v>961</v>
      </c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982</v>
      </c>
      <c r="G28" s="1507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256" t="s">
        <v>482</v>
      </c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871</v>
      </c>
      <c r="G30" s="162" t="s">
        <v>871</v>
      </c>
      <c r="H30" s="14"/>
      <c r="I30" s="162" t="s">
        <v>871</v>
      </c>
      <c r="J30" s="162" t="s">
        <v>871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57" t="s">
        <v>317</v>
      </c>
      <c r="C31" s="125" t="s">
        <v>228</v>
      </c>
      <c r="D31" s="13"/>
      <c r="E31" s="14"/>
      <c r="F31" s="14"/>
      <c r="G31" s="14"/>
      <c r="H31" s="159" t="s">
        <v>615</v>
      </c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19</v>
      </c>
      <c r="F32" s="37">
        <f t="shared" ref="F32:K32" si="2">E32+1</f>
        <v>20</v>
      </c>
      <c r="G32" s="37">
        <f t="shared" si="2"/>
        <v>21</v>
      </c>
      <c r="H32" s="37">
        <f t="shared" si="2"/>
        <v>22</v>
      </c>
      <c r="I32" s="37">
        <f t="shared" si="2"/>
        <v>23</v>
      </c>
      <c r="J32" s="37">
        <f t="shared" si="2"/>
        <v>24</v>
      </c>
      <c r="K32" s="23">
        <f t="shared" si="2"/>
        <v>25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124" t="s">
        <v>968</v>
      </c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51"/>
      <c r="J35" s="251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23" t="s">
        <v>972</v>
      </c>
      <c r="G36" s="223" t="s">
        <v>974</v>
      </c>
      <c r="H36" s="223" t="s">
        <v>975</v>
      </c>
      <c r="I36" s="223" t="s">
        <v>975</v>
      </c>
      <c r="J36" s="223" t="s">
        <v>976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1556" t="s">
        <v>980</v>
      </c>
      <c r="G37" s="1557"/>
      <c r="H37" s="24"/>
      <c r="I37" s="1556" t="s">
        <v>981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24"/>
      <c r="G38" s="24"/>
      <c r="H38" s="124" t="s">
        <v>958</v>
      </c>
      <c r="I38" s="1509" t="s">
        <v>818</v>
      </c>
      <c r="J38" s="1510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162" t="s">
        <v>872</v>
      </c>
      <c r="G39" s="162" t="s">
        <v>869</v>
      </c>
      <c r="H39" s="162" t="s">
        <v>869</v>
      </c>
      <c r="I39" s="162" t="s">
        <v>869</v>
      </c>
      <c r="J39" s="162" t="s">
        <v>869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57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26</v>
      </c>
      <c r="F41" s="27">
        <f>E41+1</f>
        <v>27</v>
      </c>
      <c r="G41" s="27">
        <f>F41+1</f>
        <v>28</v>
      </c>
      <c r="H41" s="27">
        <f>G41+1</f>
        <v>29</v>
      </c>
      <c r="I41" s="27">
        <f>H41+1</f>
        <v>30</v>
      </c>
      <c r="J41" s="27"/>
      <c r="K41" s="52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256" t="s">
        <v>482</v>
      </c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556" t="s">
        <v>965</v>
      </c>
      <c r="G46" s="1557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4"/>
      <c r="G47" s="14"/>
      <c r="H47" s="14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869</v>
      </c>
      <c r="G48" s="162" t="s">
        <v>869</v>
      </c>
      <c r="H48" s="162" t="s">
        <v>869</v>
      </c>
      <c r="I48" s="152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57" t="s">
        <v>317</v>
      </c>
      <c r="C49" s="125" t="s">
        <v>228</v>
      </c>
      <c r="D49" s="13"/>
      <c r="E49" s="14"/>
      <c r="F49" s="14"/>
      <c r="G49" s="14"/>
      <c r="H49" s="14"/>
      <c r="I49" s="159" t="s">
        <v>616</v>
      </c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8">
    <mergeCell ref="B15:B18"/>
    <mergeCell ref="E3:G3"/>
    <mergeCell ref="H3:K3"/>
    <mergeCell ref="B6:B9"/>
    <mergeCell ref="B10:B12"/>
    <mergeCell ref="I10:J10"/>
    <mergeCell ref="B19:B21"/>
    <mergeCell ref="B24:B27"/>
    <mergeCell ref="B28:B30"/>
    <mergeCell ref="F28:G28"/>
    <mergeCell ref="B33:B36"/>
    <mergeCell ref="I37:J37"/>
    <mergeCell ref="B42:B45"/>
    <mergeCell ref="B46:B48"/>
    <mergeCell ref="F46:G46"/>
    <mergeCell ref="B37:B39"/>
    <mergeCell ref="F37:G37"/>
    <mergeCell ref="I38:J38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S58"/>
  <sheetViews>
    <sheetView zoomScale="80" zoomScaleNormal="80" workbookViewId="0">
      <selection activeCell="H38" sqref="H38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5" width="9.88671875" style="4" bestFit="1" customWidth="1"/>
    <col min="16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  <c r="E1" s="90" t="s">
        <v>715</v>
      </c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43922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>
        <v>1</v>
      </c>
      <c r="I5" s="60">
        <v>2</v>
      </c>
      <c r="J5" s="60">
        <v>3</v>
      </c>
      <c r="K5" s="182">
        <v>4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223" t="s">
        <v>932</v>
      </c>
      <c r="I9" s="223" t="s">
        <v>932</v>
      </c>
      <c r="J9" s="223" t="s">
        <v>935</v>
      </c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506" t="s">
        <v>925</v>
      </c>
      <c r="J10" s="150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62" t="s">
        <v>839</v>
      </c>
      <c r="I12" s="162" t="s">
        <v>839</v>
      </c>
      <c r="J12" s="162" t="s">
        <v>839</v>
      </c>
      <c r="K12" s="14"/>
      <c r="L12" s="4"/>
      <c r="M12" s="4"/>
      <c r="N12" s="4"/>
      <c r="O12" s="234"/>
      <c r="R12" s="11"/>
      <c r="S12" s="4"/>
    </row>
    <row r="13" spans="1:19" s="5" customFormat="1" ht="24.6" customHeight="1">
      <c r="B13" s="245" t="s">
        <v>317</v>
      </c>
      <c r="C13" s="125" t="s">
        <v>228</v>
      </c>
      <c r="D13" s="13"/>
      <c r="E13" s="14"/>
      <c r="F13" s="244"/>
      <c r="G13" s="244"/>
      <c r="H13" s="14"/>
      <c r="I13" s="142"/>
      <c r="J13" s="244"/>
      <c r="K13" s="14"/>
      <c r="L13" s="4"/>
      <c r="M13" s="4"/>
      <c r="N13" s="4"/>
      <c r="O13" s="23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5</v>
      </c>
      <c r="F14" s="65">
        <f t="shared" ref="F14:K14" si="0">E14+1</f>
        <v>6</v>
      </c>
      <c r="G14" s="65">
        <f t="shared" si="0"/>
        <v>7</v>
      </c>
      <c r="H14" s="65">
        <f t="shared" si="0"/>
        <v>8</v>
      </c>
      <c r="I14" s="65">
        <f t="shared" si="0"/>
        <v>9</v>
      </c>
      <c r="J14" s="65">
        <f t="shared" si="0"/>
        <v>10</v>
      </c>
      <c r="K14" s="23">
        <f t="shared" si="0"/>
        <v>11</v>
      </c>
      <c r="O14" s="235"/>
    </row>
    <row r="15" spans="1:19" ht="24.6" customHeight="1">
      <c r="A15" s="84"/>
      <c r="B15" s="1558" t="s">
        <v>286</v>
      </c>
      <c r="C15" s="12" t="s">
        <v>9</v>
      </c>
      <c r="D15" s="13"/>
      <c r="E15" s="24"/>
      <c r="F15" s="167" t="s">
        <v>937</v>
      </c>
      <c r="G15" s="167" t="s">
        <v>938</v>
      </c>
      <c r="H15" s="167" t="s">
        <v>942</v>
      </c>
      <c r="I15" s="167" t="s">
        <v>899</v>
      </c>
      <c r="J15" s="24"/>
      <c r="K15" s="24"/>
    </row>
    <row r="16" spans="1:19" ht="24.6" customHeight="1">
      <c r="A16" s="84"/>
      <c r="B16" s="1558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558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558"/>
      <c r="C18" s="162" t="s">
        <v>316</v>
      </c>
      <c r="D18" s="13"/>
      <c r="E18" s="24"/>
      <c r="F18" s="223" t="s">
        <v>930</v>
      </c>
      <c r="G18" s="223" t="s">
        <v>930</v>
      </c>
      <c r="H18" s="223" t="s">
        <v>934</v>
      </c>
      <c r="I18" s="223" t="s">
        <v>940</v>
      </c>
      <c r="J18" s="223" t="s">
        <v>940</v>
      </c>
      <c r="K18" s="24"/>
    </row>
    <row r="19" spans="1:19" ht="24.6" customHeight="1">
      <c r="A19" s="84"/>
      <c r="B19" s="1558" t="s">
        <v>287</v>
      </c>
      <c r="C19" s="12" t="s">
        <v>9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558"/>
      <c r="C20" s="124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558"/>
      <c r="C21" s="162" t="s">
        <v>316</v>
      </c>
      <c r="D21" s="13"/>
      <c r="E21" s="24"/>
      <c r="F21" s="162" t="s">
        <v>839</v>
      </c>
      <c r="G21" s="162" t="s">
        <v>840</v>
      </c>
      <c r="H21" s="162" t="s">
        <v>871</v>
      </c>
      <c r="I21" s="162" t="s">
        <v>871</v>
      </c>
      <c r="J21" s="162" t="s">
        <v>871</v>
      </c>
      <c r="K21" s="24"/>
    </row>
    <row r="22" spans="1:19" ht="24.6" customHeight="1">
      <c r="A22" s="84"/>
      <c r="B22" s="255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25"/>
      <c r="C23" s="5"/>
      <c r="D23" s="5"/>
      <c r="E23" s="26">
        <f>K14+1</f>
        <v>12</v>
      </c>
      <c r="F23" s="27">
        <f t="shared" ref="F23:K23" si="1">E23+1</f>
        <v>13</v>
      </c>
      <c r="G23" s="27">
        <f t="shared" si="1"/>
        <v>14</v>
      </c>
      <c r="H23" s="27">
        <f t="shared" si="1"/>
        <v>15</v>
      </c>
      <c r="I23" s="27">
        <f t="shared" si="1"/>
        <v>16</v>
      </c>
      <c r="J23" s="27">
        <f t="shared" si="1"/>
        <v>17</v>
      </c>
      <c r="K23" s="52">
        <f t="shared" si="1"/>
        <v>18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223" t="s">
        <v>940</v>
      </c>
      <c r="G27" s="223" t="s">
        <v>941</v>
      </c>
      <c r="H27" s="14"/>
      <c r="I27" s="223" t="s">
        <v>941</v>
      </c>
      <c r="J27" s="223" t="s">
        <v>941</v>
      </c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915</v>
      </c>
      <c r="G28" s="1507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244" t="s">
        <v>482</v>
      </c>
      <c r="I29" s="1509" t="s">
        <v>912</v>
      </c>
      <c r="J29" s="1510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871</v>
      </c>
      <c r="G30" s="162" t="s">
        <v>871</v>
      </c>
      <c r="H30" s="14"/>
      <c r="I30" s="162" t="s">
        <v>871</v>
      </c>
      <c r="J30" s="162" t="s">
        <v>871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45" t="s">
        <v>317</v>
      </c>
      <c r="C31" s="125" t="s">
        <v>228</v>
      </c>
      <c r="D31" s="13"/>
      <c r="E31" s="14"/>
      <c r="F31" s="14"/>
      <c r="G31" s="14"/>
      <c r="H31" s="159" t="s">
        <v>615</v>
      </c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19</v>
      </c>
      <c r="F32" s="37">
        <f t="shared" ref="F32:K32" si="2">E32+1</f>
        <v>20</v>
      </c>
      <c r="G32" s="37">
        <f t="shared" si="2"/>
        <v>21</v>
      </c>
      <c r="H32" s="37">
        <f t="shared" si="2"/>
        <v>22</v>
      </c>
      <c r="I32" s="37">
        <f t="shared" si="2"/>
        <v>23</v>
      </c>
      <c r="J32" s="37">
        <f t="shared" si="2"/>
        <v>24</v>
      </c>
      <c r="K32" s="23">
        <f t="shared" si="2"/>
        <v>25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124" t="s">
        <v>930</v>
      </c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51"/>
      <c r="J35" s="251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23" t="s">
        <v>943</v>
      </c>
      <c r="G36" s="223" t="s">
        <v>943</v>
      </c>
      <c r="H36" s="223" t="s">
        <v>943</v>
      </c>
      <c r="I36" s="223" t="s">
        <v>900</v>
      </c>
      <c r="J36" s="223" t="s">
        <v>944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1556" t="s">
        <v>916</v>
      </c>
      <c r="G37" s="1557"/>
      <c r="H37" s="24"/>
      <c r="I37" s="1556" t="s">
        <v>914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24"/>
      <c r="G38" s="24"/>
      <c r="H38" s="124" t="s">
        <v>948</v>
      </c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162" t="s">
        <v>872</v>
      </c>
      <c r="G39" s="162" t="s">
        <v>869</v>
      </c>
      <c r="H39" s="162" t="s">
        <v>869</v>
      </c>
      <c r="I39" s="162" t="s">
        <v>869</v>
      </c>
      <c r="J39" s="162" t="s">
        <v>869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45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26</v>
      </c>
      <c r="F41" s="27">
        <f>E41+1</f>
        <v>27</v>
      </c>
      <c r="G41" s="27">
        <f>F41+1</f>
        <v>28</v>
      </c>
      <c r="H41" s="27">
        <f>G41+1</f>
        <v>29</v>
      </c>
      <c r="I41" s="27">
        <f>H41+1</f>
        <v>30</v>
      </c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67" t="s">
        <v>939</v>
      </c>
      <c r="G42" s="167" t="s">
        <v>901</v>
      </c>
      <c r="H42" s="196" t="s">
        <v>902</v>
      </c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223" t="s">
        <v>945</v>
      </c>
      <c r="G45" s="223" t="s">
        <v>946</v>
      </c>
      <c r="H45" s="223" t="s">
        <v>946</v>
      </c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4"/>
      <c r="G47" s="1509" t="s">
        <v>913</v>
      </c>
      <c r="H47" s="1510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869</v>
      </c>
      <c r="G48" s="162" t="s">
        <v>869</v>
      </c>
      <c r="H48" s="162" t="s">
        <v>869</v>
      </c>
      <c r="I48" s="152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45" t="s">
        <v>317</v>
      </c>
      <c r="C49" s="125" t="s">
        <v>228</v>
      </c>
      <c r="D49" s="13"/>
      <c r="E49" s="14"/>
      <c r="F49" s="14"/>
      <c r="G49" s="14"/>
      <c r="H49" s="14"/>
      <c r="I49" s="159" t="s">
        <v>616</v>
      </c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9">
    <mergeCell ref="B33:B36"/>
    <mergeCell ref="B37:B39"/>
    <mergeCell ref="B15:B18"/>
    <mergeCell ref="E3:G3"/>
    <mergeCell ref="H3:K3"/>
    <mergeCell ref="B6:B9"/>
    <mergeCell ref="B10:B12"/>
    <mergeCell ref="I10:J10"/>
    <mergeCell ref="B19:B21"/>
    <mergeCell ref="M23:O23"/>
    <mergeCell ref="B24:B27"/>
    <mergeCell ref="B28:B30"/>
    <mergeCell ref="F28:G28"/>
    <mergeCell ref="I29:J29"/>
    <mergeCell ref="B42:B45"/>
    <mergeCell ref="B46:B48"/>
    <mergeCell ref="G47:H47"/>
    <mergeCell ref="F37:G37"/>
    <mergeCell ref="I37:J37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S58"/>
  <sheetViews>
    <sheetView zoomScale="80" zoomScaleNormal="80" workbookViewId="0">
      <selection activeCell="I27" sqref="I27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  <c r="E1" s="90" t="s">
        <v>715</v>
      </c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43922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>
        <v>1</v>
      </c>
      <c r="I5" s="60">
        <v>2</v>
      </c>
      <c r="J5" s="60">
        <v>3</v>
      </c>
      <c r="K5" s="182">
        <v>4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66" t="s">
        <v>784</v>
      </c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223" t="s">
        <v>892</v>
      </c>
      <c r="I9" s="223" t="s">
        <v>895</v>
      </c>
      <c r="J9" s="223" t="s">
        <v>893</v>
      </c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506" t="s">
        <v>850</v>
      </c>
      <c r="J10" s="150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62" t="s">
        <v>839</v>
      </c>
      <c r="I12" s="162" t="s">
        <v>839</v>
      </c>
      <c r="J12" s="162" t="s">
        <v>840</v>
      </c>
      <c r="K12" s="14"/>
      <c r="L12" s="4"/>
      <c r="M12" s="4"/>
      <c r="N12" s="4"/>
      <c r="O12" s="234">
        <v>43927</v>
      </c>
      <c r="R12" s="11"/>
      <c r="S12" s="4"/>
    </row>
    <row r="13" spans="1:19" s="5" customFormat="1" ht="24.6" customHeight="1">
      <c r="B13" s="179" t="s">
        <v>317</v>
      </c>
      <c r="C13" s="125" t="s">
        <v>228</v>
      </c>
      <c r="D13" s="13"/>
      <c r="E13" s="14"/>
      <c r="F13" s="178"/>
      <c r="G13" s="178"/>
      <c r="H13" s="14"/>
      <c r="I13" s="142"/>
      <c r="J13" s="178"/>
      <c r="K13" s="14"/>
      <c r="L13" s="4"/>
      <c r="M13" s="4"/>
      <c r="N13" s="4"/>
      <c r="O13" s="234">
        <v>43924</v>
      </c>
      <c r="R13" s="11"/>
      <c r="S13" s="4"/>
    </row>
    <row r="14" spans="1:19" ht="24.6" customHeight="1">
      <c r="A14" s="84"/>
      <c r="B14" s="84"/>
      <c r="C14" s="5"/>
      <c r="D14" s="5"/>
      <c r="E14" s="23">
        <f>K5+1</f>
        <v>5</v>
      </c>
      <c r="F14" s="65">
        <f t="shared" ref="F14:K14" si="0">E14+1</f>
        <v>6</v>
      </c>
      <c r="G14" s="65">
        <f t="shared" si="0"/>
        <v>7</v>
      </c>
      <c r="H14" s="65">
        <f t="shared" si="0"/>
        <v>8</v>
      </c>
      <c r="I14" s="65">
        <f t="shared" si="0"/>
        <v>9</v>
      </c>
      <c r="J14" s="65">
        <f t="shared" si="0"/>
        <v>10</v>
      </c>
      <c r="K14" s="23">
        <f t="shared" si="0"/>
        <v>11</v>
      </c>
      <c r="O14" s="235">
        <v>43921</v>
      </c>
    </row>
    <row r="15" spans="1:19" ht="24.6" customHeight="1">
      <c r="A15" s="84"/>
      <c r="B15" s="1560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560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560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560"/>
      <c r="C18" s="162" t="s">
        <v>316</v>
      </c>
      <c r="D18" s="13"/>
      <c r="E18" s="24"/>
      <c r="F18" s="223" t="s">
        <v>893</v>
      </c>
      <c r="G18" s="223" t="s">
        <v>897</v>
      </c>
      <c r="H18" s="24"/>
      <c r="I18" s="24"/>
      <c r="J18" s="24"/>
      <c r="K18" s="24"/>
    </row>
    <row r="19" spans="1:19" ht="24.6" customHeight="1">
      <c r="A19" s="84"/>
      <c r="B19" s="1560" t="s">
        <v>287</v>
      </c>
      <c r="C19" s="12" t="s">
        <v>9</v>
      </c>
      <c r="D19" s="13"/>
      <c r="E19" s="24"/>
      <c r="F19" s="1556" t="s">
        <v>876</v>
      </c>
      <c r="G19" s="1557"/>
      <c r="H19" s="250"/>
      <c r="I19" s="1556" t="s">
        <v>877</v>
      </c>
      <c r="J19" s="1557"/>
      <c r="K19" s="24"/>
    </row>
    <row r="20" spans="1:19" ht="24" customHeight="1">
      <c r="A20" s="84"/>
      <c r="B20" s="1560"/>
      <c r="C20" s="124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560"/>
      <c r="C21" s="162" t="s">
        <v>316</v>
      </c>
      <c r="D21" s="13"/>
      <c r="E21" s="24"/>
      <c r="F21" s="162" t="s">
        <v>871</v>
      </c>
      <c r="G21" s="162" t="s">
        <v>871</v>
      </c>
      <c r="H21" s="162" t="s">
        <v>871</v>
      </c>
      <c r="I21" s="162" t="s">
        <v>871</v>
      </c>
      <c r="J21" s="162" t="s">
        <v>871</v>
      </c>
      <c r="K21" s="24"/>
    </row>
    <row r="22" spans="1:19" ht="24.6" customHeight="1">
      <c r="A22" s="84"/>
      <c r="B22" s="210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12</v>
      </c>
      <c r="F23" s="27">
        <f t="shared" ref="F23:K23" si="1">E23+1</f>
        <v>13</v>
      </c>
      <c r="G23" s="27">
        <f t="shared" si="1"/>
        <v>14</v>
      </c>
      <c r="H23" s="27">
        <f t="shared" si="1"/>
        <v>15</v>
      </c>
      <c r="I23" s="27">
        <f t="shared" si="1"/>
        <v>16</v>
      </c>
      <c r="J23" s="27">
        <f t="shared" si="1"/>
        <v>17</v>
      </c>
      <c r="K23" s="52">
        <f t="shared" si="1"/>
        <v>18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24" t="s">
        <v>748</v>
      </c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644</v>
      </c>
      <c r="G28" s="1507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229" t="s">
        <v>809</v>
      </c>
      <c r="I29" s="206" t="s">
        <v>810</v>
      </c>
      <c r="J29" s="171" t="s">
        <v>779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871</v>
      </c>
      <c r="G30" s="162" t="s">
        <v>871</v>
      </c>
      <c r="H30" s="14"/>
      <c r="I30" s="162" t="s">
        <v>871</v>
      </c>
      <c r="J30" s="162" t="s">
        <v>871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79" t="s">
        <v>317</v>
      </c>
      <c r="C31" s="125" t="s">
        <v>228</v>
      </c>
      <c r="D31" s="13"/>
      <c r="E31" s="14"/>
      <c r="F31" s="14"/>
      <c r="G31" s="14"/>
      <c r="H31" s="159" t="s">
        <v>615</v>
      </c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19</v>
      </c>
      <c r="F32" s="37">
        <f t="shared" ref="F32:K32" si="2">E32+1</f>
        <v>20</v>
      </c>
      <c r="G32" s="37">
        <f t="shared" si="2"/>
        <v>21</v>
      </c>
      <c r="H32" s="37">
        <f t="shared" si="2"/>
        <v>22</v>
      </c>
      <c r="I32" s="37">
        <f t="shared" si="2"/>
        <v>23</v>
      </c>
      <c r="J32" s="37">
        <f t="shared" si="2"/>
        <v>24</v>
      </c>
      <c r="K32" s="23">
        <f t="shared" si="2"/>
        <v>25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167" t="s">
        <v>887</v>
      </c>
      <c r="G33" s="167" t="s">
        <v>753</v>
      </c>
      <c r="H33" s="167" t="s">
        <v>754</v>
      </c>
      <c r="I33" s="167" t="s">
        <v>755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124" t="s">
        <v>752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23" t="s">
        <v>888</v>
      </c>
      <c r="I36" s="223" t="s">
        <v>888</v>
      </c>
      <c r="J36" s="223" t="s">
        <v>889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171" t="s">
        <v>779</v>
      </c>
      <c r="G38" s="24"/>
      <c r="H38" s="206" t="s">
        <v>781</v>
      </c>
      <c r="I38" s="1509" t="s">
        <v>688</v>
      </c>
      <c r="J38" s="1510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162" t="s">
        <v>872</v>
      </c>
      <c r="G39" s="162" t="s">
        <v>869</v>
      </c>
      <c r="H39" s="162" t="s">
        <v>869</v>
      </c>
      <c r="I39" s="162" t="s">
        <v>869</v>
      </c>
      <c r="J39" s="162" t="s">
        <v>869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79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26</v>
      </c>
      <c r="F41" s="27">
        <f>E41+1</f>
        <v>27</v>
      </c>
      <c r="G41" s="27">
        <f>F41+1</f>
        <v>28</v>
      </c>
      <c r="H41" s="27">
        <f>G41+1</f>
        <v>29</v>
      </c>
      <c r="I41" s="27">
        <f>H41+1</f>
        <v>30</v>
      </c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67" t="s">
        <v>756</v>
      </c>
      <c r="G42" s="167" t="s">
        <v>811</v>
      </c>
      <c r="H42" s="196" t="s">
        <v>757</v>
      </c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223" t="s">
        <v>890</v>
      </c>
      <c r="G45" s="223" t="s">
        <v>714</v>
      </c>
      <c r="H45" s="223" t="s">
        <v>708</v>
      </c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4"/>
      <c r="G47" s="1509" t="s">
        <v>689</v>
      </c>
      <c r="H47" s="1510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869</v>
      </c>
      <c r="G48" s="162" t="s">
        <v>869</v>
      </c>
      <c r="H48" s="162" t="s">
        <v>869</v>
      </c>
      <c r="I48" s="152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79" t="s">
        <v>317</v>
      </c>
      <c r="C49" s="125" t="s">
        <v>228</v>
      </c>
      <c r="D49" s="13"/>
      <c r="E49" s="14"/>
      <c r="F49" s="14"/>
      <c r="G49" s="14"/>
      <c r="H49" s="14"/>
      <c r="I49" s="159" t="s">
        <v>616</v>
      </c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9">
    <mergeCell ref="G47:H47"/>
    <mergeCell ref="E3:G3"/>
    <mergeCell ref="H3:K3"/>
    <mergeCell ref="I19:J19"/>
    <mergeCell ref="I10:J10"/>
    <mergeCell ref="F19:G19"/>
    <mergeCell ref="B6:B9"/>
    <mergeCell ref="B10:B12"/>
    <mergeCell ref="B15:B18"/>
    <mergeCell ref="B46:B48"/>
    <mergeCell ref="B42:B45"/>
    <mergeCell ref="B19:B21"/>
    <mergeCell ref="M23:O23"/>
    <mergeCell ref="B24:B27"/>
    <mergeCell ref="B28:B30"/>
    <mergeCell ref="B33:B36"/>
    <mergeCell ref="B37:B39"/>
    <mergeCell ref="F28:G28"/>
    <mergeCell ref="I38:J38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S58"/>
  <sheetViews>
    <sheetView zoomScale="60" zoomScaleNormal="6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24" width="6.6640625" style="84" customWidth="1"/>
    <col min="25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43952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/>
      <c r="J5" s="60">
        <v>1</v>
      </c>
      <c r="K5" s="182">
        <v>2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hidden="1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hidden="1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hidden="1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273" t="s">
        <v>317</v>
      </c>
      <c r="C13" s="125" t="s">
        <v>228</v>
      </c>
      <c r="D13" s="13"/>
      <c r="E13" s="14"/>
      <c r="F13" s="272"/>
      <c r="G13" s="272"/>
      <c r="H13" s="14"/>
      <c r="I13" s="142"/>
      <c r="J13" s="180" t="s">
        <v>541</v>
      </c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23">
        <f t="shared" si="0"/>
        <v>9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hidden="1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hidden="1" customHeight="1">
      <c r="A18" s="84"/>
      <c r="B18" s="1467"/>
      <c r="C18" s="162" t="s">
        <v>316</v>
      </c>
      <c r="D18" s="13"/>
      <c r="E18" s="24"/>
      <c r="F18" s="24"/>
      <c r="G18" s="24"/>
      <c r="H18" s="252" t="s">
        <v>903</v>
      </c>
      <c r="I18" s="223" t="s">
        <v>904</v>
      </c>
      <c r="J18" s="223" t="s">
        <v>904</v>
      </c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4"/>
      <c r="G19" s="24"/>
      <c r="H19" s="24"/>
      <c r="I19" s="1556" t="s">
        <v>1046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166" t="s">
        <v>1041</v>
      </c>
      <c r="I20" s="24"/>
      <c r="J20" s="24"/>
      <c r="K20" s="24"/>
    </row>
    <row r="21" spans="1:19" ht="24" hidden="1" customHeight="1">
      <c r="A21" s="84"/>
      <c r="B21" s="1467"/>
      <c r="C21" s="162" t="s">
        <v>316</v>
      </c>
      <c r="D21" s="13"/>
      <c r="E21" s="24"/>
      <c r="F21" s="24"/>
      <c r="G21" s="24"/>
      <c r="H21" s="162" t="s">
        <v>869</v>
      </c>
      <c r="I21" s="162" t="s">
        <v>869</v>
      </c>
      <c r="J21" s="162" t="s">
        <v>873</v>
      </c>
      <c r="K21" s="24"/>
    </row>
    <row r="22" spans="1:19" ht="24.6" customHeight="1">
      <c r="A22" s="84"/>
      <c r="B22" s="273" t="s">
        <v>317</v>
      </c>
      <c r="C22" s="125" t="s">
        <v>228</v>
      </c>
      <c r="D22" s="13"/>
      <c r="E22" s="24"/>
      <c r="F22" s="24"/>
      <c r="G22" s="180" t="s">
        <v>92</v>
      </c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10</v>
      </c>
      <c r="F23" s="27">
        <f t="shared" ref="F23:K23" si="1">E23+1</f>
        <v>11</v>
      </c>
      <c r="G23" s="27">
        <f t="shared" si="1"/>
        <v>12</v>
      </c>
      <c r="H23" s="27">
        <f t="shared" si="1"/>
        <v>13</v>
      </c>
      <c r="I23" s="27">
        <f t="shared" si="1"/>
        <v>14</v>
      </c>
      <c r="J23" s="27">
        <f t="shared" si="1"/>
        <v>15</v>
      </c>
      <c r="K23" s="183">
        <f t="shared" si="1"/>
        <v>16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hidden="1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hidden="1" customHeight="1">
      <c r="A27" s="84"/>
      <c r="B27" s="1467"/>
      <c r="C27" s="162" t="s">
        <v>316</v>
      </c>
      <c r="D27" s="13"/>
      <c r="E27" s="14"/>
      <c r="F27" s="223" t="s">
        <v>905</v>
      </c>
      <c r="G27" s="223" t="s">
        <v>906</v>
      </c>
      <c r="H27" s="223" t="s">
        <v>906</v>
      </c>
      <c r="I27" s="223" t="s">
        <v>907</v>
      </c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56" t="s">
        <v>977</v>
      </c>
      <c r="G28" s="1557"/>
      <c r="H28" s="14"/>
      <c r="I28" s="1556" t="s">
        <v>978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509" t="s">
        <v>1042</v>
      </c>
      <c r="H29" s="1561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hidden="1" customHeight="1">
      <c r="A30" s="84"/>
      <c r="B30" s="1467"/>
      <c r="C30" s="162" t="s">
        <v>316</v>
      </c>
      <c r="D30" s="13"/>
      <c r="E30" s="14"/>
      <c r="F30" s="162" t="s">
        <v>874</v>
      </c>
      <c r="G30" s="162" t="s">
        <v>874</v>
      </c>
      <c r="H30" s="162" t="s">
        <v>874</v>
      </c>
      <c r="I30" s="162" t="s">
        <v>874</v>
      </c>
      <c r="J30" s="162" t="s">
        <v>874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73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17</v>
      </c>
      <c r="F32" s="37">
        <f t="shared" ref="F32:K32" si="2">E32+1</f>
        <v>18</v>
      </c>
      <c r="G32" s="37">
        <f t="shared" si="2"/>
        <v>19</v>
      </c>
      <c r="H32" s="37">
        <f t="shared" si="2"/>
        <v>20</v>
      </c>
      <c r="I32" s="37">
        <f t="shared" si="2"/>
        <v>21</v>
      </c>
      <c r="J32" s="37">
        <f t="shared" si="2"/>
        <v>22</v>
      </c>
      <c r="K32" s="23">
        <f t="shared" si="2"/>
        <v>23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12" t="s">
        <v>1051</v>
      </c>
      <c r="H33" s="12" t="s">
        <v>1052</v>
      </c>
      <c r="I33" s="12" t="s">
        <v>1053</v>
      </c>
      <c r="J33" s="25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124" t="s">
        <v>967</v>
      </c>
      <c r="H34" s="24"/>
      <c r="I34" s="24"/>
      <c r="J34" s="124" t="s">
        <v>983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hidden="1" customHeight="1">
      <c r="A35" s="84"/>
      <c r="B35" s="1467"/>
      <c r="C35" s="163" t="s">
        <v>389</v>
      </c>
      <c r="D35" s="13"/>
      <c r="E35" s="24"/>
      <c r="F35" s="24"/>
      <c r="G35" s="24"/>
      <c r="H35" s="253"/>
      <c r="I35" s="253"/>
      <c r="J35" s="25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hidden="1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1509" t="s">
        <v>1043</v>
      </c>
      <c r="G38" s="1561"/>
      <c r="H38" s="166" t="s">
        <v>979</v>
      </c>
      <c r="I38" s="1509" t="s">
        <v>1044</v>
      </c>
      <c r="J38" s="1561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hidden="1" customHeight="1">
      <c r="A39" s="84"/>
      <c r="B39" s="1467"/>
      <c r="C39" s="162" t="s">
        <v>316</v>
      </c>
      <c r="D39" s="13"/>
      <c r="E39" s="24"/>
      <c r="F39" s="162" t="s">
        <v>874</v>
      </c>
      <c r="G39" s="162" t="s">
        <v>874</v>
      </c>
      <c r="H39" s="162" t="s">
        <v>875</v>
      </c>
      <c r="I39" s="162" t="s">
        <v>878</v>
      </c>
      <c r="J39" s="162" t="s">
        <v>878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73" t="s">
        <v>317</v>
      </c>
      <c r="C40" s="125" t="s">
        <v>228</v>
      </c>
      <c r="D40" s="13"/>
      <c r="E40" s="24"/>
      <c r="F40" s="1468" t="s">
        <v>1049</v>
      </c>
      <c r="G40" s="1469"/>
      <c r="H40" s="1469"/>
      <c r="I40" s="1469"/>
      <c r="J40" s="1470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24</v>
      </c>
      <c r="F41" s="27">
        <f t="shared" ref="F41:K41" si="3">E41+1</f>
        <v>25</v>
      </c>
      <c r="G41" s="27">
        <f t="shared" si="3"/>
        <v>26</v>
      </c>
      <c r="H41" s="27">
        <f t="shared" si="3"/>
        <v>27</v>
      </c>
      <c r="I41" s="27">
        <f t="shared" si="3"/>
        <v>28</v>
      </c>
      <c r="J41" s="27">
        <f t="shared" si="3"/>
        <v>29</v>
      </c>
      <c r="K41" s="183">
        <f t="shared" si="3"/>
        <v>30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hidden="1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hidden="1" customHeight="1">
      <c r="A45" s="84"/>
      <c r="B45" s="1467"/>
      <c r="C45" s="162" t="s">
        <v>316</v>
      </c>
      <c r="D45" s="13"/>
      <c r="E45" s="14"/>
      <c r="F45" s="223" t="s">
        <v>908</v>
      </c>
      <c r="G45" s="223" t="s">
        <v>909</v>
      </c>
      <c r="H45" s="223" t="s">
        <v>909</v>
      </c>
      <c r="I45" s="223" t="s">
        <v>910</v>
      </c>
      <c r="J45" s="223" t="s">
        <v>911</v>
      </c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09" t="s">
        <v>1045</v>
      </c>
      <c r="G47" s="1561"/>
      <c r="H47" s="14"/>
      <c r="I47" s="1562" t="s">
        <v>1047</v>
      </c>
      <c r="J47" s="1545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hidden="1" customHeight="1">
      <c r="A48" s="84"/>
      <c r="B48" s="1467"/>
      <c r="C48" s="162" t="s">
        <v>316</v>
      </c>
      <c r="D48" s="13"/>
      <c r="E48" s="14"/>
      <c r="F48" s="162" t="s">
        <v>878</v>
      </c>
      <c r="G48" s="162" t="s">
        <v>878</v>
      </c>
      <c r="H48" s="162" t="s">
        <v>878</v>
      </c>
      <c r="I48" s="162" t="s">
        <v>878</v>
      </c>
      <c r="J48" s="162" t="s">
        <v>878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73" t="s">
        <v>317</v>
      </c>
      <c r="C49" s="125" t="s">
        <v>228</v>
      </c>
      <c r="D49" s="13"/>
      <c r="E49" s="14"/>
      <c r="F49" s="1468" t="s">
        <v>1048</v>
      </c>
      <c r="G49" s="1469"/>
      <c r="H49" s="1469"/>
      <c r="I49" s="1469"/>
      <c r="J49" s="1470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3">
    <mergeCell ref="F49:J49"/>
    <mergeCell ref="F40:J40"/>
    <mergeCell ref="B33:B36"/>
    <mergeCell ref="B37:B39"/>
    <mergeCell ref="F38:G38"/>
    <mergeCell ref="I38:J38"/>
    <mergeCell ref="B42:B45"/>
    <mergeCell ref="B46:B48"/>
    <mergeCell ref="F47:G47"/>
    <mergeCell ref="I47:J47"/>
    <mergeCell ref="M23:O23"/>
    <mergeCell ref="B24:B27"/>
    <mergeCell ref="B28:B30"/>
    <mergeCell ref="F28:G28"/>
    <mergeCell ref="I28:J28"/>
    <mergeCell ref="G29:H29"/>
    <mergeCell ref="B19:B21"/>
    <mergeCell ref="I19:J19"/>
    <mergeCell ref="E3:G3"/>
    <mergeCell ref="H3:K3"/>
    <mergeCell ref="B6:B9"/>
    <mergeCell ref="B10:B12"/>
    <mergeCell ref="B15:B18"/>
  </mergeCells>
  <phoneticPr fontId="6" type="noConversion"/>
  <pageMargins left="0.7" right="0.7" top="0.75" bottom="0.75" header="0.3" footer="0.3"/>
  <pageSetup paperSize="9" scale="4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S58"/>
  <sheetViews>
    <sheetView topLeftCell="A11" zoomScale="60" zoomScaleNormal="6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43952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/>
      <c r="J5" s="60">
        <v>1</v>
      </c>
      <c r="K5" s="182">
        <v>2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179" t="s">
        <v>317</v>
      </c>
      <c r="C13" s="125" t="s">
        <v>228</v>
      </c>
      <c r="D13" s="13"/>
      <c r="E13" s="14"/>
      <c r="F13" s="178"/>
      <c r="G13" s="178"/>
      <c r="H13" s="14"/>
      <c r="I13" s="142"/>
      <c r="J13" s="180" t="s">
        <v>541</v>
      </c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23">
        <f t="shared" si="0"/>
        <v>9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4"/>
      <c r="G19" s="24"/>
      <c r="H19" s="24"/>
      <c r="I19" s="1556" t="s">
        <v>1046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166" t="s">
        <v>1041</v>
      </c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24"/>
      <c r="G21" s="24"/>
      <c r="H21" s="162" t="s">
        <v>1054</v>
      </c>
      <c r="I21" s="162" t="s">
        <v>1054</v>
      </c>
      <c r="J21" s="162" t="s">
        <v>1055</v>
      </c>
      <c r="K21" s="24"/>
    </row>
    <row r="22" spans="1:19" ht="24.6" customHeight="1">
      <c r="A22" s="84"/>
      <c r="B22" s="179" t="s">
        <v>317</v>
      </c>
      <c r="C22" s="125" t="s">
        <v>228</v>
      </c>
      <c r="D22" s="13"/>
      <c r="E22" s="24"/>
      <c r="F22" s="24"/>
      <c r="G22" s="180" t="s">
        <v>540</v>
      </c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10</v>
      </c>
      <c r="F23" s="27">
        <f t="shared" ref="F23:K23" si="1">E23+1</f>
        <v>11</v>
      </c>
      <c r="G23" s="27">
        <f t="shared" si="1"/>
        <v>12</v>
      </c>
      <c r="H23" s="27">
        <f t="shared" si="1"/>
        <v>13</v>
      </c>
      <c r="I23" s="27">
        <f t="shared" si="1"/>
        <v>14</v>
      </c>
      <c r="J23" s="27">
        <f t="shared" si="1"/>
        <v>15</v>
      </c>
      <c r="K23" s="183">
        <f t="shared" si="1"/>
        <v>16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56" t="s">
        <v>977</v>
      </c>
      <c r="G28" s="1557"/>
      <c r="H28" s="14"/>
      <c r="I28" s="1556" t="s">
        <v>978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509" t="s">
        <v>1042</v>
      </c>
      <c r="H29" s="1561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1055</v>
      </c>
      <c r="G30" s="162" t="s">
        <v>1055</v>
      </c>
      <c r="H30" s="162" t="s">
        <v>1055</v>
      </c>
      <c r="I30" s="162" t="s">
        <v>1055</v>
      </c>
      <c r="J30" s="162" t="s">
        <v>1056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60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17</v>
      </c>
      <c r="F32" s="37">
        <f t="shared" ref="F32:K32" si="2">E32+1</f>
        <v>18</v>
      </c>
      <c r="G32" s="37">
        <f t="shared" si="2"/>
        <v>19</v>
      </c>
      <c r="H32" s="37">
        <f t="shared" si="2"/>
        <v>20</v>
      </c>
      <c r="I32" s="37">
        <f t="shared" si="2"/>
        <v>21</v>
      </c>
      <c r="J32" s="37">
        <f t="shared" si="2"/>
        <v>22</v>
      </c>
      <c r="K32" s="23">
        <f t="shared" si="2"/>
        <v>23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167" t="s">
        <v>1060</v>
      </c>
      <c r="H33" s="167" t="s">
        <v>1061</v>
      </c>
      <c r="I33" s="167" t="s">
        <v>1062</v>
      </c>
      <c r="J33" s="25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124" t="s">
        <v>967</v>
      </c>
      <c r="H34" s="24"/>
      <c r="I34" s="24"/>
      <c r="J34" s="166" t="s">
        <v>1063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53"/>
      <c r="I35" s="253"/>
      <c r="J35" s="25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1509" t="s">
        <v>1043</v>
      </c>
      <c r="G38" s="1561"/>
      <c r="H38" s="166" t="s">
        <v>979</v>
      </c>
      <c r="I38" s="1509" t="s">
        <v>1044</v>
      </c>
      <c r="J38" s="1561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162" t="s">
        <v>1056</v>
      </c>
      <c r="G39" s="162" t="s">
        <v>1056</v>
      </c>
      <c r="H39" s="162" t="s">
        <v>1057</v>
      </c>
      <c r="I39" s="162" t="s">
        <v>1057</v>
      </c>
      <c r="J39" s="162" t="s">
        <v>1057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79" t="s">
        <v>317</v>
      </c>
      <c r="C40" s="125" t="s">
        <v>228</v>
      </c>
      <c r="D40" s="13"/>
      <c r="E40" s="24"/>
      <c r="F40" s="1468" t="s">
        <v>1049</v>
      </c>
      <c r="G40" s="1469"/>
      <c r="H40" s="1469"/>
      <c r="I40" s="1469"/>
      <c r="J40" s="1470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24</v>
      </c>
      <c r="F41" s="27">
        <f t="shared" ref="F41:K41" si="3">E41+1</f>
        <v>25</v>
      </c>
      <c r="G41" s="27">
        <f t="shared" si="3"/>
        <v>26</v>
      </c>
      <c r="H41" s="27">
        <f t="shared" si="3"/>
        <v>27</v>
      </c>
      <c r="I41" s="27">
        <f t="shared" si="3"/>
        <v>28</v>
      </c>
      <c r="J41" s="27">
        <f t="shared" si="3"/>
        <v>29</v>
      </c>
      <c r="K41" s="183">
        <f t="shared" si="3"/>
        <v>30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09" t="s">
        <v>1045</v>
      </c>
      <c r="G47" s="1561"/>
      <c r="H47" s="14"/>
      <c r="I47" s="1562" t="s">
        <v>1047</v>
      </c>
      <c r="J47" s="1545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1058</v>
      </c>
      <c r="G48" s="162" t="s">
        <v>1058</v>
      </c>
      <c r="H48" s="162" t="s">
        <v>1058</v>
      </c>
      <c r="I48" s="162" t="s">
        <v>1059</v>
      </c>
      <c r="J48" s="162" t="s">
        <v>1059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79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2">
    <mergeCell ref="B19:B21"/>
    <mergeCell ref="E3:G3"/>
    <mergeCell ref="H3:K3"/>
    <mergeCell ref="B6:B9"/>
    <mergeCell ref="B10:B12"/>
    <mergeCell ref="B15:B18"/>
    <mergeCell ref="I19:J19"/>
    <mergeCell ref="B46:B48"/>
    <mergeCell ref="M23:O23"/>
    <mergeCell ref="B24:B27"/>
    <mergeCell ref="B28:B30"/>
    <mergeCell ref="B33:B36"/>
    <mergeCell ref="B37:B39"/>
    <mergeCell ref="B42:B45"/>
    <mergeCell ref="F28:G28"/>
    <mergeCell ref="I28:J28"/>
    <mergeCell ref="I47:J47"/>
    <mergeCell ref="F38:G38"/>
    <mergeCell ref="F47:G47"/>
    <mergeCell ref="G29:H29"/>
    <mergeCell ref="I38:J38"/>
    <mergeCell ref="F40:J40"/>
  </mergeCells>
  <phoneticPr fontId="6" type="noConversion"/>
  <pageMargins left="0.7" right="0.7" top="0.75" bottom="0.75" header="0.3" footer="0.3"/>
  <pageSetup paperSize="9" scale="4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S58"/>
  <sheetViews>
    <sheetView topLeftCell="A16" zoomScale="90" zoomScaleNormal="90" workbookViewId="0">
      <selection activeCell="F41" sqref="F4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43952</v>
      </c>
      <c r="F3" s="1450"/>
      <c r="G3" s="1450"/>
      <c r="H3" s="1451" t="s">
        <v>984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9"/>
      <c r="F5" s="60"/>
      <c r="G5" s="60"/>
      <c r="H5" s="60"/>
      <c r="I5" s="60"/>
      <c r="J5" s="60">
        <v>1</v>
      </c>
      <c r="K5" s="182">
        <v>2</v>
      </c>
      <c r="L5" s="90"/>
      <c r="M5" s="90"/>
      <c r="N5" s="90"/>
      <c r="R5" s="11"/>
      <c r="S5" s="90"/>
    </row>
    <row r="6" spans="1:19" s="5" customFormat="1" ht="24.6" customHeight="1">
      <c r="B6" s="1467" t="s">
        <v>985</v>
      </c>
      <c r="C6" s="12" t="s">
        <v>986</v>
      </c>
      <c r="D6" s="265"/>
      <c r="E6" s="259"/>
      <c r="F6" s="259"/>
      <c r="G6" s="259"/>
      <c r="H6" s="259"/>
      <c r="I6" s="259"/>
      <c r="J6" s="259"/>
      <c r="K6" s="259"/>
      <c r="L6" s="90"/>
      <c r="M6" s="90"/>
      <c r="N6" s="90"/>
      <c r="R6" s="11"/>
      <c r="S6" s="90"/>
    </row>
    <row r="7" spans="1:19" s="5" customFormat="1" ht="24.6" customHeight="1">
      <c r="B7" s="1467"/>
      <c r="C7" s="124" t="s">
        <v>7</v>
      </c>
      <c r="D7" s="265"/>
      <c r="E7" s="259"/>
      <c r="F7" s="259"/>
      <c r="G7" s="259"/>
      <c r="H7" s="259"/>
      <c r="I7" s="259"/>
      <c r="J7" s="259"/>
      <c r="K7" s="25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987</v>
      </c>
      <c r="D8" s="265"/>
      <c r="E8" s="259"/>
      <c r="F8" s="259"/>
      <c r="G8" s="259"/>
      <c r="H8" s="259"/>
      <c r="I8" s="259"/>
      <c r="J8" s="259"/>
      <c r="K8" s="259"/>
      <c r="L8" s="90"/>
      <c r="M8" s="90"/>
      <c r="N8" s="90"/>
      <c r="R8" s="11"/>
      <c r="S8" s="90"/>
    </row>
    <row r="9" spans="1:19" s="5" customFormat="1" ht="24.6" customHeight="1">
      <c r="B9" s="1467"/>
      <c r="C9" s="162" t="s">
        <v>988</v>
      </c>
      <c r="D9" s="265"/>
      <c r="E9" s="259"/>
      <c r="F9" s="259"/>
      <c r="G9" s="259"/>
      <c r="H9" s="259"/>
      <c r="I9" s="259"/>
      <c r="J9" s="259"/>
      <c r="K9" s="259"/>
      <c r="L9" s="90"/>
      <c r="M9" s="90"/>
      <c r="N9" s="90"/>
      <c r="R9" s="11"/>
      <c r="S9" s="90"/>
    </row>
    <row r="10" spans="1:19" s="5" customFormat="1" ht="24.6" customHeight="1">
      <c r="B10" s="1467" t="s">
        <v>989</v>
      </c>
      <c r="C10" s="12" t="s">
        <v>990</v>
      </c>
      <c r="D10" s="265"/>
      <c r="E10" s="259"/>
      <c r="F10" s="259"/>
      <c r="G10" s="259"/>
      <c r="H10" s="259"/>
      <c r="I10" s="259"/>
      <c r="J10" s="259"/>
      <c r="K10" s="259"/>
      <c r="L10" s="90"/>
      <c r="M10" s="90"/>
      <c r="N10" s="90"/>
      <c r="R10" s="11"/>
      <c r="S10" s="90"/>
    </row>
    <row r="11" spans="1:19" s="5" customFormat="1" ht="24.6" customHeight="1">
      <c r="B11" s="1467"/>
      <c r="C11" s="124" t="s">
        <v>991</v>
      </c>
      <c r="D11" s="265"/>
      <c r="E11" s="259"/>
      <c r="F11" s="259"/>
      <c r="G11" s="259"/>
      <c r="H11" s="259"/>
      <c r="I11" s="259"/>
      <c r="J11" s="259"/>
      <c r="K11" s="259"/>
      <c r="L11" s="90"/>
      <c r="M11" s="90"/>
      <c r="N11" s="90"/>
      <c r="R11" s="11"/>
      <c r="S11" s="90"/>
    </row>
    <row r="12" spans="1:19" s="5" customFormat="1" ht="24.6" customHeight="1">
      <c r="B12" s="1467"/>
      <c r="C12" s="162" t="s">
        <v>992</v>
      </c>
      <c r="D12" s="265"/>
      <c r="E12" s="259"/>
      <c r="F12" s="259"/>
      <c r="G12" s="259"/>
      <c r="H12" s="259"/>
      <c r="I12" s="259"/>
      <c r="J12" s="259"/>
      <c r="K12" s="259"/>
      <c r="L12" s="90"/>
      <c r="M12" s="90"/>
      <c r="N12" s="90"/>
      <c r="R12" s="11"/>
      <c r="S12" s="90"/>
    </row>
    <row r="13" spans="1:19" s="5" customFormat="1" ht="24.6" customHeight="1">
      <c r="B13" s="260" t="s">
        <v>993</v>
      </c>
      <c r="C13" s="125" t="s">
        <v>994</v>
      </c>
      <c r="D13" s="265"/>
      <c r="E13" s="259"/>
      <c r="F13" s="259"/>
      <c r="G13" s="259"/>
      <c r="H13" s="259"/>
      <c r="I13" s="142"/>
      <c r="J13" s="180" t="s">
        <v>995</v>
      </c>
      <c r="K13" s="259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266">
        <f t="shared" si="0"/>
        <v>9</v>
      </c>
    </row>
    <row r="15" spans="1:19" ht="24.6" customHeight="1">
      <c r="A15" s="84"/>
      <c r="B15" s="1467" t="s">
        <v>985</v>
      </c>
      <c r="C15" s="12" t="s">
        <v>986</v>
      </c>
      <c r="D15" s="265"/>
      <c r="E15" s="32"/>
      <c r="F15" s="32"/>
      <c r="G15" s="32"/>
      <c r="H15" s="32"/>
      <c r="I15" s="32"/>
      <c r="J15" s="32"/>
      <c r="K15" s="32"/>
    </row>
    <row r="16" spans="1:19" ht="24.6" customHeight="1">
      <c r="A16" s="84"/>
      <c r="B16" s="1467"/>
      <c r="C16" s="124" t="s">
        <v>7</v>
      </c>
      <c r="D16" s="265"/>
      <c r="E16" s="32"/>
      <c r="F16" s="32"/>
      <c r="G16" s="32"/>
      <c r="H16" s="124" t="s">
        <v>996</v>
      </c>
      <c r="I16" s="32"/>
      <c r="J16" s="32"/>
      <c r="K16" s="32"/>
    </row>
    <row r="17" spans="1:19" ht="24.6" customHeight="1">
      <c r="A17" s="84"/>
      <c r="B17" s="1467"/>
      <c r="C17" s="163" t="s">
        <v>987</v>
      </c>
      <c r="D17" s="265"/>
      <c r="E17" s="32"/>
      <c r="F17" s="32"/>
      <c r="G17" s="32"/>
      <c r="H17" s="32"/>
      <c r="I17" s="32"/>
      <c r="J17" s="32"/>
      <c r="K17" s="32"/>
    </row>
    <row r="18" spans="1:19" ht="24.6" customHeight="1">
      <c r="A18" s="84"/>
      <c r="B18" s="1467"/>
      <c r="C18" s="162" t="s">
        <v>988</v>
      </c>
      <c r="D18" s="265"/>
      <c r="E18" s="32"/>
      <c r="F18" s="32"/>
      <c r="G18" s="32"/>
      <c r="H18" s="252" t="s">
        <v>997</v>
      </c>
      <c r="I18" s="223" t="s">
        <v>998</v>
      </c>
      <c r="J18" s="223" t="s">
        <v>998</v>
      </c>
      <c r="K18" s="32"/>
    </row>
    <row r="19" spans="1:19" ht="24.6" customHeight="1">
      <c r="A19" s="84"/>
      <c r="B19" s="1467" t="s">
        <v>999</v>
      </c>
      <c r="C19" s="12" t="s">
        <v>990</v>
      </c>
      <c r="D19" s="265"/>
      <c r="E19" s="32"/>
      <c r="F19" s="32"/>
      <c r="G19" s="32"/>
      <c r="H19" s="32"/>
      <c r="I19" s="1556" t="s">
        <v>1000</v>
      </c>
      <c r="J19" s="1557"/>
      <c r="K19" s="32"/>
    </row>
    <row r="20" spans="1:19" ht="24" customHeight="1">
      <c r="A20" s="84"/>
      <c r="B20" s="1467"/>
      <c r="C20" s="124" t="s">
        <v>991</v>
      </c>
      <c r="D20" s="265"/>
      <c r="E20" s="32"/>
      <c r="F20" s="32"/>
      <c r="G20" s="32"/>
      <c r="H20" s="32"/>
      <c r="I20" s="32"/>
      <c r="J20" s="32"/>
      <c r="K20" s="32"/>
    </row>
    <row r="21" spans="1:19" ht="24" customHeight="1">
      <c r="A21" s="84"/>
      <c r="B21" s="1467"/>
      <c r="C21" s="162" t="s">
        <v>1001</v>
      </c>
      <c r="D21" s="265"/>
      <c r="E21" s="32"/>
      <c r="F21" s="32"/>
      <c r="G21" s="32"/>
      <c r="H21" s="162" t="s">
        <v>1002</v>
      </c>
      <c r="I21" s="162" t="s">
        <v>1002</v>
      </c>
      <c r="J21" s="162" t="s">
        <v>1003</v>
      </c>
      <c r="K21" s="32"/>
    </row>
    <row r="22" spans="1:19" ht="24.6" customHeight="1">
      <c r="A22" s="84"/>
      <c r="B22" s="260" t="s">
        <v>1004</v>
      </c>
      <c r="C22" s="125" t="s">
        <v>994</v>
      </c>
      <c r="D22" s="265"/>
      <c r="E22" s="32"/>
      <c r="F22" s="32"/>
      <c r="G22" s="180" t="s">
        <v>1005</v>
      </c>
      <c r="H22" s="32"/>
      <c r="I22" s="32"/>
      <c r="J22" s="32"/>
      <c r="K22" s="32"/>
    </row>
    <row r="23" spans="1:19" ht="24.6" customHeight="1">
      <c r="A23" s="84"/>
      <c r="B23" s="84"/>
      <c r="C23" s="5"/>
      <c r="D23" s="5"/>
      <c r="E23" s="26">
        <f>K14+1</f>
        <v>10</v>
      </c>
      <c r="F23" s="175">
        <f t="shared" ref="F23:K23" si="1">E23+1</f>
        <v>11</v>
      </c>
      <c r="G23" s="175">
        <f t="shared" si="1"/>
        <v>12</v>
      </c>
      <c r="H23" s="175">
        <f t="shared" si="1"/>
        <v>13</v>
      </c>
      <c r="I23" s="175">
        <f t="shared" si="1"/>
        <v>14</v>
      </c>
      <c r="J23" s="175">
        <f t="shared" si="1"/>
        <v>15</v>
      </c>
      <c r="K23" s="183">
        <f t="shared" si="1"/>
        <v>16</v>
      </c>
      <c r="M23" s="1453"/>
      <c r="N23" s="1453"/>
      <c r="O23" s="1453"/>
    </row>
    <row r="24" spans="1:19" ht="24.6" customHeight="1">
      <c r="A24" s="84"/>
      <c r="B24" s="1560" t="s">
        <v>1006</v>
      </c>
      <c r="C24" s="12" t="s">
        <v>990</v>
      </c>
      <c r="D24" s="265"/>
      <c r="E24" s="259"/>
      <c r="F24" s="259"/>
      <c r="G24" s="259"/>
      <c r="H24" s="259"/>
      <c r="I24" s="259"/>
      <c r="J24" s="259"/>
      <c r="K24" s="259"/>
    </row>
    <row r="25" spans="1:19" ht="24.6" customHeight="1">
      <c r="A25" s="84"/>
      <c r="B25" s="1560"/>
      <c r="C25" s="124" t="s">
        <v>7</v>
      </c>
      <c r="D25" s="265"/>
      <c r="E25" s="259"/>
      <c r="F25" s="259"/>
      <c r="G25" s="259"/>
      <c r="H25" s="124" t="s">
        <v>1007</v>
      </c>
      <c r="I25" s="259"/>
      <c r="J25" s="259"/>
      <c r="K25" s="259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560"/>
      <c r="C26" s="163" t="s">
        <v>1008</v>
      </c>
      <c r="D26" s="265"/>
      <c r="E26" s="259"/>
      <c r="F26" s="259"/>
      <c r="G26" s="259"/>
      <c r="H26" s="259"/>
      <c r="I26" s="259"/>
      <c r="J26" s="259"/>
      <c r="K26" s="259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560"/>
      <c r="C27" s="162" t="s">
        <v>1001</v>
      </c>
      <c r="D27" s="265"/>
      <c r="E27" s="259"/>
      <c r="F27" s="223" t="s">
        <v>1009</v>
      </c>
      <c r="G27" s="223" t="s">
        <v>1010</v>
      </c>
      <c r="H27" s="223" t="s">
        <v>1010</v>
      </c>
      <c r="I27" s="223" t="s">
        <v>1011</v>
      </c>
      <c r="J27" s="259"/>
      <c r="K27" s="259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560" t="s">
        <v>999</v>
      </c>
      <c r="C28" s="12" t="s">
        <v>990</v>
      </c>
      <c r="D28" s="265"/>
      <c r="E28" s="259"/>
      <c r="F28" s="1556" t="s">
        <v>1012</v>
      </c>
      <c r="G28" s="1557"/>
      <c r="H28" s="259"/>
      <c r="I28" s="1556" t="s">
        <v>1013</v>
      </c>
      <c r="J28" s="1557"/>
      <c r="K28" s="259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560"/>
      <c r="C29" s="124" t="s">
        <v>991</v>
      </c>
      <c r="D29" s="265"/>
      <c r="E29" s="259"/>
      <c r="F29" s="259"/>
      <c r="G29" s="259"/>
      <c r="H29" s="124" t="s">
        <v>1014</v>
      </c>
      <c r="I29" s="1555" t="s">
        <v>966</v>
      </c>
      <c r="J29" s="1545"/>
      <c r="K29" s="259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560"/>
      <c r="C30" s="162" t="s">
        <v>316</v>
      </c>
      <c r="D30" s="265"/>
      <c r="E30" s="259"/>
      <c r="F30" s="162" t="s">
        <v>874</v>
      </c>
      <c r="G30" s="162" t="s">
        <v>874</v>
      </c>
      <c r="H30" s="162" t="s">
        <v>874</v>
      </c>
      <c r="I30" s="162" t="s">
        <v>874</v>
      </c>
      <c r="J30" s="162" t="s">
        <v>874</v>
      </c>
      <c r="K30" s="259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61" t="s">
        <v>317</v>
      </c>
      <c r="C31" s="125" t="s">
        <v>228</v>
      </c>
      <c r="D31" s="265"/>
      <c r="E31" s="259"/>
      <c r="F31" s="259"/>
      <c r="G31" s="259"/>
      <c r="H31" s="259"/>
      <c r="I31" s="259"/>
      <c r="J31" s="259"/>
      <c r="K31" s="259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17</v>
      </c>
      <c r="F32" s="37">
        <f t="shared" ref="F32:K32" si="2">E32+1</f>
        <v>18</v>
      </c>
      <c r="G32" s="37">
        <f t="shared" si="2"/>
        <v>19</v>
      </c>
      <c r="H32" s="37">
        <f t="shared" si="2"/>
        <v>20</v>
      </c>
      <c r="I32" s="37">
        <f t="shared" si="2"/>
        <v>21</v>
      </c>
      <c r="J32" s="37">
        <f t="shared" si="2"/>
        <v>22</v>
      </c>
      <c r="K32" s="266">
        <f t="shared" si="2"/>
        <v>23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985</v>
      </c>
      <c r="C33" s="12" t="s">
        <v>986</v>
      </c>
      <c r="D33" s="265"/>
      <c r="E33" s="32"/>
      <c r="F33" s="32"/>
      <c r="G33" s="32"/>
      <c r="H33" s="12" t="s">
        <v>1015</v>
      </c>
      <c r="I33" s="12" t="s">
        <v>1016</v>
      </c>
      <c r="J33" s="12" t="s">
        <v>1017</v>
      </c>
      <c r="K33" s="32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265"/>
      <c r="E34" s="32"/>
      <c r="F34" s="32"/>
      <c r="G34" s="124" t="s">
        <v>1018</v>
      </c>
      <c r="H34" s="267"/>
      <c r="I34" s="267"/>
      <c r="J34" s="268"/>
      <c r="K34" s="32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1019</v>
      </c>
      <c r="D35" s="265"/>
      <c r="E35" s="32"/>
      <c r="F35" s="32"/>
      <c r="G35" s="32"/>
      <c r="H35" s="32"/>
      <c r="I35" s="223" t="s">
        <v>1020</v>
      </c>
      <c r="J35" s="223" t="s">
        <v>1020</v>
      </c>
      <c r="K35" s="32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992</v>
      </c>
      <c r="D36" s="265"/>
      <c r="E36" s="32"/>
      <c r="F36" s="32"/>
      <c r="G36" s="32"/>
      <c r="H36" s="32"/>
      <c r="I36" s="32"/>
      <c r="J36" s="32"/>
      <c r="K36" s="32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1021</v>
      </c>
      <c r="C37" s="12" t="s">
        <v>1022</v>
      </c>
      <c r="D37" s="265"/>
      <c r="E37" s="32"/>
      <c r="F37" s="1556" t="s">
        <v>1023</v>
      </c>
      <c r="G37" s="1557"/>
      <c r="H37" s="32"/>
      <c r="I37" s="32"/>
      <c r="J37" s="32"/>
      <c r="K37" s="32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1024</v>
      </c>
      <c r="D38" s="265"/>
      <c r="E38" s="32"/>
      <c r="F38" s="32"/>
      <c r="G38" s="32"/>
      <c r="H38" s="166" t="s">
        <v>1025</v>
      </c>
      <c r="I38" s="1509" t="s">
        <v>1026</v>
      </c>
      <c r="J38" s="1510"/>
      <c r="K38" s="32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992</v>
      </c>
      <c r="D39" s="265"/>
      <c r="E39" s="32"/>
      <c r="F39" s="162" t="s">
        <v>1027</v>
      </c>
      <c r="G39" s="162" t="s">
        <v>1027</v>
      </c>
      <c r="H39" s="162" t="s">
        <v>1028</v>
      </c>
      <c r="I39" s="162" t="s">
        <v>1029</v>
      </c>
      <c r="J39" s="162" t="s">
        <v>1029</v>
      </c>
      <c r="K39" s="32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60" t="s">
        <v>993</v>
      </c>
      <c r="C40" s="125" t="s">
        <v>1030</v>
      </c>
      <c r="D40" s="265"/>
      <c r="E40" s="32"/>
      <c r="F40" s="32"/>
      <c r="G40" s="32"/>
      <c r="H40" s="32"/>
      <c r="I40" s="32"/>
      <c r="J40" s="32"/>
      <c r="K40" s="32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70">
        <f>K32+1</f>
        <v>24</v>
      </c>
      <c r="F41" s="175">
        <f t="shared" ref="F41:K41" si="3">E41+1</f>
        <v>25</v>
      </c>
      <c r="G41" s="175">
        <f t="shared" si="3"/>
        <v>26</v>
      </c>
      <c r="H41" s="175">
        <f t="shared" si="3"/>
        <v>27</v>
      </c>
      <c r="I41" s="175">
        <f t="shared" si="3"/>
        <v>28</v>
      </c>
      <c r="J41" s="175">
        <f t="shared" si="3"/>
        <v>29</v>
      </c>
      <c r="K41" s="183">
        <f t="shared" si="3"/>
        <v>30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1006</v>
      </c>
      <c r="C42" s="12" t="s">
        <v>990</v>
      </c>
      <c r="D42" s="265"/>
      <c r="E42" s="259"/>
      <c r="F42" s="12" t="s">
        <v>1031</v>
      </c>
      <c r="G42" s="12" t="s">
        <v>1032</v>
      </c>
      <c r="H42" s="259"/>
      <c r="I42" s="259"/>
      <c r="J42" s="259"/>
      <c r="K42" s="259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265"/>
      <c r="E43" s="259"/>
      <c r="F43" s="259"/>
      <c r="G43" s="259"/>
      <c r="H43" s="124" t="s">
        <v>1033</v>
      </c>
      <c r="I43" s="124" t="s">
        <v>1034</v>
      </c>
      <c r="J43" s="124" t="s">
        <v>1035</v>
      </c>
      <c r="K43" s="259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1019</v>
      </c>
      <c r="D44" s="265"/>
      <c r="E44" s="259"/>
      <c r="F44" s="259"/>
      <c r="G44" s="259"/>
      <c r="H44" s="259"/>
      <c r="I44" s="259"/>
      <c r="J44" s="259"/>
      <c r="K44" s="259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992</v>
      </c>
      <c r="D45" s="265"/>
      <c r="E45" s="259"/>
      <c r="F45" s="223" t="s">
        <v>1036</v>
      </c>
      <c r="G45" s="223" t="s">
        <v>1037</v>
      </c>
      <c r="H45" s="223" t="s">
        <v>1037</v>
      </c>
      <c r="I45" s="223" t="s">
        <v>1038</v>
      </c>
      <c r="J45" s="223" t="s">
        <v>1039</v>
      </c>
      <c r="K45" s="259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1021</v>
      </c>
      <c r="C46" s="12" t="s">
        <v>1022</v>
      </c>
      <c r="D46" s="265"/>
      <c r="E46" s="259"/>
      <c r="F46" s="259"/>
      <c r="G46" s="259"/>
      <c r="H46" s="259"/>
      <c r="I46" s="259"/>
      <c r="J46" s="259"/>
      <c r="K46" s="259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1024</v>
      </c>
      <c r="D47" s="265"/>
      <c r="E47" s="259"/>
      <c r="F47" s="259"/>
      <c r="G47" s="259"/>
      <c r="H47" s="166" t="s">
        <v>1040</v>
      </c>
      <c r="I47" s="259"/>
      <c r="J47" s="259"/>
      <c r="K47" s="259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992</v>
      </c>
      <c r="D48" s="265"/>
      <c r="E48" s="259"/>
      <c r="F48" s="162" t="s">
        <v>1029</v>
      </c>
      <c r="G48" s="162" t="s">
        <v>1029</v>
      </c>
      <c r="H48" s="162" t="s">
        <v>1029</v>
      </c>
      <c r="I48" s="162" t="s">
        <v>1029</v>
      </c>
      <c r="J48" s="162" t="s">
        <v>1029</v>
      </c>
      <c r="K48" s="259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60" t="s">
        <v>993</v>
      </c>
      <c r="C49" s="125" t="s">
        <v>1030</v>
      </c>
      <c r="D49" s="265"/>
      <c r="E49" s="259"/>
      <c r="F49" s="259"/>
      <c r="G49" s="259"/>
      <c r="H49" s="259"/>
      <c r="I49" s="259"/>
      <c r="J49" s="259"/>
      <c r="K49" s="259"/>
      <c r="L49" s="84"/>
      <c r="M49" s="84"/>
      <c r="N49" s="84"/>
      <c r="O49" s="84"/>
      <c r="P49" s="84"/>
      <c r="Q49" s="84"/>
      <c r="R49" s="84"/>
      <c r="S49" s="84"/>
    </row>
    <row r="55" spans="1:19" s="90" customFormat="1"/>
    <row r="56" spans="1:19" s="90" customFormat="1"/>
    <row r="57" spans="1:19" s="90" customFormat="1"/>
    <row r="58" spans="1:19" s="90" customFormat="1"/>
  </sheetData>
  <mergeCells count="19">
    <mergeCell ref="B19:B21"/>
    <mergeCell ref="I19:J19"/>
    <mergeCell ref="E3:G3"/>
    <mergeCell ref="H3:K3"/>
    <mergeCell ref="B6:B9"/>
    <mergeCell ref="B10:B12"/>
    <mergeCell ref="B15:B18"/>
    <mergeCell ref="B46:B48"/>
    <mergeCell ref="M23:O23"/>
    <mergeCell ref="B24:B27"/>
    <mergeCell ref="B28:B30"/>
    <mergeCell ref="F28:G28"/>
    <mergeCell ref="I28:J28"/>
    <mergeCell ref="I29:J29"/>
    <mergeCell ref="B33:B36"/>
    <mergeCell ref="B37:B39"/>
    <mergeCell ref="F37:G37"/>
    <mergeCell ref="I38:J38"/>
    <mergeCell ref="B42:B45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S58"/>
  <sheetViews>
    <sheetView topLeftCell="C28" zoomScale="70" zoomScaleNormal="70" workbookViewId="0">
      <selection activeCell="I32" sqref="I32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43983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>
        <v>1</v>
      </c>
      <c r="G5" s="60">
        <v>2</v>
      </c>
      <c r="H5" s="60">
        <v>3</v>
      </c>
      <c r="I5" s="60">
        <v>4</v>
      </c>
      <c r="J5" s="60">
        <v>5</v>
      </c>
      <c r="K5" s="182">
        <v>6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283"/>
      <c r="G6" s="283"/>
      <c r="H6" s="283"/>
      <c r="I6" s="283"/>
      <c r="J6" s="283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283"/>
      <c r="G7" s="283"/>
      <c r="H7" s="284" t="s">
        <v>1081</v>
      </c>
      <c r="I7" s="283"/>
      <c r="J7" s="283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527" t="s">
        <v>1082</v>
      </c>
      <c r="G8" s="1536"/>
      <c r="H8" s="1536"/>
      <c r="I8" s="1536"/>
      <c r="J8" s="1529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283"/>
      <c r="G9" s="283"/>
      <c r="H9" s="283"/>
      <c r="I9" s="283"/>
      <c r="J9" s="283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506" t="s">
        <v>1083</v>
      </c>
      <c r="G10" s="1507"/>
      <c r="H10" s="283"/>
      <c r="I10" s="1506" t="s">
        <v>1084</v>
      </c>
      <c r="J10" s="150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283"/>
      <c r="G11" s="283"/>
      <c r="H11" s="283"/>
      <c r="I11" s="1562" t="s">
        <v>1085</v>
      </c>
      <c r="J11" s="1545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285" t="s">
        <v>1086</v>
      </c>
      <c r="G12" s="285" t="s">
        <v>1087</v>
      </c>
      <c r="H12" s="285" t="s">
        <v>1088</v>
      </c>
      <c r="I12" s="285" t="s">
        <v>1088</v>
      </c>
      <c r="J12" s="285" t="s">
        <v>1088</v>
      </c>
      <c r="K12" s="14"/>
      <c r="L12" s="4"/>
      <c r="M12" s="4"/>
      <c r="N12" s="4"/>
      <c r="R12" s="11"/>
      <c r="S12" s="4"/>
    </row>
    <row r="13" spans="1:19" s="5" customFormat="1" ht="24.6" customHeight="1">
      <c r="B13" s="179" t="s">
        <v>317</v>
      </c>
      <c r="C13" s="125" t="s">
        <v>228</v>
      </c>
      <c r="D13" s="13"/>
      <c r="E13" s="14"/>
      <c r="F13" s="178"/>
      <c r="G13" s="271"/>
      <c r="H13" s="271"/>
      <c r="I13" s="271"/>
      <c r="J13" s="271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7</v>
      </c>
      <c r="F14" s="65">
        <f t="shared" ref="F14:K14" si="0">E14+1</f>
        <v>8</v>
      </c>
      <c r="G14" s="65">
        <f t="shared" si="0"/>
        <v>9</v>
      </c>
      <c r="H14" s="65">
        <f t="shared" si="0"/>
        <v>10</v>
      </c>
      <c r="I14" s="65">
        <f t="shared" si="0"/>
        <v>11</v>
      </c>
      <c r="J14" s="65">
        <f t="shared" si="0"/>
        <v>12</v>
      </c>
      <c r="K14" s="23">
        <f t="shared" si="0"/>
        <v>13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87"/>
      <c r="G15" s="287"/>
      <c r="H15" s="287"/>
      <c r="I15" s="287"/>
      <c r="J15" s="287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87"/>
      <c r="G16" s="287"/>
      <c r="H16" s="287"/>
      <c r="I16" s="287"/>
      <c r="J16" s="287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1527" t="s">
        <v>1082</v>
      </c>
      <c r="G17" s="1528"/>
      <c r="H17" s="1528"/>
      <c r="I17" s="1528"/>
      <c r="J17" s="287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87"/>
      <c r="G18" s="287"/>
      <c r="H18" s="287"/>
      <c r="I18" s="287"/>
      <c r="J18" s="287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40" t="s">
        <v>1265</v>
      </c>
      <c r="G19" s="1507"/>
      <c r="H19" s="287"/>
      <c r="I19" s="1566" t="s">
        <v>1264</v>
      </c>
      <c r="J19" s="1541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1567" t="s">
        <v>1089</v>
      </c>
      <c r="G20" s="1568"/>
      <c r="H20" s="286" t="s">
        <v>1090</v>
      </c>
      <c r="I20" s="1562" t="s">
        <v>1091</v>
      </c>
      <c r="J20" s="1545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288" t="s">
        <v>1088</v>
      </c>
      <c r="G21" s="288" t="s">
        <v>1092</v>
      </c>
      <c r="H21" s="288" t="s">
        <v>1093</v>
      </c>
      <c r="I21" s="288" t="s">
        <v>1093</v>
      </c>
      <c r="J21" s="288" t="s">
        <v>1093</v>
      </c>
      <c r="K21" s="24"/>
    </row>
    <row r="22" spans="1:19" ht="24.6" customHeight="1">
      <c r="A22" s="84"/>
      <c r="B22" s="179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14</v>
      </c>
      <c r="F23" s="27">
        <f t="shared" ref="F23:K23" si="1">E23+1</f>
        <v>15</v>
      </c>
      <c r="G23" s="27">
        <f t="shared" si="1"/>
        <v>16</v>
      </c>
      <c r="H23" s="27">
        <f t="shared" si="1"/>
        <v>17</v>
      </c>
      <c r="I23" s="27">
        <f t="shared" si="1"/>
        <v>18</v>
      </c>
      <c r="J23" s="27">
        <f t="shared" si="1"/>
        <v>19</v>
      </c>
      <c r="K23" s="52">
        <f t="shared" si="1"/>
        <v>20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289"/>
      <c r="G24" s="289"/>
      <c r="H24" s="292" t="s">
        <v>1120</v>
      </c>
      <c r="I24" s="292" t="s">
        <v>1121</v>
      </c>
      <c r="J24" s="289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289"/>
      <c r="G25" s="289"/>
      <c r="H25" s="290" t="s">
        <v>1119</v>
      </c>
      <c r="I25" s="289"/>
      <c r="J25" s="289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289"/>
      <c r="G26" s="289"/>
      <c r="H26" s="289"/>
      <c r="I26" s="289"/>
      <c r="J26" s="289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289"/>
      <c r="G27" s="289"/>
      <c r="H27" s="289"/>
      <c r="I27" s="289"/>
      <c r="J27" s="289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66" t="s">
        <v>1094</v>
      </c>
      <c r="G28" s="1541"/>
      <c r="H28" s="289"/>
      <c r="I28" s="1506" t="s">
        <v>1095</v>
      </c>
      <c r="J28" s="1521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289"/>
      <c r="G29" s="289"/>
      <c r="H29" s="289"/>
      <c r="I29" s="1567" t="s">
        <v>1083</v>
      </c>
      <c r="J29" s="1568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291" t="s">
        <v>1093</v>
      </c>
      <c r="G30" s="291" t="s">
        <v>1093</v>
      </c>
      <c r="H30" s="289"/>
      <c r="I30" s="289"/>
      <c r="J30" s="289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79" t="s">
        <v>317</v>
      </c>
      <c r="C31" s="125" t="s">
        <v>228</v>
      </c>
      <c r="D31" s="13"/>
      <c r="E31" s="14"/>
      <c r="F31" s="14"/>
      <c r="G31" s="276" t="s">
        <v>1050</v>
      </c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21</v>
      </c>
      <c r="F32" s="37">
        <f t="shared" ref="F32:K32" si="2">E32+1</f>
        <v>22</v>
      </c>
      <c r="G32" s="37">
        <f t="shared" si="2"/>
        <v>23</v>
      </c>
      <c r="H32" s="37">
        <f t="shared" si="2"/>
        <v>24</v>
      </c>
      <c r="I32" s="37">
        <f t="shared" si="2"/>
        <v>25</v>
      </c>
      <c r="J32" s="37">
        <f t="shared" si="2"/>
        <v>26</v>
      </c>
      <c r="K32" s="23">
        <f t="shared" si="2"/>
        <v>27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24"/>
      <c r="G39" s="24"/>
      <c r="H39" s="24"/>
      <c r="I39" s="24"/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79" t="s">
        <v>317</v>
      </c>
      <c r="C40" s="125" t="s">
        <v>228</v>
      </c>
      <c r="D40" s="13"/>
      <c r="E40" s="24"/>
      <c r="F40" s="1563" t="s">
        <v>758</v>
      </c>
      <c r="G40" s="1564"/>
      <c r="H40" s="1564"/>
      <c r="I40" s="1564"/>
      <c r="J40" s="1565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28</v>
      </c>
      <c r="F41" s="27">
        <f>E41+1</f>
        <v>29</v>
      </c>
      <c r="G41" s="27">
        <f>F41+1</f>
        <v>30</v>
      </c>
      <c r="H41" s="27"/>
      <c r="I41" s="27"/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4"/>
      <c r="G47" s="14"/>
      <c r="H47" s="14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293" t="s">
        <v>1096</v>
      </c>
      <c r="G48" s="293" t="s">
        <v>1096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79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26">
    <mergeCell ref="B19:B21"/>
    <mergeCell ref="E3:G3"/>
    <mergeCell ref="H3:K3"/>
    <mergeCell ref="B6:B9"/>
    <mergeCell ref="B10:B12"/>
    <mergeCell ref="B15:B18"/>
    <mergeCell ref="F10:G10"/>
    <mergeCell ref="I10:J10"/>
    <mergeCell ref="F8:J8"/>
    <mergeCell ref="I11:J11"/>
    <mergeCell ref="F19:G19"/>
    <mergeCell ref="I19:J19"/>
    <mergeCell ref="F17:I17"/>
    <mergeCell ref="I20:J20"/>
    <mergeCell ref="F20:G20"/>
    <mergeCell ref="B46:B48"/>
    <mergeCell ref="M23:O23"/>
    <mergeCell ref="B24:B27"/>
    <mergeCell ref="B28:B30"/>
    <mergeCell ref="B33:B36"/>
    <mergeCell ref="B37:B39"/>
    <mergeCell ref="B42:B45"/>
    <mergeCell ref="F40:J40"/>
    <mergeCell ref="F28:G28"/>
    <mergeCell ref="I28:J28"/>
    <mergeCell ref="I29:J29"/>
  </mergeCells>
  <phoneticPr fontId="6" type="noConversion"/>
  <pageMargins left="0.7" right="0.7" top="0.75" bottom="0.75" header="0.3" footer="0.3"/>
  <pageSetup paperSize="9" scale="4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S58"/>
  <sheetViews>
    <sheetView topLeftCell="A22" zoomScale="85" zoomScaleNormal="8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44013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>
        <v>1</v>
      </c>
      <c r="I5" s="60">
        <f>H5+1</f>
        <v>2</v>
      </c>
      <c r="J5" s="60">
        <f>I5+1</f>
        <v>3</v>
      </c>
      <c r="K5" s="60">
        <f>J5+1</f>
        <v>4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294"/>
      <c r="G6" s="294"/>
      <c r="H6" s="294"/>
      <c r="I6" s="294"/>
      <c r="J6" s="29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294"/>
      <c r="G7" s="294"/>
      <c r="H7" s="294"/>
      <c r="I7" s="294"/>
      <c r="J7" s="29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294"/>
      <c r="G8" s="294"/>
      <c r="H8" s="294"/>
      <c r="I8" s="294"/>
      <c r="J8" s="29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294"/>
      <c r="G9" s="294"/>
      <c r="H9" s="294"/>
      <c r="I9" s="294"/>
      <c r="J9" s="29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294"/>
      <c r="G10" s="294"/>
      <c r="H10" s="294"/>
      <c r="I10" s="294"/>
      <c r="J10" s="29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294"/>
      <c r="G11" s="294"/>
      <c r="H11" s="306"/>
      <c r="I11" s="306"/>
      <c r="J11" s="29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294"/>
      <c r="G12" s="294"/>
      <c r="H12" s="295" t="s">
        <v>1096</v>
      </c>
      <c r="I12" s="295" t="s">
        <v>1096</v>
      </c>
      <c r="J12" s="305" t="s">
        <v>1096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02" t="s">
        <v>317</v>
      </c>
      <c r="C13" s="125" t="s">
        <v>228</v>
      </c>
      <c r="D13" s="13"/>
      <c r="E13" s="14"/>
      <c r="F13" s="201"/>
      <c r="G13" s="201"/>
      <c r="H13" s="14"/>
      <c r="I13" s="142"/>
      <c r="J13" s="201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5</v>
      </c>
      <c r="F14" s="65">
        <f t="shared" ref="F14:K14" si="0">E14+1</f>
        <v>6</v>
      </c>
      <c r="G14" s="65">
        <f t="shared" si="0"/>
        <v>7</v>
      </c>
      <c r="H14" s="65">
        <f t="shared" si="0"/>
        <v>8</v>
      </c>
      <c r="I14" s="65">
        <f t="shared" si="0"/>
        <v>9</v>
      </c>
      <c r="J14" s="65">
        <f t="shared" si="0"/>
        <v>10</v>
      </c>
      <c r="K14" s="23">
        <f t="shared" si="0"/>
        <v>11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96"/>
      <c r="G15" s="296"/>
      <c r="H15" s="296"/>
      <c r="I15" s="296"/>
      <c r="J15" s="296"/>
      <c r="K15" s="296"/>
    </row>
    <row r="16" spans="1:19" ht="24.6" customHeight="1">
      <c r="A16" s="84"/>
      <c r="B16" s="1467"/>
      <c r="C16" s="124" t="s">
        <v>7</v>
      </c>
      <c r="D16" s="13"/>
      <c r="E16" s="24"/>
      <c r="F16" s="296"/>
      <c r="G16" s="296"/>
      <c r="H16" s="296"/>
      <c r="I16" s="301"/>
      <c r="J16" s="296"/>
      <c r="K16" s="296"/>
    </row>
    <row r="17" spans="1:19" ht="24.6" customHeight="1">
      <c r="A17" s="84"/>
      <c r="B17" s="1467"/>
      <c r="C17" s="163" t="s">
        <v>389</v>
      </c>
      <c r="D17" s="13"/>
      <c r="E17" s="24"/>
      <c r="F17" s="296"/>
      <c r="G17" s="296"/>
      <c r="H17" s="296"/>
      <c r="I17" s="296"/>
      <c r="J17" s="296"/>
      <c r="K17" s="296"/>
    </row>
    <row r="18" spans="1:19" ht="24.6" customHeight="1">
      <c r="A18" s="84"/>
      <c r="B18" s="1467"/>
      <c r="C18" s="162" t="s">
        <v>316</v>
      </c>
      <c r="D18" s="13"/>
      <c r="E18" s="24"/>
      <c r="F18" s="296"/>
      <c r="G18" s="296"/>
      <c r="H18" s="296"/>
      <c r="I18" s="296"/>
      <c r="J18" s="296"/>
      <c r="K18" s="296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96"/>
      <c r="G19" s="296"/>
      <c r="H19" s="296"/>
      <c r="I19" s="296"/>
      <c r="J19" s="296"/>
      <c r="K19" s="296"/>
    </row>
    <row r="20" spans="1:19" ht="24" customHeight="1">
      <c r="A20" s="84"/>
      <c r="B20" s="1467"/>
      <c r="C20" s="124" t="s">
        <v>292</v>
      </c>
      <c r="D20" s="13"/>
      <c r="E20" s="24"/>
      <c r="F20" s="1567" t="s">
        <v>1097</v>
      </c>
      <c r="G20" s="1569"/>
      <c r="H20" s="296"/>
      <c r="I20" s="296"/>
      <c r="J20" s="296"/>
      <c r="K20" s="296"/>
    </row>
    <row r="21" spans="1:19" ht="24" customHeight="1">
      <c r="A21" s="84"/>
      <c r="B21" s="1467"/>
      <c r="C21" s="162" t="s">
        <v>316</v>
      </c>
      <c r="D21" s="13"/>
      <c r="E21" s="24"/>
      <c r="F21" s="297" t="s">
        <v>1098</v>
      </c>
      <c r="G21" s="297" t="s">
        <v>1098</v>
      </c>
      <c r="H21" s="297" t="s">
        <v>1098</v>
      </c>
      <c r="I21" s="297" t="s">
        <v>1098</v>
      </c>
      <c r="J21" s="297" t="s">
        <v>1098</v>
      </c>
      <c r="K21" s="296"/>
    </row>
    <row r="22" spans="1:19" ht="24.6" customHeight="1">
      <c r="A22" s="84"/>
      <c r="B22" s="202" t="s">
        <v>317</v>
      </c>
      <c r="C22" s="125" t="s">
        <v>228</v>
      </c>
      <c r="D22" s="13"/>
      <c r="E22" s="24"/>
      <c r="F22" s="296"/>
      <c r="G22" s="296"/>
      <c r="H22" s="296"/>
      <c r="I22" s="296"/>
      <c r="J22" s="125" t="s">
        <v>1172</v>
      </c>
      <c r="K22" s="296" t="s">
        <v>1099</v>
      </c>
    </row>
    <row r="23" spans="1:19" ht="24.6" customHeight="1">
      <c r="A23" s="84"/>
      <c r="B23" s="84"/>
      <c r="C23" s="5"/>
      <c r="D23" s="5"/>
      <c r="E23" s="26">
        <f>K14+1</f>
        <v>12</v>
      </c>
      <c r="F23" s="27">
        <f t="shared" ref="F23:K23" si="1">E23+1</f>
        <v>13</v>
      </c>
      <c r="G23" s="27">
        <f t="shared" si="1"/>
        <v>14</v>
      </c>
      <c r="H23" s="27">
        <f t="shared" si="1"/>
        <v>15</v>
      </c>
      <c r="I23" s="27">
        <f t="shared" si="1"/>
        <v>16</v>
      </c>
      <c r="J23" s="27">
        <f t="shared" si="1"/>
        <v>17</v>
      </c>
      <c r="K23" s="52">
        <f t="shared" si="1"/>
        <v>18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298"/>
      <c r="F24" s="298"/>
      <c r="G24" s="298"/>
      <c r="H24" s="298"/>
      <c r="I24" s="298"/>
      <c r="J24" s="298"/>
      <c r="K24" s="298"/>
    </row>
    <row r="25" spans="1:19" ht="24.6" customHeight="1">
      <c r="A25" s="84"/>
      <c r="B25" s="1467"/>
      <c r="C25" s="124" t="s">
        <v>7</v>
      </c>
      <c r="D25" s="13"/>
      <c r="E25" s="298"/>
      <c r="F25" s="298"/>
      <c r="G25" s="298"/>
      <c r="H25" s="302" t="s">
        <v>1123</v>
      </c>
      <c r="I25" s="306"/>
      <c r="J25" s="313"/>
      <c r="K25" s="298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298"/>
      <c r="F26" s="298"/>
      <c r="G26" s="298"/>
      <c r="H26" s="298"/>
      <c r="I26" s="298"/>
      <c r="J26" s="298"/>
      <c r="K26" s="298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298"/>
      <c r="F27" s="298"/>
      <c r="G27" s="298"/>
      <c r="H27" s="298"/>
      <c r="I27" s="299"/>
      <c r="J27" s="298"/>
      <c r="K27" s="298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298"/>
      <c r="F28" s="298"/>
      <c r="G28" s="298"/>
      <c r="H28" s="298"/>
      <c r="I28" s="298"/>
      <c r="J28" s="298"/>
      <c r="K28" s="298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298"/>
      <c r="F29" s="298"/>
      <c r="G29" s="298"/>
      <c r="H29" s="302" t="s">
        <v>1126</v>
      </c>
      <c r="I29" s="298"/>
      <c r="J29" s="298"/>
      <c r="K29" s="298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298"/>
      <c r="F30" s="300" t="s">
        <v>1100</v>
      </c>
      <c r="G30" s="300" t="s">
        <v>1100</v>
      </c>
      <c r="H30" s="300" t="s">
        <v>1100</v>
      </c>
      <c r="I30" s="300" t="s">
        <v>1100</v>
      </c>
      <c r="J30" s="300" t="s">
        <v>1100</v>
      </c>
      <c r="K30" s="298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02" t="s">
        <v>317</v>
      </c>
      <c r="C31" s="125" t="s">
        <v>228</v>
      </c>
      <c r="D31" s="13"/>
      <c r="E31" s="298" t="s">
        <v>1099</v>
      </c>
      <c r="F31" s="298" t="s">
        <v>1099</v>
      </c>
      <c r="G31" s="125" t="s">
        <v>1173</v>
      </c>
      <c r="H31" s="298" t="s">
        <v>1099</v>
      </c>
      <c r="I31" s="298" t="s">
        <v>1101</v>
      </c>
      <c r="J31" s="298" t="s">
        <v>1099</v>
      </c>
      <c r="K31" s="298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19</v>
      </c>
      <c r="F32" s="37">
        <f t="shared" ref="F32:K32" si="2">E32+1</f>
        <v>20</v>
      </c>
      <c r="G32" s="37">
        <f t="shared" si="2"/>
        <v>21</v>
      </c>
      <c r="H32" s="37">
        <f t="shared" si="2"/>
        <v>22</v>
      </c>
      <c r="I32" s="37">
        <f t="shared" si="2"/>
        <v>23</v>
      </c>
      <c r="J32" s="37">
        <f t="shared" si="2"/>
        <v>24</v>
      </c>
      <c r="K32" s="23">
        <f t="shared" si="2"/>
        <v>25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301"/>
      <c r="F33" s="301"/>
      <c r="G33" s="301"/>
      <c r="H33" s="301"/>
      <c r="I33" s="301"/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301"/>
      <c r="F34" s="301"/>
      <c r="G34" s="302" t="s">
        <v>1124</v>
      </c>
      <c r="H34" s="302" t="s">
        <v>1122</v>
      </c>
      <c r="I34" s="301"/>
      <c r="J34" s="301"/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301"/>
      <c r="F38" s="1562" t="s">
        <v>1102</v>
      </c>
      <c r="G38" s="1545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02" t="s">
        <v>317</v>
      </c>
      <c r="C40" s="125" t="s">
        <v>228</v>
      </c>
      <c r="D40" s="13"/>
      <c r="E40" s="301"/>
      <c r="F40" s="125" t="s">
        <v>1174</v>
      </c>
      <c r="G40" s="301" t="s">
        <v>1103</v>
      </c>
      <c r="H40" s="301" t="s">
        <v>1103</v>
      </c>
      <c r="I40" s="301" t="s">
        <v>1104</v>
      </c>
      <c r="J40" s="301" t="s">
        <v>1104</v>
      </c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26</v>
      </c>
      <c r="F41" s="27">
        <f>E41+1</f>
        <v>27</v>
      </c>
      <c r="G41" s="27">
        <f>F41+1</f>
        <v>28</v>
      </c>
      <c r="H41" s="27">
        <f>G41+1</f>
        <v>29</v>
      </c>
      <c r="I41" s="27">
        <f>H41+1</f>
        <v>30</v>
      </c>
      <c r="J41" s="27">
        <f>I41+1</f>
        <v>31</v>
      </c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303"/>
      <c r="F42" s="303"/>
      <c r="G42" s="303"/>
      <c r="H42" s="303"/>
      <c r="I42" s="303"/>
      <c r="J42" s="303"/>
      <c r="K42" s="303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303"/>
      <c r="F43" s="303"/>
      <c r="G43" s="303"/>
      <c r="H43" s="302" t="s">
        <v>1125</v>
      </c>
      <c r="I43" s="303"/>
      <c r="J43" s="303"/>
      <c r="K43" s="303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303"/>
      <c r="F44" s="303"/>
      <c r="G44" s="303"/>
      <c r="H44" s="303"/>
      <c r="I44" s="303"/>
      <c r="J44" s="303"/>
      <c r="K44" s="303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303"/>
      <c r="F45" s="303"/>
      <c r="G45" s="303"/>
      <c r="H45" s="303"/>
      <c r="I45" s="303"/>
      <c r="J45" s="303"/>
      <c r="K45" s="303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303"/>
      <c r="F46" s="303"/>
      <c r="G46" s="303"/>
      <c r="H46" s="303"/>
      <c r="I46" s="303"/>
      <c r="J46" s="303"/>
      <c r="K46" s="303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303"/>
      <c r="F47" s="303"/>
      <c r="G47" s="303"/>
      <c r="H47" s="303"/>
      <c r="I47" s="303"/>
      <c r="J47" s="303"/>
      <c r="K47" s="303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303"/>
      <c r="F48" s="303"/>
      <c r="G48" s="303"/>
      <c r="H48" s="303"/>
      <c r="I48" s="303"/>
      <c r="J48" s="303"/>
      <c r="K48" s="303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02" t="s">
        <v>317</v>
      </c>
      <c r="C49" s="125" t="s">
        <v>228</v>
      </c>
      <c r="D49" s="13"/>
      <c r="E49" s="303"/>
      <c r="F49" s="303" t="s">
        <v>1105</v>
      </c>
      <c r="G49" s="303" t="s">
        <v>1105</v>
      </c>
      <c r="H49" s="303"/>
      <c r="I49" s="303" t="s">
        <v>1106</v>
      </c>
      <c r="J49" s="303" t="s">
        <v>1106</v>
      </c>
      <c r="K49" s="303"/>
      <c r="L49" s="84"/>
      <c r="M49" s="84"/>
      <c r="N49" s="84"/>
      <c r="O49" s="84"/>
      <c r="P49" s="84"/>
      <c r="Q49" s="84"/>
      <c r="R49" s="84"/>
      <c r="S49" s="84"/>
    </row>
    <row r="52" spans="1:19">
      <c r="I52" s="90"/>
      <c r="J52" s="90"/>
    </row>
    <row r="53" spans="1:19">
      <c r="H53" s="90"/>
    </row>
    <row r="54" spans="1:19">
      <c r="H54" s="90"/>
    </row>
    <row r="55" spans="1:19" s="4" customFormat="1">
      <c r="H55" s="90"/>
    </row>
    <row r="56" spans="1:19" s="4" customFormat="1">
      <c r="H56" s="90"/>
    </row>
    <row r="57" spans="1:19" s="4" customFormat="1">
      <c r="H57" s="90"/>
    </row>
    <row r="58" spans="1:19" s="4" customFormat="1">
      <c r="H58" s="90"/>
    </row>
  </sheetData>
  <mergeCells count="15">
    <mergeCell ref="B42:B45"/>
    <mergeCell ref="B46:B48"/>
    <mergeCell ref="B37:B39"/>
    <mergeCell ref="M23:O23"/>
    <mergeCell ref="B24:B27"/>
    <mergeCell ref="B28:B30"/>
    <mergeCell ref="B33:B36"/>
    <mergeCell ref="F38:G38"/>
    <mergeCell ref="B19:B21"/>
    <mergeCell ref="E3:G3"/>
    <mergeCell ref="H3:K3"/>
    <mergeCell ref="B6:B9"/>
    <mergeCell ref="B10:B12"/>
    <mergeCell ref="B15:B18"/>
    <mergeCell ref="F20:G20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8">
    <pageSetUpPr fitToPage="1"/>
  </sheetPr>
  <dimension ref="A1:S58"/>
  <sheetViews>
    <sheetView topLeftCell="A25" zoomScale="55" zoomScaleNormal="55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9" width="6.6640625" style="4" customWidth="1"/>
    <col min="20" max="20" width="6.6640625" style="84" customWidth="1"/>
    <col min="21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44044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/>
      <c r="J5" s="60"/>
      <c r="K5" s="60">
        <v>1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275" t="s">
        <v>317</v>
      </c>
      <c r="C13" s="125" t="s">
        <v>228</v>
      </c>
      <c r="D13" s="13"/>
      <c r="E13" s="14"/>
      <c r="F13" s="274"/>
      <c r="G13" s="274"/>
      <c r="H13" s="14"/>
      <c r="I13" s="142"/>
      <c r="J13" s="274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2</v>
      </c>
      <c r="F14" s="65">
        <f t="shared" ref="F14:K14" si="0">E14+1</f>
        <v>3</v>
      </c>
      <c r="G14" s="65">
        <f t="shared" si="0"/>
        <v>4</v>
      </c>
      <c r="H14" s="65">
        <f t="shared" si="0"/>
        <v>5</v>
      </c>
      <c r="I14" s="65">
        <f t="shared" si="0"/>
        <v>6</v>
      </c>
      <c r="J14" s="65">
        <f t="shared" si="0"/>
        <v>7</v>
      </c>
      <c r="K14" s="23">
        <f t="shared" si="0"/>
        <v>8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80" t="s">
        <v>1241</v>
      </c>
      <c r="H15" s="24"/>
      <c r="I15" s="280" t="s">
        <v>1242</v>
      </c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24"/>
      <c r="I18" s="281" t="s">
        <v>1179</v>
      </c>
      <c r="J18" s="281" t="s">
        <v>1181</v>
      </c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24"/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24"/>
      <c r="G21" s="24"/>
      <c r="H21" s="24"/>
      <c r="I21" s="24"/>
      <c r="J21" s="24"/>
      <c r="K21" s="24"/>
    </row>
    <row r="22" spans="1:19" ht="24.6" customHeight="1">
      <c r="A22" s="84"/>
      <c r="B22" s="275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9</v>
      </c>
      <c r="F23" s="27">
        <f t="shared" ref="F23:K23" si="1">E23+1</f>
        <v>10</v>
      </c>
      <c r="G23" s="27">
        <f t="shared" si="1"/>
        <v>11</v>
      </c>
      <c r="H23" s="27">
        <f t="shared" si="1"/>
        <v>12</v>
      </c>
      <c r="I23" s="27">
        <f t="shared" si="1"/>
        <v>13</v>
      </c>
      <c r="J23" s="27">
        <f t="shared" si="1"/>
        <v>14</v>
      </c>
      <c r="K23" s="52">
        <f t="shared" si="1"/>
        <v>15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280" t="s">
        <v>1192</v>
      </c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281" t="s">
        <v>1182</v>
      </c>
      <c r="G27" s="281" t="s">
        <v>1180</v>
      </c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56" t="s">
        <v>1183</v>
      </c>
      <c r="G28" s="1557"/>
      <c r="H28" s="14"/>
      <c r="I28" s="1556" t="s">
        <v>1190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302" t="s">
        <v>1191</v>
      </c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4"/>
      <c r="G30" s="14"/>
      <c r="H30" s="162" t="s">
        <v>1184</v>
      </c>
      <c r="I30" s="305" t="s">
        <v>1184</v>
      </c>
      <c r="J30" s="305" t="s">
        <v>1184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75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16</v>
      </c>
      <c r="F32" s="37">
        <f t="shared" ref="F32:K32" si="2">E32+1</f>
        <v>17</v>
      </c>
      <c r="G32" s="37">
        <f t="shared" si="2"/>
        <v>18</v>
      </c>
      <c r="H32" s="37">
        <f t="shared" si="2"/>
        <v>19</v>
      </c>
      <c r="I32" s="37">
        <f t="shared" si="2"/>
        <v>20</v>
      </c>
      <c r="J32" s="37">
        <f t="shared" si="2"/>
        <v>21</v>
      </c>
      <c r="K32" s="23">
        <f t="shared" si="2"/>
        <v>22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80" t="s">
        <v>1193</v>
      </c>
      <c r="H33" s="280" t="s">
        <v>1194</v>
      </c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81" t="s">
        <v>1192</v>
      </c>
      <c r="G36" s="281" t="s">
        <v>1192</v>
      </c>
      <c r="H36" s="24"/>
      <c r="I36" s="281" t="s">
        <v>1193</v>
      </c>
      <c r="J36" s="281" t="s">
        <v>1193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53"/>
      <c r="F37" s="1570" t="s">
        <v>1195</v>
      </c>
      <c r="G37" s="1571"/>
      <c r="H37" s="254"/>
      <c r="I37" s="1556" t="s">
        <v>1202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24"/>
      <c r="G38" s="24"/>
      <c r="H38" s="250" t="s">
        <v>1188</v>
      </c>
      <c r="I38" s="1522" t="s">
        <v>1198</v>
      </c>
      <c r="J38" s="1545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305" t="s">
        <v>1184</v>
      </c>
      <c r="G39" s="305" t="s">
        <v>1185</v>
      </c>
      <c r="H39" s="305" t="s">
        <v>1185</v>
      </c>
      <c r="I39" s="305" t="s">
        <v>1185</v>
      </c>
      <c r="J39" s="305" t="s">
        <v>1185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75" t="s">
        <v>317</v>
      </c>
      <c r="C40" s="125" t="s">
        <v>228</v>
      </c>
      <c r="D40" s="13"/>
      <c r="E40" s="24"/>
      <c r="F40" s="301"/>
      <c r="G40" s="24"/>
      <c r="H40" s="250" t="s">
        <v>1188</v>
      </c>
      <c r="I40" s="24"/>
      <c r="J40" s="31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23</v>
      </c>
      <c r="F41" s="27">
        <f t="shared" ref="F41:K41" si="3">E41+1</f>
        <v>24</v>
      </c>
      <c r="G41" s="27">
        <f t="shared" si="3"/>
        <v>25</v>
      </c>
      <c r="H41" s="27">
        <f t="shared" si="3"/>
        <v>26</v>
      </c>
      <c r="I41" s="27">
        <f t="shared" si="3"/>
        <v>27</v>
      </c>
      <c r="J41" s="27">
        <f t="shared" si="3"/>
        <v>28</v>
      </c>
      <c r="K41" s="52">
        <f t="shared" si="3"/>
        <v>29</v>
      </c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280" t="s">
        <v>1243</v>
      </c>
      <c r="H42" s="317" t="s">
        <v>1286</v>
      </c>
      <c r="I42" s="280" t="s">
        <v>1244</v>
      </c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290" t="s">
        <v>1201</v>
      </c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281" t="s">
        <v>1194</v>
      </c>
      <c r="G45" s="281" t="s">
        <v>1194</v>
      </c>
      <c r="H45" s="14"/>
      <c r="I45" s="281" t="s">
        <v>1197</v>
      </c>
      <c r="J45" s="281" t="s">
        <v>1197</v>
      </c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556" t="s">
        <v>1199</v>
      </c>
      <c r="G46" s="1557"/>
      <c r="H46" s="14"/>
      <c r="I46" s="1556" t="s">
        <v>1200</v>
      </c>
      <c r="J46" s="1557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315" t="s">
        <v>1186</v>
      </c>
      <c r="G47" s="316" t="s">
        <v>1187</v>
      </c>
      <c r="H47" s="160" t="s">
        <v>1189</v>
      </c>
      <c r="I47" s="1522" t="s">
        <v>1217</v>
      </c>
      <c r="J47" s="1545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305" t="s">
        <v>1185</v>
      </c>
      <c r="G48" s="305" t="s">
        <v>1185</v>
      </c>
      <c r="H48" s="305" t="s">
        <v>1206</v>
      </c>
      <c r="I48" s="305" t="s">
        <v>1205</v>
      </c>
      <c r="J48" s="305" t="s">
        <v>1205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75" t="s">
        <v>317</v>
      </c>
      <c r="C49" s="125" t="s">
        <v>228</v>
      </c>
      <c r="D49" s="13"/>
      <c r="E49" s="14"/>
      <c r="F49" s="14"/>
      <c r="G49" s="14"/>
      <c r="H49" s="160" t="s">
        <v>193</v>
      </c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19.149999999999999">
      <c r="B50" s="84"/>
      <c r="C50" s="5"/>
      <c r="D50" s="5"/>
      <c r="E50" s="23">
        <f>K41+1</f>
        <v>30</v>
      </c>
      <c r="F50" s="37">
        <f>E50+1</f>
        <v>31</v>
      </c>
      <c r="G50" s="37"/>
      <c r="H50" s="37"/>
      <c r="I50" s="37"/>
      <c r="J50" s="37"/>
      <c r="K50" s="23"/>
    </row>
    <row r="51" spans="1:19" ht="23.25" customHeight="1">
      <c r="B51" s="1467" t="s">
        <v>286</v>
      </c>
      <c r="C51" s="12" t="s">
        <v>9</v>
      </c>
      <c r="D51" s="13"/>
      <c r="E51" s="24"/>
      <c r="F51" s="226"/>
      <c r="G51" s="226"/>
      <c r="H51" s="24"/>
      <c r="I51" s="24"/>
      <c r="J51" s="24"/>
      <c r="K51" s="24"/>
    </row>
    <row r="52" spans="1:19" ht="23.25" customHeight="1">
      <c r="B52" s="1467"/>
      <c r="C52" s="124" t="s">
        <v>7</v>
      </c>
      <c r="D52" s="13"/>
      <c r="E52" s="24"/>
      <c r="F52" s="226"/>
      <c r="G52" s="226"/>
      <c r="H52" s="24"/>
      <c r="I52" s="24"/>
      <c r="J52" s="24"/>
      <c r="K52" s="24"/>
    </row>
    <row r="53" spans="1:19" ht="23.25" customHeight="1">
      <c r="B53" s="1467"/>
      <c r="C53" s="163" t="s">
        <v>389</v>
      </c>
      <c r="D53" s="13"/>
      <c r="E53" s="24"/>
      <c r="F53" s="226"/>
      <c r="G53" s="226"/>
      <c r="H53" s="24"/>
      <c r="I53" s="24"/>
      <c r="J53" s="24"/>
      <c r="K53" s="24"/>
    </row>
    <row r="54" spans="1:19" ht="23.25" customHeight="1">
      <c r="B54" s="1467"/>
      <c r="C54" s="162" t="s">
        <v>316</v>
      </c>
      <c r="D54" s="13"/>
      <c r="E54" s="24"/>
      <c r="F54" s="281" t="s">
        <v>1196</v>
      </c>
      <c r="G54" s="226"/>
      <c r="H54" s="24"/>
      <c r="I54" s="24"/>
      <c r="J54" s="24"/>
      <c r="K54" s="24"/>
    </row>
    <row r="55" spans="1:19" s="4" customFormat="1" ht="23.25" customHeight="1">
      <c r="B55" s="1467" t="s">
        <v>287</v>
      </c>
      <c r="C55" s="12" t="s">
        <v>9</v>
      </c>
      <c r="D55" s="13"/>
      <c r="E55" s="24"/>
      <c r="F55" s="279" t="s">
        <v>1215</v>
      </c>
      <c r="G55" s="226"/>
      <c r="H55" s="24"/>
      <c r="I55" s="24"/>
      <c r="J55" s="24"/>
      <c r="K55" s="24"/>
    </row>
    <row r="56" spans="1:19" s="4" customFormat="1" ht="23.25" customHeight="1">
      <c r="B56" s="1467"/>
      <c r="C56" s="124" t="s">
        <v>292</v>
      </c>
      <c r="D56" s="13"/>
      <c r="E56" s="24"/>
      <c r="F56" s="1522" t="s">
        <v>1218</v>
      </c>
      <c r="G56" s="1545"/>
      <c r="H56" s="24"/>
      <c r="I56" s="24"/>
      <c r="J56" s="24"/>
      <c r="K56" s="24"/>
    </row>
    <row r="57" spans="1:19" s="4" customFormat="1" ht="23.25" customHeight="1">
      <c r="B57" s="1467"/>
      <c r="C57" s="162" t="s">
        <v>316</v>
      </c>
      <c r="D57" s="13"/>
      <c r="E57" s="24"/>
      <c r="F57" s="305" t="s">
        <v>1205</v>
      </c>
      <c r="G57" s="226"/>
      <c r="H57" s="24"/>
      <c r="I57" s="24"/>
      <c r="J57" s="24"/>
      <c r="K57" s="24"/>
    </row>
    <row r="58" spans="1:19" s="4" customFormat="1" ht="23.25" customHeight="1">
      <c r="B58" s="275" t="s">
        <v>317</v>
      </c>
      <c r="C58" s="125" t="s">
        <v>228</v>
      </c>
      <c r="D58" s="13"/>
      <c r="E58" s="34"/>
      <c r="F58" s="228"/>
      <c r="G58" s="228"/>
      <c r="H58" s="34"/>
      <c r="I58" s="34"/>
      <c r="J58" s="34"/>
      <c r="K58" s="34"/>
    </row>
  </sheetData>
  <mergeCells count="24">
    <mergeCell ref="B46:B48"/>
    <mergeCell ref="F46:G46"/>
    <mergeCell ref="I46:J46"/>
    <mergeCell ref="B51:B54"/>
    <mergeCell ref="B55:B57"/>
    <mergeCell ref="I47:J47"/>
    <mergeCell ref="F56:G56"/>
    <mergeCell ref="M23:O23"/>
    <mergeCell ref="B24:B27"/>
    <mergeCell ref="B28:B30"/>
    <mergeCell ref="B33:B36"/>
    <mergeCell ref="B37:B39"/>
    <mergeCell ref="B42:B45"/>
    <mergeCell ref="F28:G28"/>
    <mergeCell ref="I28:J28"/>
    <mergeCell ref="F37:G37"/>
    <mergeCell ref="I37:J37"/>
    <mergeCell ref="I38:J38"/>
    <mergeCell ref="B19:B21"/>
    <mergeCell ref="E3:G3"/>
    <mergeCell ref="H3:K3"/>
    <mergeCell ref="B6:B9"/>
    <mergeCell ref="B10:B12"/>
    <mergeCell ref="B15:B18"/>
  </mergeCells>
  <phoneticPr fontId="6" type="noConversion"/>
  <pageMargins left="0.7" right="0.7" top="0.75" bottom="0.75" header="0.3" footer="0.3"/>
  <pageSetup paperSize="9" scale="35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S58"/>
  <sheetViews>
    <sheetView topLeftCell="B20" zoomScale="85" zoomScaleNormal="85" workbookViewId="0">
      <selection activeCell="I40" sqref="I4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44044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/>
      <c r="J5" s="60"/>
      <c r="K5" s="60">
        <v>1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202" t="s">
        <v>317</v>
      </c>
      <c r="C13" s="125" t="s">
        <v>228</v>
      </c>
      <c r="D13" s="13"/>
      <c r="E13" s="14"/>
      <c r="F13" s="201"/>
      <c r="G13" s="201"/>
      <c r="H13" s="14"/>
      <c r="I13" s="142"/>
      <c r="J13" s="201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2</v>
      </c>
      <c r="F14" s="65">
        <f t="shared" ref="F14:K14" si="0">E14+1</f>
        <v>3</v>
      </c>
      <c r="G14" s="65">
        <f t="shared" si="0"/>
        <v>4</v>
      </c>
      <c r="H14" s="65">
        <f t="shared" si="0"/>
        <v>5</v>
      </c>
      <c r="I14" s="65">
        <f t="shared" si="0"/>
        <v>6</v>
      </c>
      <c r="J14" s="65">
        <f t="shared" si="0"/>
        <v>7</v>
      </c>
      <c r="K14" s="23">
        <f t="shared" si="0"/>
        <v>8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12" t="s">
        <v>759</v>
      </c>
      <c r="G15" s="12" t="s">
        <v>760</v>
      </c>
      <c r="H15" s="12" t="s">
        <v>761</v>
      </c>
      <c r="I15" s="12" t="s">
        <v>762</v>
      </c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162" t="s">
        <v>725</v>
      </c>
      <c r="I18" s="162" t="s">
        <v>725</v>
      </c>
      <c r="J18" s="162" t="s">
        <v>726</v>
      </c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09" t="s">
        <v>917</v>
      </c>
      <c r="G20" s="24"/>
      <c r="H20" s="24"/>
      <c r="I20" s="24"/>
      <c r="J20" s="209" t="s">
        <v>918</v>
      </c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162" t="s">
        <v>879</v>
      </c>
      <c r="G21" s="162" t="s">
        <v>880</v>
      </c>
      <c r="H21" s="162" t="s">
        <v>880</v>
      </c>
      <c r="I21" s="162" t="s">
        <v>880</v>
      </c>
      <c r="J21" s="162" t="s">
        <v>880</v>
      </c>
      <c r="K21" s="24"/>
    </row>
    <row r="22" spans="1:19" ht="24.6" customHeight="1">
      <c r="A22" s="84"/>
      <c r="B22" s="202" t="s">
        <v>317</v>
      </c>
      <c r="C22" s="125" t="s">
        <v>228</v>
      </c>
      <c r="D22" s="13"/>
      <c r="E22" s="24"/>
      <c r="F22" s="224" t="s">
        <v>718</v>
      </c>
      <c r="G22" s="224" t="s">
        <v>718</v>
      </c>
      <c r="H22" s="224" t="s">
        <v>718</v>
      </c>
      <c r="I22" s="224" t="s">
        <v>718</v>
      </c>
      <c r="J22" s="224" t="s">
        <v>718</v>
      </c>
      <c r="K22" s="24"/>
    </row>
    <row r="23" spans="1:19" ht="24.6" customHeight="1">
      <c r="A23" s="84"/>
      <c r="B23" s="84"/>
      <c r="C23" s="5"/>
      <c r="D23" s="5"/>
      <c r="E23" s="26">
        <f>K14+1</f>
        <v>9</v>
      </c>
      <c r="F23" s="27">
        <f t="shared" ref="F23:K23" si="1">E23+1</f>
        <v>10</v>
      </c>
      <c r="G23" s="27">
        <f t="shared" si="1"/>
        <v>11</v>
      </c>
      <c r="H23" s="27">
        <f t="shared" si="1"/>
        <v>12</v>
      </c>
      <c r="I23" s="27">
        <f t="shared" si="1"/>
        <v>13</v>
      </c>
      <c r="J23" s="27">
        <f t="shared" si="1"/>
        <v>14</v>
      </c>
      <c r="K23" s="52">
        <f t="shared" si="1"/>
        <v>15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67" t="s">
        <v>763</v>
      </c>
      <c r="G24" s="167" t="s">
        <v>764</v>
      </c>
      <c r="H24" s="167" t="s">
        <v>765</v>
      </c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222" t="s">
        <v>766</v>
      </c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62" t="s">
        <v>727</v>
      </c>
      <c r="G27" s="162" t="s">
        <v>727</v>
      </c>
      <c r="H27" s="162" t="s">
        <v>728</v>
      </c>
      <c r="I27" s="162" t="s">
        <v>729</v>
      </c>
      <c r="J27" s="162" t="s">
        <v>729</v>
      </c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209" t="s">
        <v>918</v>
      </c>
      <c r="G29" s="14"/>
      <c r="H29" s="14"/>
      <c r="I29" s="14"/>
      <c r="J29" s="209" t="s">
        <v>919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62" t="s">
        <v>881</v>
      </c>
      <c r="G30" s="162" t="s">
        <v>882</v>
      </c>
      <c r="H30" s="162" t="s">
        <v>883</v>
      </c>
      <c r="I30" s="162" t="s">
        <v>883</v>
      </c>
      <c r="J30" s="162" t="s">
        <v>716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02" t="s">
        <v>317</v>
      </c>
      <c r="C31" s="125" t="s">
        <v>228</v>
      </c>
      <c r="D31" s="13"/>
      <c r="E31" s="14"/>
      <c r="F31" s="219" t="s">
        <v>719</v>
      </c>
      <c r="G31" s="219" t="s">
        <v>719</v>
      </c>
      <c r="H31" s="219" t="s">
        <v>719</v>
      </c>
      <c r="I31" s="219" t="s">
        <v>719</v>
      </c>
      <c r="J31" s="219" t="s">
        <v>719</v>
      </c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16</v>
      </c>
      <c r="F32" s="37">
        <f t="shared" ref="F32:K32" si="2">E32+1</f>
        <v>17</v>
      </c>
      <c r="G32" s="37">
        <f t="shared" si="2"/>
        <v>18</v>
      </c>
      <c r="H32" s="37">
        <f t="shared" si="2"/>
        <v>19</v>
      </c>
      <c r="I32" s="37">
        <f t="shared" si="2"/>
        <v>20</v>
      </c>
      <c r="J32" s="37">
        <f t="shared" si="2"/>
        <v>21</v>
      </c>
      <c r="K32" s="23">
        <f t="shared" si="2"/>
        <v>22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167" t="s">
        <v>767</v>
      </c>
      <c r="G33" s="167" t="s">
        <v>768</v>
      </c>
      <c r="H33" s="167" t="s">
        <v>769</v>
      </c>
      <c r="I33" s="167" t="s">
        <v>770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162" t="s">
        <v>730</v>
      </c>
      <c r="G36" s="162" t="s">
        <v>731</v>
      </c>
      <c r="H36" s="162" t="s">
        <v>731</v>
      </c>
      <c r="I36" s="162" t="s">
        <v>732</v>
      </c>
      <c r="J36" s="162" t="s">
        <v>723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209" t="s">
        <v>919</v>
      </c>
      <c r="G38" s="24"/>
      <c r="H38" s="24"/>
      <c r="I38" s="24"/>
      <c r="J38" s="209" t="s">
        <v>920</v>
      </c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162" t="s">
        <v>717</v>
      </c>
      <c r="G39" s="162" t="s">
        <v>884</v>
      </c>
      <c r="H39" s="162" t="s">
        <v>884</v>
      </c>
      <c r="I39" s="162" t="s">
        <v>884</v>
      </c>
      <c r="J39" s="162" t="s">
        <v>884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02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23</v>
      </c>
      <c r="F41" s="27">
        <f t="shared" ref="F41:K41" si="3">E41+1</f>
        <v>24</v>
      </c>
      <c r="G41" s="27">
        <f t="shared" si="3"/>
        <v>25</v>
      </c>
      <c r="H41" s="27">
        <f t="shared" si="3"/>
        <v>26</v>
      </c>
      <c r="I41" s="27">
        <f t="shared" si="3"/>
        <v>27</v>
      </c>
      <c r="J41" s="27">
        <f t="shared" si="3"/>
        <v>28</v>
      </c>
      <c r="K41" s="52">
        <f t="shared" si="3"/>
        <v>29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67" t="s">
        <v>771</v>
      </c>
      <c r="G42" s="167" t="s">
        <v>772</v>
      </c>
      <c r="H42" s="167" t="s">
        <v>773</v>
      </c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62" t="s">
        <v>723</v>
      </c>
      <c r="G45" s="162" t="s">
        <v>733</v>
      </c>
      <c r="H45" s="162" t="s">
        <v>724</v>
      </c>
      <c r="I45" s="162" t="s">
        <v>724</v>
      </c>
      <c r="J45" s="162" t="s">
        <v>734</v>
      </c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506" t="s">
        <v>709</v>
      </c>
      <c r="G46" s="1507"/>
      <c r="H46" s="14"/>
      <c r="I46" s="1506" t="s">
        <v>720</v>
      </c>
      <c r="J46" s="1507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4"/>
      <c r="G47" s="14"/>
      <c r="H47" s="209" t="s">
        <v>920</v>
      </c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62" t="s">
        <v>780</v>
      </c>
      <c r="G48" s="14"/>
      <c r="H48" s="162" t="s">
        <v>735</v>
      </c>
      <c r="I48" s="162" t="s">
        <v>735</v>
      </c>
      <c r="J48" s="162" t="s">
        <v>735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02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19.149999999999999">
      <c r="B50" s="84"/>
      <c r="C50" s="5"/>
      <c r="D50" s="5"/>
      <c r="E50" s="23">
        <f>K41+1</f>
        <v>30</v>
      </c>
      <c r="F50" s="37">
        <f>E50+1</f>
        <v>31</v>
      </c>
      <c r="G50" s="37"/>
      <c r="H50" s="37"/>
      <c r="I50" s="37"/>
      <c r="J50" s="37"/>
      <c r="K50" s="23"/>
    </row>
    <row r="51" spans="1:19" ht="19.149999999999999">
      <c r="B51" s="1467" t="s">
        <v>286</v>
      </c>
      <c r="C51" s="12" t="s">
        <v>9</v>
      </c>
      <c r="D51" s="13"/>
      <c r="E51" s="24"/>
      <c r="F51" s="225" t="s">
        <v>777</v>
      </c>
      <c r="G51" s="226"/>
      <c r="H51" s="24"/>
      <c r="I51" s="24"/>
      <c r="J51" s="24"/>
      <c r="K51" s="24"/>
    </row>
    <row r="52" spans="1:19" ht="19.149999999999999">
      <c r="B52" s="1467"/>
      <c r="C52" s="124" t="s">
        <v>7</v>
      </c>
      <c r="D52" s="13"/>
      <c r="E52" s="24"/>
      <c r="F52" s="226"/>
      <c r="G52" s="226"/>
      <c r="H52" s="24"/>
      <c r="I52" s="24"/>
      <c r="J52" s="24"/>
      <c r="K52" s="24"/>
    </row>
    <row r="53" spans="1:19" ht="19.149999999999999">
      <c r="B53" s="1467"/>
      <c r="C53" s="163" t="s">
        <v>389</v>
      </c>
      <c r="D53" s="13"/>
      <c r="E53" s="24"/>
      <c r="F53" s="226"/>
      <c r="G53" s="226"/>
      <c r="H53" s="24"/>
      <c r="I53" s="24"/>
      <c r="J53" s="24"/>
      <c r="K53" s="24"/>
    </row>
    <row r="54" spans="1:19" ht="19.149999999999999">
      <c r="B54" s="1467"/>
      <c r="C54" s="162" t="s">
        <v>316</v>
      </c>
      <c r="D54" s="13"/>
      <c r="E54" s="24"/>
      <c r="F54" s="227" t="s">
        <v>774</v>
      </c>
      <c r="G54" s="226"/>
      <c r="H54" s="24"/>
      <c r="I54" s="24"/>
      <c r="J54" s="24"/>
      <c r="K54" s="24"/>
    </row>
    <row r="55" spans="1:19" s="4" customFormat="1" ht="19.149999999999999">
      <c r="B55" s="1467" t="s">
        <v>287</v>
      </c>
      <c r="C55" s="12" t="s">
        <v>9</v>
      </c>
      <c r="D55" s="13"/>
      <c r="E55" s="24"/>
      <c r="F55" s="1572" t="s">
        <v>775</v>
      </c>
      <c r="G55" s="1573"/>
      <c r="H55" s="24"/>
      <c r="I55" s="24"/>
      <c r="J55" s="24"/>
      <c r="K55" s="24"/>
    </row>
    <row r="56" spans="1:19" s="4" customFormat="1" ht="19.149999999999999">
      <c r="B56" s="1467"/>
      <c r="C56" s="124" t="s">
        <v>292</v>
      </c>
      <c r="D56" s="13"/>
      <c r="E56" s="24"/>
      <c r="F56" s="226"/>
      <c r="G56" s="226"/>
      <c r="H56" s="24"/>
      <c r="I56" s="24"/>
      <c r="J56" s="24"/>
      <c r="K56" s="24"/>
    </row>
    <row r="57" spans="1:19" s="4" customFormat="1" ht="19.149999999999999">
      <c r="B57" s="1467"/>
      <c r="C57" s="162" t="s">
        <v>316</v>
      </c>
      <c r="D57" s="13"/>
      <c r="E57" s="24"/>
      <c r="F57" s="227" t="s">
        <v>776</v>
      </c>
      <c r="G57" s="226"/>
      <c r="H57" s="24"/>
      <c r="I57" s="24"/>
      <c r="J57" s="24"/>
      <c r="K57" s="24"/>
    </row>
    <row r="58" spans="1:19" s="4" customFormat="1" ht="19.149999999999999">
      <c r="B58" s="202" t="s">
        <v>317</v>
      </c>
      <c r="C58" s="125" t="s">
        <v>228</v>
      </c>
      <c r="D58" s="13"/>
      <c r="E58" s="34"/>
      <c r="F58" s="228"/>
      <c r="G58" s="228"/>
      <c r="H58" s="34"/>
      <c r="I58" s="34"/>
      <c r="J58" s="34"/>
      <c r="K58" s="34"/>
    </row>
  </sheetData>
  <mergeCells count="18">
    <mergeCell ref="B46:B48"/>
    <mergeCell ref="B51:B54"/>
    <mergeCell ref="B55:B57"/>
    <mergeCell ref="M23:O23"/>
    <mergeCell ref="B24:B27"/>
    <mergeCell ref="B28:B30"/>
    <mergeCell ref="B33:B36"/>
    <mergeCell ref="B37:B39"/>
    <mergeCell ref="B42:B45"/>
    <mergeCell ref="F55:G55"/>
    <mergeCell ref="F46:G46"/>
    <mergeCell ref="I46:J46"/>
    <mergeCell ref="B19:B21"/>
    <mergeCell ref="E3:G3"/>
    <mergeCell ref="H3:K3"/>
    <mergeCell ref="B6:B9"/>
    <mergeCell ref="B10:B12"/>
    <mergeCell ref="B15:B18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0">
    <pageSetUpPr fitToPage="1"/>
  </sheetPr>
  <dimension ref="A1:S49"/>
  <sheetViews>
    <sheetView zoomScale="70" zoomScaleNormal="70" workbookViewId="0">
      <selection activeCell="F50" sqref="F50:J50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20" width="6.6640625" style="84" customWidth="1"/>
    <col min="21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44075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>
        <v>1</v>
      </c>
      <c r="H5" s="60">
        <f>G5+1</f>
        <v>2</v>
      </c>
      <c r="I5" s="60">
        <f>H5+1</f>
        <v>3</v>
      </c>
      <c r="J5" s="60">
        <f>I5+1</f>
        <v>4</v>
      </c>
      <c r="K5" s="60">
        <f>J5+1</f>
        <v>5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60"/>
      <c r="F6" s="160"/>
      <c r="G6" s="318" t="s">
        <v>1245</v>
      </c>
      <c r="H6" s="318" t="s">
        <v>1219</v>
      </c>
      <c r="I6" s="160"/>
      <c r="J6" s="160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60"/>
      <c r="F7" s="160"/>
      <c r="G7" s="160"/>
      <c r="H7" s="160"/>
      <c r="I7" s="160"/>
      <c r="J7" s="302" t="s">
        <v>1179</v>
      </c>
      <c r="K7" s="14"/>
      <c r="L7" s="4"/>
      <c r="M7" s="4"/>
      <c r="N7" s="4"/>
      <c r="R7" s="11"/>
      <c r="S7" s="4"/>
    </row>
    <row r="8" spans="1:19" s="5" customFormat="1" ht="24.6" hidden="1" customHeight="1">
      <c r="B8" s="1467"/>
      <c r="C8" s="163" t="s">
        <v>389</v>
      </c>
      <c r="D8" s="13"/>
      <c r="E8" s="160"/>
      <c r="F8" s="160"/>
      <c r="G8" s="160"/>
      <c r="H8" s="160"/>
      <c r="I8" s="160"/>
      <c r="J8" s="160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60"/>
      <c r="F9" s="160"/>
      <c r="G9" s="160"/>
      <c r="H9" s="160"/>
      <c r="I9" s="160"/>
      <c r="J9" s="160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60"/>
      <c r="F10" s="160"/>
      <c r="G10" s="282" t="s">
        <v>1229</v>
      </c>
      <c r="H10" s="160"/>
      <c r="I10" s="1556" t="s">
        <v>1290</v>
      </c>
      <c r="J10" s="155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60"/>
      <c r="F11" s="160"/>
      <c r="G11" s="160"/>
      <c r="H11" s="302" t="s">
        <v>1228</v>
      </c>
      <c r="I11" s="1522" t="s">
        <v>1220</v>
      </c>
      <c r="J11" s="1545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60"/>
      <c r="F12" s="160"/>
      <c r="G12" s="177" t="s">
        <v>1207</v>
      </c>
      <c r="H12" s="177" t="s">
        <v>1208</v>
      </c>
      <c r="I12" s="177" t="s">
        <v>1208</v>
      </c>
      <c r="J12" s="177" t="s">
        <v>1208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02" t="s">
        <v>317</v>
      </c>
      <c r="C13" s="125" t="s">
        <v>228</v>
      </c>
      <c r="D13" s="13"/>
      <c r="E13" s="160"/>
      <c r="F13" s="160"/>
      <c r="G13" s="160" t="s">
        <v>1178</v>
      </c>
      <c r="H13" s="160"/>
      <c r="I13" s="160"/>
      <c r="J13" s="160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6</v>
      </c>
      <c r="F14" s="65">
        <f t="shared" ref="F14:K14" si="0">E14+1</f>
        <v>7</v>
      </c>
      <c r="G14" s="65">
        <f t="shared" si="0"/>
        <v>8</v>
      </c>
      <c r="H14" s="65">
        <f t="shared" si="0"/>
        <v>9</v>
      </c>
      <c r="I14" s="65">
        <f t="shared" si="0"/>
        <v>10</v>
      </c>
      <c r="J14" s="65">
        <f t="shared" si="0"/>
        <v>11</v>
      </c>
      <c r="K14" s="23">
        <f t="shared" si="0"/>
        <v>12</v>
      </c>
    </row>
    <row r="15" spans="1:19" ht="24.6" customHeight="1">
      <c r="A15" s="84"/>
      <c r="B15" s="1467" t="s">
        <v>286</v>
      </c>
      <c r="C15" s="12" t="s">
        <v>9</v>
      </c>
      <c r="D15" s="13"/>
      <c r="E15" s="250"/>
      <c r="F15" s="250"/>
      <c r="G15" s="318" t="s">
        <v>1246</v>
      </c>
      <c r="H15" s="318" t="s">
        <v>1247</v>
      </c>
      <c r="I15" s="250"/>
      <c r="J15" s="318" t="s">
        <v>1248</v>
      </c>
      <c r="K15" s="24"/>
    </row>
    <row r="16" spans="1:19" ht="24.6" customHeight="1">
      <c r="A16" s="84"/>
      <c r="B16" s="1467"/>
      <c r="C16" s="124" t="s">
        <v>7</v>
      </c>
      <c r="D16" s="13"/>
      <c r="E16" s="250"/>
      <c r="F16" s="250"/>
      <c r="G16" s="250"/>
      <c r="H16" s="302" t="s">
        <v>1180</v>
      </c>
      <c r="I16" s="250"/>
      <c r="J16" s="250"/>
      <c r="K16" s="24"/>
    </row>
    <row r="17" spans="1:19" ht="24.6" hidden="1" customHeight="1">
      <c r="A17" s="84"/>
      <c r="B17" s="1467"/>
      <c r="C17" s="163" t="s">
        <v>389</v>
      </c>
      <c r="D17" s="13"/>
      <c r="E17" s="250"/>
      <c r="F17" s="250"/>
      <c r="G17" s="250"/>
      <c r="H17" s="250"/>
      <c r="I17" s="250"/>
      <c r="J17" s="250"/>
      <c r="K17" s="24"/>
    </row>
    <row r="18" spans="1:19" ht="24.6" customHeight="1">
      <c r="A18" s="84"/>
      <c r="B18" s="1467"/>
      <c r="C18" s="162" t="s">
        <v>316</v>
      </c>
      <c r="D18" s="13"/>
      <c r="E18" s="250"/>
      <c r="F18" s="250"/>
      <c r="G18" s="250"/>
      <c r="H18" s="250"/>
      <c r="I18" s="250"/>
      <c r="J18" s="250"/>
      <c r="K18" s="301" t="s">
        <v>1230</v>
      </c>
    </row>
    <row r="19" spans="1:19" ht="24.6" customHeight="1">
      <c r="A19" s="84"/>
      <c r="B19" s="1467" t="s">
        <v>287</v>
      </c>
      <c r="C19" s="12" t="s">
        <v>9</v>
      </c>
      <c r="D19" s="13"/>
      <c r="E19" s="250"/>
      <c r="F19" s="1556" t="s">
        <v>1292</v>
      </c>
      <c r="G19" s="1557"/>
      <c r="H19" s="250"/>
      <c r="I19" s="1570" t="s">
        <v>1231</v>
      </c>
      <c r="J19" s="1571"/>
      <c r="K19" s="24"/>
    </row>
    <row r="20" spans="1:19" ht="24" customHeight="1">
      <c r="A20" s="84"/>
      <c r="B20" s="1467"/>
      <c r="C20" s="124" t="s">
        <v>292</v>
      </c>
      <c r="D20" s="13"/>
      <c r="E20" s="250"/>
      <c r="F20" s="1522" t="s">
        <v>1221</v>
      </c>
      <c r="G20" s="1545"/>
      <c r="H20" s="250"/>
      <c r="I20" s="1522" t="s">
        <v>1222</v>
      </c>
      <c r="J20" s="1545"/>
      <c r="K20" s="24"/>
    </row>
    <row r="21" spans="1:19" ht="24" customHeight="1">
      <c r="A21" s="84"/>
      <c r="B21" s="1467"/>
      <c r="C21" s="162" t="s">
        <v>316</v>
      </c>
      <c r="D21" s="13"/>
      <c r="E21" s="250"/>
      <c r="F21" s="177" t="s">
        <v>1209</v>
      </c>
      <c r="G21" s="177" t="s">
        <v>1210</v>
      </c>
      <c r="H21" s="177" t="s">
        <v>1210</v>
      </c>
      <c r="I21" s="177" t="s">
        <v>1210</v>
      </c>
      <c r="J21" s="177" t="s">
        <v>1211</v>
      </c>
      <c r="K21" s="24"/>
    </row>
    <row r="22" spans="1:19" ht="24.6" customHeight="1">
      <c r="A22" s="84"/>
      <c r="B22" s="202" t="s">
        <v>317</v>
      </c>
      <c r="C22" s="125" t="s">
        <v>228</v>
      </c>
      <c r="D22" s="13"/>
      <c r="E22" s="250"/>
      <c r="F22" s="250" t="s">
        <v>1216</v>
      </c>
      <c r="G22" s="250"/>
      <c r="H22" s="250"/>
      <c r="I22" s="250"/>
      <c r="J22" s="250"/>
      <c r="K22" s="24"/>
    </row>
    <row r="23" spans="1:19" ht="24.6" customHeight="1">
      <c r="A23" s="84"/>
      <c r="B23" s="84"/>
      <c r="C23" s="5"/>
      <c r="D23" s="5"/>
      <c r="E23" s="26">
        <f>K14+1</f>
        <v>13</v>
      </c>
      <c r="F23" s="27">
        <f t="shared" ref="F23:K23" si="1">E23+1</f>
        <v>14</v>
      </c>
      <c r="G23" s="27">
        <f t="shared" si="1"/>
        <v>15</v>
      </c>
      <c r="H23" s="27">
        <f t="shared" si="1"/>
        <v>16</v>
      </c>
      <c r="I23" s="27">
        <f t="shared" si="1"/>
        <v>17</v>
      </c>
      <c r="J23" s="27">
        <f t="shared" si="1"/>
        <v>18</v>
      </c>
      <c r="K23" s="52">
        <f t="shared" si="1"/>
        <v>19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60"/>
      <c r="F24" s="160"/>
      <c r="G24" s="318" t="s">
        <v>1249</v>
      </c>
      <c r="H24" s="318" t="s">
        <v>1238</v>
      </c>
      <c r="I24" s="160"/>
      <c r="J24" s="160"/>
      <c r="K24" s="14"/>
    </row>
    <row r="25" spans="1:19" ht="24.6" customHeight="1">
      <c r="A25" s="84"/>
      <c r="B25" s="1467"/>
      <c r="C25" s="124" t="s">
        <v>7</v>
      </c>
      <c r="D25" s="13"/>
      <c r="E25" s="160"/>
      <c r="F25" s="160"/>
      <c r="G25" s="160"/>
      <c r="H25" s="302" t="s">
        <v>1301</v>
      </c>
      <c r="I25" s="160"/>
      <c r="J25" s="302" t="s">
        <v>1300</v>
      </c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hidden="1" customHeight="1">
      <c r="A26" s="84"/>
      <c r="B26" s="1467"/>
      <c r="C26" s="163" t="s">
        <v>389</v>
      </c>
      <c r="D26" s="13"/>
      <c r="E26" s="160"/>
      <c r="F26" s="160"/>
      <c r="G26" s="160"/>
      <c r="H26" s="160"/>
      <c r="I26" s="160"/>
      <c r="J26" s="160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60"/>
      <c r="F27" s="160"/>
      <c r="G27" s="160"/>
      <c r="H27" s="160"/>
      <c r="I27" s="160"/>
      <c r="J27" s="160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60"/>
      <c r="F28" s="1556" t="s">
        <v>1294</v>
      </c>
      <c r="G28" s="1557"/>
      <c r="H28" s="160"/>
      <c r="I28" s="1556" t="s">
        <v>1308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60"/>
      <c r="F29" s="1522" t="s">
        <v>1223</v>
      </c>
      <c r="G29" s="1545"/>
      <c r="H29" s="160"/>
      <c r="I29" s="1522" t="s">
        <v>1224</v>
      </c>
      <c r="J29" s="1545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60"/>
      <c r="F30" s="177" t="s">
        <v>1232</v>
      </c>
      <c r="G30" s="177" t="s">
        <v>1232</v>
      </c>
      <c r="H30" s="177" t="s">
        <v>1232</v>
      </c>
      <c r="I30" s="177" t="s">
        <v>1233</v>
      </c>
      <c r="J30" s="177" t="s">
        <v>1234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02" t="s">
        <v>317</v>
      </c>
      <c r="C31" s="125" t="s">
        <v>228</v>
      </c>
      <c r="D31" s="13"/>
      <c r="E31" s="160"/>
      <c r="F31" s="160"/>
      <c r="G31" s="160"/>
      <c r="H31" s="160"/>
      <c r="I31" s="160"/>
      <c r="J31" s="160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20</v>
      </c>
      <c r="F32" s="37">
        <f t="shared" ref="F32:K32" si="2">E32+1</f>
        <v>21</v>
      </c>
      <c r="G32" s="37">
        <f t="shared" si="2"/>
        <v>22</v>
      </c>
      <c r="H32" s="37">
        <f t="shared" si="2"/>
        <v>23</v>
      </c>
      <c r="I32" s="37">
        <f t="shared" si="2"/>
        <v>24</v>
      </c>
      <c r="J32" s="37">
        <f t="shared" si="2"/>
        <v>25</v>
      </c>
      <c r="K32" s="23">
        <f t="shared" si="2"/>
        <v>26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50"/>
      <c r="F33" s="250"/>
      <c r="G33" s="250"/>
      <c r="H33" s="250" t="s">
        <v>596</v>
      </c>
      <c r="I33" s="318" t="s">
        <v>1240</v>
      </c>
      <c r="J33" s="250"/>
      <c r="K33" s="318" t="s">
        <v>1239</v>
      </c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50"/>
      <c r="F34" s="250"/>
      <c r="G34" s="250"/>
      <c r="H34" s="250" t="s">
        <v>1263</v>
      </c>
      <c r="I34" s="250"/>
      <c r="J34" s="302" t="s">
        <v>1302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hidden="1" customHeight="1">
      <c r="A35" s="84"/>
      <c r="B35" s="1467"/>
      <c r="C35" s="163" t="s">
        <v>389</v>
      </c>
      <c r="D35" s="13"/>
      <c r="E35" s="250"/>
      <c r="F35" s="250"/>
      <c r="G35" s="250"/>
      <c r="H35" s="250"/>
      <c r="I35" s="250"/>
      <c r="J35" s="250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50"/>
      <c r="F36" s="250"/>
      <c r="G36" s="250"/>
      <c r="H36" s="250"/>
      <c r="I36" s="250"/>
      <c r="J36" s="250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50"/>
      <c r="F37" s="1556" t="s">
        <v>1295</v>
      </c>
      <c r="G37" s="1557"/>
      <c r="H37" s="250"/>
      <c r="I37" s="1556" t="s">
        <v>1250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50"/>
      <c r="F38" s="250"/>
      <c r="G38" s="302" t="s">
        <v>1227</v>
      </c>
      <c r="H38" s="250"/>
      <c r="I38" s="1522" t="s">
        <v>1225</v>
      </c>
      <c r="J38" s="1545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50"/>
      <c r="F39" s="177" t="s">
        <v>1234</v>
      </c>
      <c r="G39" s="177" t="s">
        <v>1234</v>
      </c>
      <c r="H39" s="177" t="s">
        <v>1235</v>
      </c>
      <c r="I39" s="177" t="s">
        <v>1236</v>
      </c>
      <c r="J39" s="177" t="s">
        <v>1236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02" t="s">
        <v>317</v>
      </c>
      <c r="C40" s="125" t="s">
        <v>228</v>
      </c>
      <c r="D40" s="13"/>
      <c r="E40" s="250"/>
      <c r="F40" s="250"/>
      <c r="G40" s="250"/>
      <c r="H40" s="250"/>
      <c r="I40" s="250"/>
      <c r="J40" s="250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27</v>
      </c>
      <c r="F41" s="27">
        <f>E41+1</f>
        <v>28</v>
      </c>
      <c r="G41" s="27">
        <f>F41+1</f>
        <v>29</v>
      </c>
      <c r="H41" s="52">
        <f>G41+1</f>
        <v>30</v>
      </c>
      <c r="I41" s="27"/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60"/>
      <c r="F42" s="160"/>
      <c r="G42" s="160"/>
      <c r="H42" s="160"/>
      <c r="I42" s="160"/>
      <c r="J42" s="160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60"/>
      <c r="F43" s="160"/>
      <c r="G43" s="160"/>
      <c r="H43" s="160"/>
      <c r="I43" s="160"/>
      <c r="J43" s="160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hidden="1" customHeight="1">
      <c r="A44" s="84"/>
      <c r="B44" s="1467"/>
      <c r="C44" s="163" t="s">
        <v>389</v>
      </c>
      <c r="D44" s="13"/>
      <c r="E44" s="160"/>
      <c r="F44" s="160"/>
      <c r="G44" s="160"/>
      <c r="H44" s="160" t="s">
        <v>1213</v>
      </c>
      <c r="I44" s="160"/>
      <c r="J44" s="160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60"/>
      <c r="F45" s="160"/>
      <c r="G45" s="160"/>
      <c r="H45" s="160"/>
      <c r="I45" s="160"/>
      <c r="J45" s="160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319"/>
      <c r="F46" s="1574" t="s">
        <v>1289</v>
      </c>
      <c r="G46" s="1574"/>
      <c r="H46" s="320"/>
      <c r="I46" s="160"/>
      <c r="J46" s="160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60"/>
      <c r="F47" s="302" t="s">
        <v>1226</v>
      </c>
      <c r="G47" s="160"/>
      <c r="H47" s="160"/>
      <c r="I47" s="321"/>
      <c r="J47" s="160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60"/>
      <c r="F48" s="177" t="s">
        <v>1236</v>
      </c>
      <c r="G48" s="177" t="s">
        <v>1237</v>
      </c>
      <c r="H48" s="160"/>
      <c r="I48" s="160"/>
      <c r="J48" s="160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02" t="s">
        <v>317</v>
      </c>
      <c r="C49" s="125" t="s">
        <v>228</v>
      </c>
      <c r="D49" s="13"/>
      <c r="E49" s="160"/>
      <c r="F49" s="160"/>
      <c r="G49" s="160"/>
      <c r="H49" s="101" t="s">
        <v>690</v>
      </c>
      <c r="I49" s="160"/>
      <c r="J49" s="160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7">
    <mergeCell ref="I38:J38"/>
    <mergeCell ref="B46:B48"/>
    <mergeCell ref="M23:O23"/>
    <mergeCell ref="B24:B27"/>
    <mergeCell ref="B28:B30"/>
    <mergeCell ref="B33:B36"/>
    <mergeCell ref="B37:B39"/>
    <mergeCell ref="B42:B45"/>
    <mergeCell ref="F37:G37"/>
    <mergeCell ref="I37:J37"/>
    <mergeCell ref="F28:G28"/>
    <mergeCell ref="I28:J28"/>
    <mergeCell ref="F46:G46"/>
    <mergeCell ref="I29:J29"/>
    <mergeCell ref="F29:G29"/>
    <mergeCell ref="B19:B21"/>
    <mergeCell ref="E3:G3"/>
    <mergeCell ref="H3:K3"/>
    <mergeCell ref="B6:B9"/>
    <mergeCell ref="B10:B12"/>
    <mergeCell ref="B15:B18"/>
    <mergeCell ref="I10:J10"/>
    <mergeCell ref="F19:G19"/>
    <mergeCell ref="I19:J19"/>
    <mergeCell ref="I11:J11"/>
    <mergeCell ref="I20:J20"/>
    <mergeCell ref="F20:G20"/>
  </mergeCells>
  <phoneticPr fontId="6" type="noConversion"/>
  <pageMargins left="0.7" right="0.7" top="0.75" bottom="0.75" header="0.3" footer="0.3"/>
  <pageSetup paperSize="9" scale="45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1">
    <pageSetUpPr fitToPage="1"/>
  </sheetPr>
  <dimension ref="A1:S49"/>
  <sheetViews>
    <sheetView topLeftCell="A19" zoomScale="70" zoomScaleNormal="70" workbookViewId="0">
      <selection activeCell="F19" sqref="F19:G19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44105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14"/>
      <c r="H5" s="14"/>
      <c r="I5" s="61">
        <v>1</v>
      </c>
      <c r="J5" s="61">
        <f>I5+1</f>
        <v>2</v>
      </c>
      <c r="K5" s="61">
        <f>J5+1</f>
        <v>3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214" t="s">
        <v>317</v>
      </c>
      <c r="C13" s="125" t="s">
        <v>228</v>
      </c>
      <c r="D13" s="13"/>
      <c r="E13" s="14"/>
      <c r="F13" s="213"/>
      <c r="G13" s="213"/>
      <c r="H13" s="14"/>
      <c r="I13" s="216" t="s">
        <v>366</v>
      </c>
      <c r="J13" s="159" t="s">
        <v>366</v>
      </c>
      <c r="K13" s="159" t="s">
        <v>368</v>
      </c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4</v>
      </c>
      <c r="F14" s="65">
        <f t="shared" ref="F14:K14" si="0">E14+1</f>
        <v>5</v>
      </c>
      <c r="G14" s="65">
        <f t="shared" si="0"/>
        <v>6</v>
      </c>
      <c r="H14" s="65">
        <f t="shared" si="0"/>
        <v>7</v>
      </c>
      <c r="I14" s="65">
        <f t="shared" si="0"/>
        <v>8</v>
      </c>
      <c r="J14" s="53">
        <f t="shared" si="0"/>
        <v>9</v>
      </c>
      <c r="K14" s="23">
        <f t="shared" si="0"/>
        <v>10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80" t="s">
        <v>1203</v>
      </c>
      <c r="H15" s="280" t="s">
        <v>1204</v>
      </c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 thickBot="1">
      <c r="A18" s="84"/>
      <c r="B18" s="1467"/>
      <c r="C18" s="162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 thickBot="1">
      <c r="A19" s="84"/>
      <c r="B19" s="1467" t="s">
        <v>287</v>
      </c>
      <c r="C19" s="12" t="s">
        <v>9</v>
      </c>
      <c r="D19" s="13"/>
      <c r="E19" s="24"/>
      <c r="F19" s="1506" t="s">
        <v>736</v>
      </c>
      <c r="G19" s="1507"/>
      <c r="H19" s="24"/>
      <c r="I19" s="1575" t="s">
        <v>737</v>
      </c>
      <c r="J19" s="1576"/>
      <c r="K19" s="25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1509" t="s">
        <v>1164</v>
      </c>
      <c r="H20" s="1524"/>
      <c r="I20" s="212" t="s">
        <v>1212</v>
      </c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305" t="s">
        <v>1107</v>
      </c>
      <c r="G21" s="305" t="s">
        <v>1107</v>
      </c>
      <c r="H21" s="305" t="s">
        <v>1107</v>
      </c>
      <c r="I21" s="305" t="s">
        <v>1136</v>
      </c>
      <c r="J21" s="24"/>
      <c r="K21" s="24"/>
    </row>
    <row r="22" spans="1:19" ht="24.6" customHeight="1">
      <c r="A22" s="84"/>
      <c r="B22" s="214" t="s">
        <v>317</v>
      </c>
      <c r="C22" s="125" t="s">
        <v>228</v>
      </c>
      <c r="D22" s="13"/>
      <c r="E22" s="24"/>
      <c r="F22" s="24"/>
      <c r="G22" s="24"/>
      <c r="H22" s="24"/>
      <c r="I22" s="24"/>
      <c r="J22" s="159" t="s">
        <v>369</v>
      </c>
      <c r="K22" s="24"/>
    </row>
    <row r="23" spans="1:19" ht="24.6" customHeight="1">
      <c r="A23" s="84"/>
      <c r="B23" s="84"/>
      <c r="C23" s="5"/>
      <c r="D23" s="5"/>
      <c r="E23" s="26">
        <f>K14+1</f>
        <v>11</v>
      </c>
      <c r="F23" s="27">
        <f t="shared" ref="F23:K23" si="1">E23+1</f>
        <v>12</v>
      </c>
      <c r="G23" s="27">
        <f t="shared" si="1"/>
        <v>13</v>
      </c>
      <c r="H23" s="27">
        <f t="shared" si="1"/>
        <v>14</v>
      </c>
      <c r="I23" s="27">
        <f t="shared" si="1"/>
        <v>15</v>
      </c>
      <c r="J23" s="27">
        <f t="shared" si="1"/>
        <v>16</v>
      </c>
      <c r="K23" s="52">
        <f t="shared" si="1"/>
        <v>17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1147</v>
      </c>
      <c r="G28" s="1557"/>
      <c r="H28" s="14"/>
      <c r="I28" s="1506" t="s">
        <v>738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509" t="s">
        <v>1165</v>
      </c>
      <c r="G29" s="1510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305" t="s">
        <v>1108</v>
      </c>
      <c r="G30" s="305" t="s">
        <v>1108</v>
      </c>
      <c r="H30" s="305" t="s">
        <v>1108</v>
      </c>
      <c r="I30" s="305" t="s">
        <v>1137</v>
      </c>
      <c r="J30" s="305" t="s">
        <v>1109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14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18</v>
      </c>
      <c r="F32" s="37">
        <f t="shared" ref="F32:K32" si="2">E32+1</f>
        <v>19</v>
      </c>
      <c r="G32" s="37">
        <f t="shared" si="2"/>
        <v>20</v>
      </c>
      <c r="H32" s="37">
        <f t="shared" si="2"/>
        <v>21</v>
      </c>
      <c r="I32" s="37">
        <f t="shared" si="2"/>
        <v>22</v>
      </c>
      <c r="J32" s="37">
        <f t="shared" si="2"/>
        <v>23</v>
      </c>
      <c r="K32" s="23">
        <f t="shared" si="2"/>
        <v>24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1506" t="s">
        <v>739</v>
      </c>
      <c r="G37" s="1557"/>
      <c r="H37" s="24"/>
      <c r="I37" s="1506" t="s">
        <v>740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1509" t="s">
        <v>1166</v>
      </c>
      <c r="G38" s="1510"/>
      <c r="H38" s="24"/>
      <c r="I38" s="1509" t="s">
        <v>1167</v>
      </c>
      <c r="J38" s="1510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305" t="s">
        <v>1109</v>
      </c>
      <c r="G39" s="305" t="s">
        <v>1138</v>
      </c>
      <c r="H39" s="305" t="s">
        <v>1175</v>
      </c>
      <c r="I39" s="305" t="s">
        <v>1175</v>
      </c>
      <c r="J39" s="305" t="s">
        <v>1175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14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25</v>
      </c>
      <c r="F41" s="27">
        <f t="shared" ref="F41:K41" si="3">E41+1</f>
        <v>26</v>
      </c>
      <c r="G41" s="27">
        <f t="shared" si="3"/>
        <v>27</v>
      </c>
      <c r="H41" s="27">
        <f t="shared" si="3"/>
        <v>28</v>
      </c>
      <c r="I41" s="27">
        <f t="shared" si="3"/>
        <v>29</v>
      </c>
      <c r="J41" s="27">
        <f t="shared" si="3"/>
        <v>30</v>
      </c>
      <c r="K41" s="27">
        <f t="shared" si="3"/>
        <v>31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506" t="s">
        <v>1148</v>
      </c>
      <c r="G46" s="1521"/>
      <c r="H46" s="14"/>
      <c r="I46" s="1506" t="s">
        <v>1149</v>
      </c>
      <c r="J46" s="1521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09" t="s">
        <v>1177</v>
      </c>
      <c r="G47" s="1510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305" t="s">
        <v>1139</v>
      </c>
      <c r="G48" s="305" t="s">
        <v>1140</v>
      </c>
      <c r="H48" s="305" t="s">
        <v>1140</v>
      </c>
      <c r="I48" s="305" t="s">
        <v>1141</v>
      </c>
      <c r="J48" s="305" t="s">
        <v>1176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14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6">
    <mergeCell ref="F47:G47"/>
    <mergeCell ref="B46:B48"/>
    <mergeCell ref="B19:B21"/>
    <mergeCell ref="M23:O23"/>
    <mergeCell ref="B24:B27"/>
    <mergeCell ref="B28:B30"/>
    <mergeCell ref="B33:B36"/>
    <mergeCell ref="F28:G28"/>
    <mergeCell ref="I28:J28"/>
    <mergeCell ref="F37:G37"/>
    <mergeCell ref="I37:J37"/>
    <mergeCell ref="F46:G46"/>
    <mergeCell ref="I46:J46"/>
    <mergeCell ref="F38:G38"/>
    <mergeCell ref="F29:G29"/>
    <mergeCell ref="B6:B9"/>
    <mergeCell ref="B10:B12"/>
    <mergeCell ref="B15:B18"/>
    <mergeCell ref="B37:B39"/>
    <mergeCell ref="B42:B45"/>
    <mergeCell ref="E3:G3"/>
    <mergeCell ref="H3:K3"/>
    <mergeCell ref="I38:J38"/>
    <mergeCell ref="F19:G19"/>
    <mergeCell ref="I19:J19"/>
    <mergeCell ref="G20:H20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S53"/>
  <sheetViews>
    <sheetView topLeftCell="A7" zoomScale="85" zoomScaleNormal="85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44105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14"/>
      <c r="H5" s="14"/>
      <c r="I5" s="61">
        <v>1</v>
      </c>
      <c r="J5" s="61">
        <f>I5+1</f>
        <v>2</v>
      </c>
      <c r="K5" s="61">
        <f>J5+1</f>
        <v>3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05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05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323" t="s">
        <v>317</v>
      </c>
      <c r="C13" s="125" t="s">
        <v>228</v>
      </c>
      <c r="D13" s="13"/>
      <c r="E13" s="14"/>
      <c r="F13" s="322"/>
      <c r="G13" s="322"/>
      <c r="H13" s="14"/>
      <c r="I13" s="216" t="s">
        <v>15</v>
      </c>
      <c r="J13" s="159" t="s">
        <v>15</v>
      </c>
      <c r="K13" s="159" t="s">
        <v>368</v>
      </c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4</v>
      </c>
      <c r="F14" s="65">
        <f t="shared" ref="F14:K14" si="0">E14+1</f>
        <v>5</v>
      </c>
      <c r="G14" s="65">
        <f t="shared" si="0"/>
        <v>6</v>
      </c>
      <c r="H14" s="65">
        <f t="shared" si="0"/>
        <v>7</v>
      </c>
      <c r="I14" s="65">
        <f t="shared" si="0"/>
        <v>8</v>
      </c>
      <c r="J14" s="53">
        <f t="shared" si="0"/>
        <v>9</v>
      </c>
      <c r="K14" s="23">
        <f t="shared" si="0"/>
        <v>10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330" t="s">
        <v>1288</v>
      </c>
      <c r="H15" s="330" t="s">
        <v>1287</v>
      </c>
      <c r="I15" s="24"/>
      <c r="J15" s="24"/>
      <c r="K15" s="24"/>
    </row>
    <row r="16" spans="1:19" ht="24.6" customHeight="1">
      <c r="A16" s="84"/>
      <c r="B16" s="1467"/>
      <c r="C16" s="290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305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77" t="s">
        <v>1297</v>
      </c>
      <c r="G19" s="1577"/>
      <c r="H19" s="24"/>
      <c r="I19" s="24"/>
      <c r="J19" s="24"/>
      <c r="K19" s="254"/>
    </row>
    <row r="20" spans="1:19" ht="24.6" customHeight="1">
      <c r="A20" s="84"/>
      <c r="B20" s="1467"/>
      <c r="C20" s="328" t="s">
        <v>1270</v>
      </c>
      <c r="D20" s="13"/>
      <c r="E20" s="24"/>
      <c r="F20" s="24"/>
      <c r="G20" s="24"/>
      <c r="H20" s="331" t="s">
        <v>1306</v>
      </c>
      <c r="I20" s="331" t="s">
        <v>1306</v>
      </c>
      <c r="J20" s="332" t="s">
        <v>1306</v>
      </c>
      <c r="K20" s="24"/>
    </row>
    <row r="21" spans="1:19" ht="24" customHeight="1">
      <c r="A21" s="84"/>
      <c r="B21" s="1467"/>
      <c r="C21" s="290" t="s">
        <v>292</v>
      </c>
      <c r="D21" s="13"/>
      <c r="E21" s="24"/>
      <c r="F21" s="24"/>
      <c r="G21" s="1578" t="s">
        <v>1291</v>
      </c>
      <c r="H21" s="1578"/>
      <c r="I21" s="333" t="s">
        <v>1284</v>
      </c>
      <c r="J21" s="24"/>
      <c r="K21" s="24"/>
    </row>
    <row r="22" spans="1:19" ht="24" customHeight="1">
      <c r="A22" s="84"/>
      <c r="B22" s="1467"/>
      <c r="C22" s="305" t="s">
        <v>316</v>
      </c>
      <c r="D22" s="13"/>
      <c r="E22" s="24"/>
      <c r="F22" s="334" t="s">
        <v>1314</v>
      </c>
      <c r="G22" s="334" t="s">
        <v>1310</v>
      </c>
      <c r="H22" s="334" t="s">
        <v>1310</v>
      </c>
      <c r="I22" s="165" t="s">
        <v>1309</v>
      </c>
      <c r="J22" s="24"/>
      <c r="K22" s="24"/>
    </row>
    <row r="23" spans="1:19" ht="24.6" customHeight="1">
      <c r="A23" s="84"/>
      <c r="B23" s="323" t="s">
        <v>317</v>
      </c>
      <c r="C23" s="125" t="s">
        <v>228</v>
      </c>
      <c r="D23" s="13"/>
      <c r="E23" s="24"/>
      <c r="F23" s="24"/>
      <c r="G23" s="24"/>
      <c r="H23" s="24"/>
      <c r="I23" s="24"/>
      <c r="J23" s="159" t="s">
        <v>369</v>
      </c>
      <c r="K23" s="24"/>
    </row>
    <row r="24" spans="1:19" ht="24.6" customHeight="1">
      <c r="A24" s="84"/>
      <c r="B24" s="84"/>
      <c r="C24" s="5"/>
      <c r="D24" s="5"/>
      <c r="E24" s="26">
        <f>K14+1</f>
        <v>11</v>
      </c>
      <c r="F24" s="27">
        <f t="shared" ref="F24:K24" si="1">E24+1</f>
        <v>12</v>
      </c>
      <c r="G24" s="27">
        <f t="shared" si="1"/>
        <v>13</v>
      </c>
      <c r="H24" s="27">
        <f t="shared" si="1"/>
        <v>14</v>
      </c>
      <c r="I24" s="27">
        <f t="shared" si="1"/>
        <v>15</v>
      </c>
      <c r="J24" s="27">
        <f t="shared" si="1"/>
        <v>16</v>
      </c>
      <c r="K24" s="52">
        <f t="shared" si="1"/>
        <v>17</v>
      </c>
      <c r="M24" s="203"/>
      <c r="N24" s="203"/>
      <c r="O24" s="203"/>
    </row>
    <row r="25" spans="1:19" ht="24.6" customHeight="1">
      <c r="A25" s="84"/>
      <c r="B25" s="1467" t="s">
        <v>286</v>
      </c>
      <c r="C25" s="12" t="s">
        <v>9</v>
      </c>
      <c r="D25" s="13"/>
      <c r="E25" s="14"/>
      <c r="F25" s="14"/>
      <c r="G25" s="330" t="s">
        <v>1333</v>
      </c>
      <c r="H25" s="14"/>
      <c r="I25" s="330" t="s">
        <v>1334</v>
      </c>
      <c r="J25" s="14"/>
      <c r="K25" s="14"/>
    </row>
    <row r="26" spans="1:19" ht="24.6" customHeight="1">
      <c r="A26" s="84"/>
      <c r="B26" s="1467"/>
      <c r="C26" s="290" t="s">
        <v>7</v>
      </c>
      <c r="D26" s="13"/>
      <c r="E26" s="14"/>
      <c r="F26" s="14"/>
      <c r="G26" s="164" t="s">
        <v>1299</v>
      </c>
      <c r="H26" s="164" t="s">
        <v>1303</v>
      </c>
      <c r="I26" s="14"/>
      <c r="J26" s="164" t="s">
        <v>1249</v>
      </c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3" t="s">
        <v>389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/>
      <c r="C28" s="305" t="s">
        <v>316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 t="s">
        <v>287</v>
      </c>
      <c r="C29" s="12" t="s">
        <v>9</v>
      </c>
      <c r="D29" s="13"/>
      <c r="E29" s="14"/>
      <c r="F29" s="14"/>
      <c r="G29" s="14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8" t="s">
        <v>1270</v>
      </c>
      <c r="D30" s="13"/>
      <c r="E30" s="14"/>
      <c r="F30" s="332" t="s">
        <v>1306</v>
      </c>
      <c r="G30" s="331" t="s">
        <v>1306</v>
      </c>
      <c r="H30" s="331" t="s">
        <v>1306</v>
      </c>
      <c r="I30" s="331" t="s">
        <v>1306</v>
      </c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290" t="s">
        <v>292</v>
      </c>
      <c r="D31" s="13"/>
      <c r="E31" s="14"/>
      <c r="F31" s="1578" t="s">
        <v>1296</v>
      </c>
      <c r="G31" s="1578"/>
      <c r="H31" s="333" t="s">
        <v>1214</v>
      </c>
      <c r="I31" s="333" t="s">
        <v>1285</v>
      </c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305" t="s">
        <v>316</v>
      </c>
      <c r="D32" s="13"/>
      <c r="E32" s="14"/>
      <c r="F32" s="165" t="s">
        <v>1311</v>
      </c>
      <c r="G32" s="165" t="s">
        <v>1311</v>
      </c>
      <c r="H32" s="165" t="s">
        <v>1336</v>
      </c>
      <c r="I32" s="165" t="s">
        <v>1313</v>
      </c>
      <c r="J32" s="165" t="s">
        <v>1313</v>
      </c>
      <c r="K32" s="14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323" t="s">
        <v>317</v>
      </c>
      <c r="C33" s="125" t="s">
        <v>228</v>
      </c>
      <c r="D33" s="13"/>
      <c r="E33" s="14"/>
      <c r="F33" s="14"/>
      <c r="G33" s="14"/>
      <c r="H33" s="14"/>
      <c r="I33" s="14"/>
      <c r="J33" s="14"/>
      <c r="K33" s="1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84"/>
      <c r="C34" s="5"/>
      <c r="D34" s="5"/>
      <c r="E34" s="23">
        <f>K24+1</f>
        <v>18</v>
      </c>
      <c r="F34" s="304">
        <f t="shared" ref="F34:K34" si="2">E34+1</f>
        <v>19</v>
      </c>
      <c r="G34" s="304">
        <f t="shared" si="2"/>
        <v>20</v>
      </c>
      <c r="H34" s="304">
        <f t="shared" si="2"/>
        <v>21</v>
      </c>
      <c r="I34" s="304">
        <f t="shared" si="2"/>
        <v>22</v>
      </c>
      <c r="J34" s="304">
        <f t="shared" si="2"/>
        <v>23</v>
      </c>
      <c r="K34" s="23">
        <f t="shared" si="2"/>
        <v>24</v>
      </c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 t="s">
        <v>286</v>
      </c>
      <c r="C35" s="12" t="s">
        <v>9</v>
      </c>
      <c r="D35" s="13"/>
      <c r="E35" s="24"/>
      <c r="F35" s="24"/>
      <c r="G35" s="330" t="s">
        <v>1335</v>
      </c>
      <c r="H35" s="24"/>
      <c r="I35" s="330" t="s">
        <v>1325</v>
      </c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290" t="s">
        <v>7</v>
      </c>
      <c r="D36" s="13"/>
      <c r="E36" s="24"/>
      <c r="F36" s="24"/>
      <c r="G36" s="251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63" t="s">
        <v>389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305" t="s">
        <v>316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" customHeight="1">
      <c r="A39" s="84"/>
      <c r="B39" s="1467" t="s">
        <v>287</v>
      </c>
      <c r="C39" s="12" t="s">
        <v>9</v>
      </c>
      <c r="D39" s="13"/>
      <c r="E39" s="24"/>
      <c r="F39" s="1577" t="s">
        <v>1305</v>
      </c>
      <c r="G39" s="1577"/>
      <c r="H39" s="24"/>
      <c r="I39" s="24"/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" customHeight="1">
      <c r="A40" s="84"/>
      <c r="B40" s="1467"/>
      <c r="C40" s="328" t="s">
        <v>1270</v>
      </c>
      <c r="D40" s="13"/>
      <c r="E40" s="24"/>
      <c r="F40" s="24"/>
      <c r="G40" s="24"/>
      <c r="H40" s="332" t="s">
        <v>1272</v>
      </c>
      <c r="I40" s="331" t="s">
        <v>1268</v>
      </c>
      <c r="J40" s="331" t="s">
        <v>1269</v>
      </c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290" t="s">
        <v>292</v>
      </c>
      <c r="D41" s="13"/>
      <c r="E41" s="24"/>
      <c r="F41" s="251"/>
      <c r="G41" s="251"/>
      <c r="H41" s="251"/>
      <c r="I41" s="24"/>
      <c r="J41" s="243" t="s">
        <v>1327</v>
      </c>
      <c r="K41" s="243" t="s">
        <v>1321</v>
      </c>
      <c r="L41" s="84"/>
      <c r="M41" s="84"/>
      <c r="N41" s="84"/>
      <c r="O41" s="84"/>
      <c r="P41" s="84"/>
      <c r="Q41" s="84"/>
      <c r="R41" s="84"/>
      <c r="S41" s="84"/>
    </row>
    <row r="42" spans="1:19" ht="24" customHeight="1">
      <c r="A42" s="84"/>
      <c r="B42" s="1467"/>
      <c r="C42" s="305" t="s">
        <v>316</v>
      </c>
      <c r="D42" s="13"/>
      <c r="E42" s="24"/>
      <c r="F42" s="165" t="s">
        <v>1313</v>
      </c>
      <c r="G42" s="165" t="s">
        <v>1315</v>
      </c>
      <c r="H42" s="165" t="s">
        <v>1312</v>
      </c>
      <c r="I42" s="165" t="s">
        <v>1312</v>
      </c>
      <c r="J42" s="165" t="s">
        <v>1312</v>
      </c>
      <c r="K42" s="2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323" t="s">
        <v>317</v>
      </c>
      <c r="C43" s="125" t="s">
        <v>228</v>
      </c>
      <c r="D43" s="13"/>
      <c r="E43" s="24"/>
      <c r="F43" s="24"/>
      <c r="G43" s="24"/>
      <c r="H43" s="24"/>
      <c r="I43" s="24"/>
      <c r="J43" s="24"/>
      <c r="K43" s="2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84"/>
      <c r="C44" s="30"/>
      <c r="D44" s="13"/>
      <c r="E44" s="31">
        <f>K34+1</f>
        <v>25</v>
      </c>
      <c r="F44" s="27">
        <f t="shared" ref="F44:K44" si="3">E44+1</f>
        <v>26</v>
      </c>
      <c r="G44" s="27">
        <f t="shared" si="3"/>
        <v>27</v>
      </c>
      <c r="H44" s="27">
        <f t="shared" si="3"/>
        <v>28</v>
      </c>
      <c r="I44" s="27">
        <f t="shared" si="3"/>
        <v>29</v>
      </c>
      <c r="J44" s="27">
        <f t="shared" si="3"/>
        <v>30</v>
      </c>
      <c r="K44" s="27">
        <f t="shared" si="3"/>
        <v>31</v>
      </c>
      <c r="L44" s="84"/>
      <c r="M44" s="84"/>
      <c r="N44" s="84">
        <v>1</v>
      </c>
      <c r="O44" s="84"/>
      <c r="P44" s="84"/>
      <c r="Q44" s="84"/>
      <c r="R44" s="84"/>
      <c r="S44" s="84"/>
    </row>
    <row r="45" spans="1:19" ht="24.6" customHeight="1">
      <c r="A45" s="84"/>
      <c r="B45" s="1467" t="s">
        <v>286</v>
      </c>
      <c r="C45" s="12" t="s">
        <v>9</v>
      </c>
      <c r="D45" s="13"/>
      <c r="E45" s="14"/>
      <c r="F45" s="14"/>
      <c r="G45" s="330" t="s">
        <v>1328</v>
      </c>
      <c r="H45" s="330" t="s">
        <v>1329</v>
      </c>
      <c r="I45" s="14"/>
      <c r="J45" s="330" t="s">
        <v>1330</v>
      </c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290" t="s">
        <v>7</v>
      </c>
      <c r="D46" s="13"/>
      <c r="E46" s="14"/>
      <c r="F46" s="14"/>
      <c r="G46" s="14"/>
      <c r="H46" s="164" t="s">
        <v>1267</v>
      </c>
      <c r="I46" s="164" t="s">
        <v>1238</v>
      </c>
      <c r="J46" s="164" t="s">
        <v>1240</v>
      </c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63" t="s">
        <v>389</v>
      </c>
      <c r="D47" s="13"/>
      <c r="E47" s="14"/>
      <c r="F47" s="14"/>
      <c r="G47" s="14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05" t="s">
        <v>316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 t="s">
        <v>287</v>
      </c>
      <c r="C49" s="12" t="s">
        <v>9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328" t="s">
        <v>1270</v>
      </c>
      <c r="D50" s="13"/>
      <c r="E50" s="14"/>
      <c r="F50" s="332" t="s">
        <v>1271</v>
      </c>
      <c r="G50" s="331" t="s">
        <v>1273</v>
      </c>
      <c r="H50" s="331" t="s">
        <v>1274</v>
      </c>
      <c r="I50" s="331" t="s">
        <v>1275</v>
      </c>
      <c r="J50" s="331" t="s">
        <v>1276</v>
      </c>
      <c r="K50" s="1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290" t="s">
        <v>292</v>
      </c>
      <c r="D51" s="13"/>
      <c r="E51" s="14"/>
      <c r="F51" s="243" t="s">
        <v>1320</v>
      </c>
      <c r="G51" s="14"/>
      <c r="H51" s="1522" t="s">
        <v>1326</v>
      </c>
      <c r="I51" s="1523"/>
      <c r="J51" s="14"/>
      <c r="K51" s="1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305" t="s">
        <v>316</v>
      </c>
      <c r="D52" s="13"/>
      <c r="E52" s="14"/>
      <c r="F52" s="165" t="s">
        <v>1316</v>
      </c>
      <c r="G52" s="165" t="s">
        <v>1316</v>
      </c>
      <c r="H52" s="165" t="s">
        <v>1317</v>
      </c>
      <c r="I52" s="165" t="s">
        <v>1337</v>
      </c>
      <c r="J52" s="165" t="s">
        <v>1337</v>
      </c>
      <c r="K52" s="1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323" t="s">
        <v>317</v>
      </c>
      <c r="C53" s="125" t="s">
        <v>228</v>
      </c>
      <c r="D53" s="13"/>
      <c r="E53" s="14"/>
      <c r="F53" s="14"/>
      <c r="G53" s="14"/>
      <c r="H53" s="14"/>
      <c r="I53" s="14"/>
      <c r="J53" s="14"/>
      <c r="K53" s="14"/>
      <c r="L53" s="84"/>
      <c r="M53" s="84"/>
      <c r="N53" s="84"/>
      <c r="O53" s="84"/>
      <c r="P53" s="84"/>
      <c r="Q53" s="84"/>
      <c r="R53" s="84"/>
      <c r="S53" s="84"/>
    </row>
  </sheetData>
  <mergeCells count="17">
    <mergeCell ref="B6:B9"/>
    <mergeCell ref="B10:B12"/>
    <mergeCell ref="B15:B18"/>
    <mergeCell ref="B45:B48"/>
    <mergeCell ref="B49:B52"/>
    <mergeCell ref="B35:B38"/>
    <mergeCell ref="B39:B42"/>
    <mergeCell ref="B25:B28"/>
    <mergeCell ref="B29:B32"/>
    <mergeCell ref="B19:B22"/>
    <mergeCell ref="F19:G19"/>
    <mergeCell ref="G21:H21"/>
    <mergeCell ref="H51:I51"/>
    <mergeCell ref="E3:G3"/>
    <mergeCell ref="H3:K3"/>
    <mergeCell ref="F39:G39"/>
    <mergeCell ref="F31:G31"/>
  </mergeCells>
  <phoneticPr fontId="6" type="noConversion"/>
  <pageMargins left="0.7" right="0.7" top="0.75" bottom="0.75" header="0.3" footer="0.3"/>
  <pageSetup paperSize="9" scale="38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S49"/>
  <sheetViews>
    <sheetView topLeftCell="B28" zoomScaleNormal="100" workbookViewId="0">
      <selection activeCell="F11" sqref="F11:G11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44136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f>G5+1</f>
        <v>4</v>
      </c>
      <c r="I5" s="60">
        <f>H5+1</f>
        <v>5</v>
      </c>
      <c r="J5" s="60">
        <f>I5+1</f>
        <v>6</v>
      </c>
      <c r="K5" s="60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05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580" t="s">
        <v>741</v>
      </c>
      <c r="J10" s="1581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14"/>
      <c r="F11" s="1509" t="s">
        <v>1068</v>
      </c>
      <c r="G11" s="1510"/>
      <c r="H11" s="14"/>
      <c r="I11" s="1509" t="s">
        <v>1069</v>
      </c>
      <c r="J11" s="1510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05" t="s">
        <v>316</v>
      </c>
      <c r="D12" s="13"/>
      <c r="E12" s="14"/>
      <c r="F12" s="305" t="s">
        <v>1176</v>
      </c>
      <c r="G12" s="305" t="s">
        <v>1176</v>
      </c>
      <c r="H12" s="305" t="s">
        <v>1142</v>
      </c>
      <c r="I12" s="305" t="s">
        <v>1110</v>
      </c>
      <c r="J12" s="305" t="s">
        <v>1110</v>
      </c>
      <c r="K12" s="14"/>
      <c r="L12" s="4"/>
      <c r="M12" s="4"/>
      <c r="N12" s="4"/>
      <c r="R12" s="11"/>
      <c r="S12" s="4"/>
    </row>
    <row r="13" spans="1:19" s="5" customFormat="1" ht="24.6" customHeight="1">
      <c r="B13" s="308" t="s">
        <v>317</v>
      </c>
      <c r="C13" s="125" t="s">
        <v>228</v>
      </c>
      <c r="D13" s="13"/>
      <c r="E13" s="14"/>
      <c r="F13" s="1475" t="s">
        <v>1077</v>
      </c>
      <c r="G13" s="1579"/>
      <c r="H13" s="1579"/>
      <c r="I13" s="309"/>
      <c r="J13" s="310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290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305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06" t="s">
        <v>1130</v>
      </c>
      <c r="G19" s="1507"/>
      <c r="H19" s="24"/>
      <c r="I19" s="1506" t="s">
        <v>1131</v>
      </c>
      <c r="J19" s="1507"/>
      <c r="K19" s="24"/>
    </row>
    <row r="20" spans="1:19" ht="24" customHeight="1">
      <c r="A20" s="84"/>
      <c r="B20" s="1467"/>
      <c r="C20" s="290" t="s">
        <v>292</v>
      </c>
      <c r="D20" s="13"/>
      <c r="E20" s="24"/>
      <c r="F20" s="24"/>
      <c r="G20" s="24"/>
      <c r="H20" s="24"/>
      <c r="I20" s="1509" t="s">
        <v>1168</v>
      </c>
      <c r="J20" s="1510"/>
      <c r="K20" s="24"/>
    </row>
    <row r="21" spans="1:19" ht="24" customHeight="1">
      <c r="A21" s="84"/>
      <c r="B21" s="1467"/>
      <c r="C21" s="305" t="s">
        <v>316</v>
      </c>
      <c r="D21" s="13"/>
      <c r="E21" s="24"/>
      <c r="F21" s="305" t="s">
        <v>1143</v>
      </c>
      <c r="G21" s="305" t="s">
        <v>1111</v>
      </c>
      <c r="H21" s="305" t="s">
        <v>1111</v>
      </c>
      <c r="I21" s="305" t="s">
        <v>1111</v>
      </c>
      <c r="J21" s="305" t="s">
        <v>1144</v>
      </c>
      <c r="K21" s="24"/>
    </row>
    <row r="22" spans="1:19" ht="24.6" customHeight="1">
      <c r="A22" s="84"/>
      <c r="B22" s="308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290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05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1132</v>
      </c>
      <c r="G28" s="1557"/>
      <c r="H28" s="14"/>
      <c r="I28" s="1506" t="s">
        <v>1133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14"/>
      <c r="F29" s="1509" t="s">
        <v>1070</v>
      </c>
      <c r="G29" s="1510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05" t="s">
        <v>316</v>
      </c>
      <c r="D30" s="13"/>
      <c r="E30" s="14"/>
      <c r="F30" s="305" t="s">
        <v>1112</v>
      </c>
      <c r="G30" s="305" t="s">
        <v>1112</v>
      </c>
      <c r="H30" s="305" t="s">
        <v>1145</v>
      </c>
      <c r="I30" s="305" t="s">
        <v>1113</v>
      </c>
      <c r="J30" s="305" t="s">
        <v>1113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08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04">
        <f t="shared" ref="F32:K32" si="2">E32+1</f>
        <v>23</v>
      </c>
      <c r="G32" s="304">
        <f t="shared" si="2"/>
        <v>24</v>
      </c>
      <c r="H32" s="304">
        <f t="shared" si="2"/>
        <v>25</v>
      </c>
      <c r="I32" s="304">
        <f t="shared" si="2"/>
        <v>26</v>
      </c>
      <c r="J32" s="304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05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1506" t="s">
        <v>1134</v>
      </c>
      <c r="G37" s="1557"/>
      <c r="H37" s="24"/>
      <c r="I37" s="1506" t="s">
        <v>1135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24"/>
      <c r="F38" s="1509" t="s">
        <v>1169</v>
      </c>
      <c r="G38" s="1510"/>
      <c r="H38" s="24"/>
      <c r="I38" s="1509" t="s">
        <v>1071</v>
      </c>
      <c r="J38" s="1510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05" t="s">
        <v>316</v>
      </c>
      <c r="D39" s="13"/>
      <c r="E39" s="24"/>
      <c r="F39" s="305" t="s">
        <v>1113</v>
      </c>
      <c r="G39" s="305" t="s">
        <v>1146</v>
      </c>
      <c r="H39" s="305" t="s">
        <v>1152</v>
      </c>
      <c r="I39" s="305" t="s">
        <v>1152</v>
      </c>
      <c r="J39" s="305" t="s">
        <v>1153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08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/>
      <c r="H41" s="27"/>
      <c r="I41" s="27"/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05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282" t="s">
        <v>1080</v>
      </c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14"/>
      <c r="F47" s="14"/>
      <c r="G47" s="14"/>
      <c r="H47" s="14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05" t="s">
        <v>316</v>
      </c>
      <c r="D48" s="13"/>
      <c r="E48" s="14"/>
      <c r="F48" s="305" t="s">
        <v>1154</v>
      </c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08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7">
    <mergeCell ref="I20:J20"/>
    <mergeCell ref="I19:J19"/>
    <mergeCell ref="E3:G3"/>
    <mergeCell ref="H3:K3"/>
    <mergeCell ref="B6:B9"/>
    <mergeCell ref="B10:B12"/>
    <mergeCell ref="I10:J10"/>
    <mergeCell ref="I11:J11"/>
    <mergeCell ref="F11:G11"/>
    <mergeCell ref="I37:J37"/>
    <mergeCell ref="I38:J38"/>
    <mergeCell ref="B42:B45"/>
    <mergeCell ref="M23:O23"/>
    <mergeCell ref="B24:B27"/>
    <mergeCell ref="B28:B30"/>
    <mergeCell ref="F28:G28"/>
    <mergeCell ref="I28:J28"/>
    <mergeCell ref="F29:G29"/>
    <mergeCell ref="F38:G38"/>
    <mergeCell ref="B46:B48"/>
    <mergeCell ref="F13:H13"/>
    <mergeCell ref="B33:B36"/>
    <mergeCell ref="B37:B39"/>
    <mergeCell ref="F37:G37"/>
    <mergeCell ref="B15:B18"/>
    <mergeCell ref="B19:B21"/>
    <mergeCell ref="F19:G19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S49"/>
  <sheetViews>
    <sheetView zoomScale="70" zoomScaleNormal="70" workbookViewId="0">
      <selection activeCell="F11" sqref="F11:G11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44136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f>G5+1</f>
        <v>4</v>
      </c>
      <c r="I5" s="60">
        <f>H5+1</f>
        <v>5</v>
      </c>
      <c r="J5" s="60">
        <f>I5+1</f>
        <v>6</v>
      </c>
      <c r="K5" s="60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580" t="s">
        <v>741</v>
      </c>
      <c r="G10" s="1581"/>
      <c r="H10" s="14"/>
      <c r="I10" s="1580" t="s">
        <v>1127</v>
      </c>
      <c r="J10" s="1581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509" t="s">
        <v>1068</v>
      </c>
      <c r="G11" s="1510"/>
      <c r="H11" s="14"/>
      <c r="I11" s="1509" t="s">
        <v>1069</v>
      </c>
      <c r="J11" s="1510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305" t="s">
        <v>1176</v>
      </c>
      <c r="G12" s="305" t="s">
        <v>1176</v>
      </c>
      <c r="H12" s="305" t="s">
        <v>1142</v>
      </c>
      <c r="I12" s="305" t="s">
        <v>1110</v>
      </c>
      <c r="J12" s="305" t="s">
        <v>1110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14" t="s">
        <v>317</v>
      </c>
      <c r="C13" s="125" t="s">
        <v>228</v>
      </c>
      <c r="D13" s="13"/>
      <c r="E13" s="14"/>
      <c r="F13" s="1475" t="s">
        <v>1077</v>
      </c>
      <c r="G13" s="1579"/>
      <c r="H13" s="1579"/>
      <c r="I13" s="1579"/>
      <c r="J13" s="1476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06" t="s">
        <v>742</v>
      </c>
      <c r="G19" s="1507"/>
      <c r="H19" s="24"/>
      <c r="I19" s="1506" t="s">
        <v>1132</v>
      </c>
      <c r="J19" s="150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24"/>
      <c r="I20" s="1509" t="s">
        <v>1168</v>
      </c>
      <c r="J20" s="1510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305" t="s">
        <v>1143</v>
      </c>
      <c r="G21" s="305" t="s">
        <v>1111</v>
      </c>
      <c r="H21" s="305" t="s">
        <v>1111</v>
      </c>
      <c r="I21" s="305" t="s">
        <v>1111</v>
      </c>
      <c r="J21" s="305" t="s">
        <v>1144</v>
      </c>
      <c r="K21" s="24"/>
    </row>
    <row r="22" spans="1:19" ht="24.6" customHeight="1">
      <c r="A22" s="84"/>
      <c r="B22" s="214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1078</v>
      </c>
      <c r="G28" s="1557"/>
      <c r="H28" s="14"/>
      <c r="I28" s="1506" t="s">
        <v>1150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509" t="s">
        <v>1070</v>
      </c>
      <c r="G29" s="1510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305" t="s">
        <v>1112</v>
      </c>
      <c r="G30" s="305" t="s">
        <v>1112</v>
      </c>
      <c r="H30" s="305" t="s">
        <v>1145</v>
      </c>
      <c r="I30" s="305" t="s">
        <v>1113</v>
      </c>
      <c r="J30" s="305" t="s">
        <v>1113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14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7">
        <f t="shared" ref="F32:K32" si="2">E32+1</f>
        <v>23</v>
      </c>
      <c r="G32" s="37">
        <f t="shared" si="2"/>
        <v>24</v>
      </c>
      <c r="H32" s="37">
        <f t="shared" si="2"/>
        <v>25</v>
      </c>
      <c r="I32" s="37">
        <f t="shared" si="2"/>
        <v>26</v>
      </c>
      <c r="J32" s="37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1506" t="s">
        <v>1135</v>
      </c>
      <c r="G37" s="1557"/>
      <c r="H37" s="24"/>
      <c r="I37" s="1506" t="s">
        <v>1151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1509" t="s">
        <v>1169</v>
      </c>
      <c r="G38" s="1510"/>
      <c r="H38" s="24"/>
      <c r="I38" s="1509" t="s">
        <v>1071</v>
      </c>
      <c r="J38" s="1510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305" t="s">
        <v>1113</v>
      </c>
      <c r="G39" s="305" t="s">
        <v>1146</v>
      </c>
      <c r="H39" s="305" t="s">
        <v>1152</v>
      </c>
      <c r="I39" s="305" t="s">
        <v>1152</v>
      </c>
      <c r="J39" s="305" t="s">
        <v>1153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14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/>
      <c r="H41" s="27"/>
      <c r="I41" s="27"/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282" t="s">
        <v>1080</v>
      </c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4"/>
      <c r="G47" s="14"/>
      <c r="H47" s="14"/>
      <c r="I47" s="152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305" t="s">
        <v>1154</v>
      </c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14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8">
    <mergeCell ref="B42:B45"/>
    <mergeCell ref="B46:B48"/>
    <mergeCell ref="B19:B21"/>
    <mergeCell ref="M23:O23"/>
    <mergeCell ref="B24:B27"/>
    <mergeCell ref="B28:B30"/>
    <mergeCell ref="B33:B36"/>
    <mergeCell ref="F28:G28"/>
    <mergeCell ref="I28:J28"/>
    <mergeCell ref="F37:G37"/>
    <mergeCell ref="I37:J37"/>
    <mergeCell ref="F19:G19"/>
    <mergeCell ref="I19:J19"/>
    <mergeCell ref="I38:J38"/>
    <mergeCell ref="F38:G38"/>
    <mergeCell ref="B6:B9"/>
    <mergeCell ref="B10:B12"/>
    <mergeCell ref="B15:B18"/>
    <mergeCell ref="F13:J13"/>
    <mergeCell ref="B37:B39"/>
    <mergeCell ref="F29:G29"/>
    <mergeCell ref="F11:G11"/>
    <mergeCell ref="I20:J20"/>
    <mergeCell ref="E3:G3"/>
    <mergeCell ref="H3:K3"/>
    <mergeCell ref="I11:J11"/>
    <mergeCell ref="F10:G10"/>
    <mergeCell ref="I10:J10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S54"/>
  <sheetViews>
    <sheetView zoomScale="85" zoomScaleNormal="85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20" width="6.6640625" style="84" customWidth="1"/>
    <col min="21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44136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v>3</v>
      </c>
      <c r="H5" s="60">
        <f>G5+1</f>
        <v>4</v>
      </c>
      <c r="I5" s="60">
        <f>H5+1</f>
        <v>5</v>
      </c>
      <c r="J5" s="60">
        <f>I5+1</f>
        <v>6</v>
      </c>
      <c r="K5" s="60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60"/>
      <c r="G6" s="318" t="s">
        <v>1341</v>
      </c>
      <c r="H6" s="318" t="s">
        <v>1342</v>
      </c>
      <c r="I6" s="318" t="s">
        <v>1343</v>
      </c>
      <c r="J6" s="160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333" t="s">
        <v>1298</v>
      </c>
      <c r="G7" s="160"/>
      <c r="H7" s="160"/>
      <c r="I7" s="160"/>
      <c r="J7" s="160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60"/>
      <c r="G8" s="160"/>
      <c r="H8" s="160"/>
      <c r="I8" s="160"/>
      <c r="J8" s="160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05" t="s">
        <v>316</v>
      </c>
      <c r="D9" s="13"/>
      <c r="E9" s="14"/>
      <c r="F9" s="160"/>
      <c r="G9" s="160"/>
      <c r="H9" s="160"/>
      <c r="I9" s="160"/>
      <c r="J9" s="160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60"/>
      <c r="G10" s="160"/>
      <c r="H10" s="160"/>
      <c r="I10" s="160"/>
      <c r="J10" s="160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328" t="s">
        <v>1270</v>
      </c>
      <c r="D11" s="13"/>
      <c r="E11" s="14"/>
      <c r="F11" s="329" t="s">
        <v>1277</v>
      </c>
      <c r="G11" s="329" t="s">
        <v>1278</v>
      </c>
      <c r="H11" s="329" t="s">
        <v>1279</v>
      </c>
      <c r="I11" s="329" t="s">
        <v>1280</v>
      </c>
      <c r="J11" s="329" t="s">
        <v>1281</v>
      </c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290" t="s">
        <v>292</v>
      </c>
      <c r="D12" s="13"/>
      <c r="E12" s="14"/>
      <c r="F12" s="1522" t="s">
        <v>1322</v>
      </c>
      <c r="G12" s="1545"/>
      <c r="H12" s="160"/>
      <c r="I12" s="160"/>
      <c r="J12" s="160"/>
      <c r="K12" s="14"/>
      <c r="L12" s="4"/>
      <c r="M12" s="4"/>
      <c r="N12" s="4"/>
      <c r="R12" s="11"/>
      <c r="S12" s="4"/>
    </row>
    <row r="13" spans="1:19" s="5" customFormat="1" ht="24.6" customHeight="1">
      <c r="B13" s="1467"/>
      <c r="C13" s="305" t="s">
        <v>316</v>
      </c>
      <c r="D13" s="13"/>
      <c r="E13" s="14"/>
      <c r="F13" s="334" t="s">
        <v>1337</v>
      </c>
      <c r="G13" s="334" t="s">
        <v>1338</v>
      </c>
      <c r="H13" s="334" t="s">
        <v>1318</v>
      </c>
      <c r="I13" s="334" t="s">
        <v>1318</v>
      </c>
      <c r="J13" s="334" t="s">
        <v>1318</v>
      </c>
      <c r="K13" s="14"/>
      <c r="L13" s="4"/>
      <c r="M13" s="4"/>
      <c r="N13" s="4"/>
      <c r="R13" s="11"/>
      <c r="S13" s="4"/>
    </row>
    <row r="14" spans="1:19" s="5" customFormat="1" ht="24.6" customHeight="1">
      <c r="B14" s="323" t="s">
        <v>317</v>
      </c>
      <c r="C14" s="125" t="s">
        <v>228</v>
      </c>
      <c r="D14" s="13"/>
      <c r="E14" s="14"/>
      <c r="F14" s="1582" t="s">
        <v>1354</v>
      </c>
      <c r="G14" s="1583"/>
      <c r="H14" s="1583"/>
      <c r="I14" s="338"/>
      <c r="J14" s="339"/>
      <c r="K14" s="14"/>
      <c r="L14" s="4"/>
      <c r="M14" s="4"/>
      <c r="N14" s="4"/>
      <c r="R14" s="11"/>
      <c r="S14" s="4"/>
    </row>
    <row r="15" spans="1:19" ht="24.6" customHeight="1">
      <c r="A15" s="84"/>
      <c r="B15" s="84"/>
      <c r="C15" s="5"/>
      <c r="D15" s="5"/>
      <c r="E15" s="23">
        <f>K5+1</f>
        <v>8</v>
      </c>
      <c r="F15" s="65">
        <f t="shared" ref="F15:K15" si="0">E15+1</f>
        <v>9</v>
      </c>
      <c r="G15" s="65">
        <f t="shared" si="0"/>
        <v>10</v>
      </c>
      <c r="H15" s="65">
        <f t="shared" si="0"/>
        <v>11</v>
      </c>
      <c r="I15" s="65">
        <f t="shared" si="0"/>
        <v>12</v>
      </c>
      <c r="J15" s="65">
        <f t="shared" si="0"/>
        <v>13</v>
      </c>
      <c r="K15" s="23">
        <f t="shared" si="0"/>
        <v>14</v>
      </c>
    </row>
    <row r="16" spans="1:19" ht="24.6" customHeight="1">
      <c r="A16" s="84"/>
      <c r="B16" s="1467" t="s">
        <v>286</v>
      </c>
      <c r="C16" s="12" t="s">
        <v>9</v>
      </c>
      <c r="D16" s="13"/>
      <c r="E16" s="24"/>
      <c r="F16" s="250"/>
      <c r="G16" s="318" t="s">
        <v>1344</v>
      </c>
      <c r="H16" s="250"/>
      <c r="I16" s="250"/>
      <c r="J16" s="250"/>
      <c r="K16" s="24"/>
    </row>
    <row r="17" spans="1:19" ht="24.6" customHeight="1">
      <c r="A17" s="84"/>
      <c r="B17" s="1467"/>
      <c r="C17" s="290" t="s">
        <v>7</v>
      </c>
      <c r="D17" s="13"/>
      <c r="E17" s="24"/>
      <c r="F17" s="302" t="s">
        <v>1288</v>
      </c>
      <c r="G17" s="250"/>
      <c r="H17" s="302" t="s">
        <v>1287</v>
      </c>
      <c r="I17" s="250"/>
      <c r="J17" s="302" t="s">
        <v>1345</v>
      </c>
      <c r="K17" s="24"/>
    </row>
    <row r="18" spans="1:19" ht="24.6" customHeight="1">
      <c r="A18" s="84"/>
      <c r="B18" s="1467"/>
      <c r="C18" s="163" t="s">
        <v>389</v>
      </c>
      <c r="D18" s="13"/>
      <c r="E18" s="24"/>
      <c r="F18" s="250"/>
      <c r="G18" s="250"/>
      <c r="H18" s="250"/>
      <c r="I18" s="250"/>
      <c r="J18" s="250"/>
      <c r="K18" s="24"/>
    </row>
    <row r="19" spans="1:19" ht="24.6" customHeight="1">
      <c r="A19" s="84"/>
      <c r="B19" s="1467"/>
      <c r="C19" s="305" t="s">
        <v>316</v>
      </c>
      <c r="D19" s="13"/>
      <c r="E19" s="24"/>
      <c r="F19" s="250"/>
      <c r="G19" s="250"/>
      <c r="H19" s="250"/>
      <c r="I19" s="250"/>
      <c r="J19" s="250"/>
      <c r="K19" s="24"/>
    </row>
    <row r="20" spans="1:19" ht="24.6" customHeight="1">
      <c r="A20" s="84"/>
      <c r="B20" s="1467" t="s">
        <v>287</v>
      </c>
      <c r="C20" s="12" t="s">
        <v>9</v>
      </c>
      <c r="D20" s="13"/>
      <c r="E20" s="24"/>
      <c r="F20" s="250"/>
      <c r="G20" s="336"/>
      <c r="H20" s="250"/>
      <c r="I20" s="1574" t="s">
        <v>1353</v>
      </c>
      <c r="J20" s="1557"/>
      <c r="K20" s="24"/>
    </row>
    <row r="21" spans="1:19" ht="24.6" customHeight="1">
      <c r="A21" s="84"/>
      <c r="B21" s="1467"/>
      <c r="C21" s="328" t="s">
        <v>1270</v>
      </c>
      <c r="D21" s="13"/>
      <c r="E21" s="24"/>
      <c r="F21" s="329" t="s">
        <v>1282</v>
      </c>
      <c r="G21" s="329" t="s">
        <v>1283</v>
      </c>
      <c r="H21" s="250"/>
      <c r="I21" s="335"/>
      <c r="J21" s="335"/>
      <c r="K21" s="24"/>
    </row>
    <row r="22" spans="1:19" ht="24" customHeight="1">
      <c r="A22" s="84"/>
      <c r="B22" s="1467"/>
      <c r="C22" s="290" t="s">
        <v>292</v>
      </c>
      <c r="D22" s="13"/>
      <c r="E22" s="24"/>
      <c r="F22" s="1522" t="s">
        <v>1323</v>
      </c>
      <c r="G22" s="1523"/>
      <c r="H22" s="250"/>
      <c r="I22" s="1523" t="s">
        <v>1293</v>
      </c>
      <c r="J22" s="1545"/>
      <c r="K22" s="24"/>
    </row>
    <row r="23" spans="1:19" ht="24" customHeight="1">
      <c r="A23" s="84"/>
      <c r="B23" s="1467"/>
      <c r="C23" s="305" t="s">
        <v>316</v>
      </c>
      <c r="D23" s="13"/>
      <c r="E23" s="24"/>
      <c r="F23" s="334" t="s">
        <v>1319</v>
      </c>
      <c r="G23" s="336"/>
      <c r="H23" s="250"/>
      <c r="I23" s="337"/>
      <c r="J23" s="250"/>
      <c r="K23" s="24"/>
    </row>
    <row r="24" spans="1:19" ht="24.6" customHeight="1">
      <c r="A24" s="84"/>
      <c r="B24" s="323" t="s">
        <v>317</v>
      </c>
      <c r="C24" s="125" t="s">
        <v>228</v>
      </c>
      <c r="D24" s="13"/>
      <c r="E24" s="24"/>
      <c r="F24" s="250"/>
      <c r="G24" s="250"/>
      <c r="H24" s="250"/>
      <c r="I24" s="250"/>
      <c r="J24" s="250"/>
      <c r="K24" s="24"/>
    </row>
    <row r="25" spans="1:19" ht="24.6" customHeight="1">
      <c r="A25" s="84"/>
      <c r="B25" s="84"/>
      <c r="C25" s="5"/>
      <c r="D25" s="5"/>
      <c r="E25" s="26">
        <f>K15+1</f>
        <v>15</v>
      </c>
      <c r="F25" s="27">
        <f t="shared" ref="F25:K25" si="1">E25+1</f>
        <v>16</v>
      </c>
      <c r="G25" s="27">
        <f t="shared" si="1"/>
        <v>17</v>
      </c>
      <c r="H25" s="27">
        <f t="shared" si="1"/>
        <v>18</v>
      </c>
      <c r="I25" s="27">
        <f t="shared" si="1"/>
        <v>19</v>
      </c>
      <c r="J25" s="27">
        <f t="shared" si="1"/>
        <v>20</v>
      </c>
      <c r="K25" s="52">
        <f t="shared" si="1"/>
        <v>21</v>
      </c>
      <c r="M25" s="1453"/>
      <c r="N25" s="1453"/>
      <c r="O25" s="1453"/>
    </row>
    <row r="26" spans="1:19" ht="24.6" customHeight="1">
      <c r="A26" s="84"/>
      <c r="B26" s="1467" t="s">
        <v>286</v>
      </c>
      <c r="C26" s="12" t="s">
        <v>9</v>
      </c>
      <c r="D26" s="13"/>
      <c r="E26" s="14"/>
      <c r="F26" s="160" t="s">
        <v>1346</v>
      </c>
      <c r="G26" s="318" t="s">
        <v>1347</v>
      </c>
      <c r="H26" s="160" t="s">
        <v>482</v>
      </c>
      <c r="I26" s="318" t="s">
        <v>1348</v>
      </c>
      <c r="J26" s="318" t="s">
        <v>1350</v>
      </c>
      <c r="K26" s="14"/>
    </row>
    <row r="27" spans="1:19" ht="24.6" customHeight="1">
      <c r="A27" s="84"/>
      <c r="B27" s="1467"/>
      <c r="C27" s="290" t="s">
        <v>7</v>
      </c>
      <c r="D27" s="13"/>
      <c r="E27" s="14"/>
      <c r="F27" s="160"/>
      <c r="G27" s="160"/>
      <c r="H27" s="160" t="s">
        <v>1251</v>
      </c>
      <c r="I27" s="160"/>
      <c r="J27" s="160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/>
      <c r="C28" s="163" t="s">
        <v>389</v>
      </c>
      <c r="D28" s="13"/>
      <c r="E28" s="14"/>
      <c r="F28" s="160"/>
      <c r="G28" s="160"/>
      <c r="H28" s="160"/>
      <c r="I28" s="160"/>
      <c r="J28" s="160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305" t="s">
        <v>316</v>
      </c>
      <c r="D29" s="13"/>
      <c r="E29" s="14"/>
      <c r="F29" s="160"/>
      <c r="G29" s="160"/>
      <c r="H29" s="160"/>
      <c r="I29" s="160"/>
      <c r="J29" s="160" t="s">
        <v>1349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 t="s">
        <v>287</v>
      </c>
      <c r="C30" s="12" t="s">
        <v>9</v>
      </c>
      <c r="D30" s="13"/>
      <c r="E30" s="14"/>
      <c r="F30" s="1556" t="s">
        <v>1351</v>
      </c>
      <c r="G30" s="1557"/>
      <c r="H30" s="160"/>
      <c r="I30" s="1556" t="s">
        <v>1352</v>
      </c>
      <c r="J30" s="1557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328" t="s">
        <v>1270</v>
      </c>
      <c r="D31" s="13"/>
      <c r="E31" s="14"/>
      <c r="F31" s="160"/>
      <c r="G31" s="160"/>
      <c r="H31" s="160"/>
      <c r="I31" s="160"/>
      <c r="J31" s="160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290" t="s">
        <v>292</v>
      </c>
      <c r="D32" s="13"/>
      <c r="E32" s="14"/>
      <c r="F32" s="1522" t="s">
        <v>1307</v>
      </c>
      <c r="G32" s="1523"/>
      <c r="H32" s="243" t="s">
        <v>1331</v>
      </c>
      <c r="I32" s="160"/>
      <c r="J32" s="160"/>
      <c r="K32" s="14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305" t="s">
        <v>316</v>
      </c>
      <c r="D33" s="13"/>
      <c r="E33" s="14"/>
      <c r="F33" s="177" t="s">
        <v>1355</v>
      </c>
      <c r="G33" s="177" t="s">
        <v>1355</v>
      </c>
      <c r="H33" s="177" t="s">
        <v>1355</v>
      </c>
      <c r="I33" s="177" t="s">
        <v>1356</v>
      </c>
      <c r="J33" s="177" t="s">
        <v>1357</v>
      </c>
      <c r="K33" s="1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323" t="s">
        <v>317</v>
      </c>
      <c r="C34" s="125" t="s">
        <v>228</v>
      </c>
      <c r="D34" s="13"/>
      <c r="E34" s="14"/>
      <c r="F34" s="160"/>
      <c r="G34" s="160"/>
      <c r="H34" s="160"/>
      <c r="I34" s="160"/>
      <c r="J34" s="160"/>
      <c r="K34" s="1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3">
        <f>K25+1</f>
        <v>22</v>
      </c>
      <c r="F35" s="304">
        <f t="shared" ref="F35:K35" si="2">E35+1</f>
        <v>23</v>
      </c>
      <c r="G35" s="304">
        <f t="shared" si="2"/>
        <v>24</v>
      </c>
      <c r="H35" s="304">
        <f t="shared" si="2"/>
        <v>25</v>
      </c>
      <c r="I35" s="304">
        <f t="shared" si="2"/>
        <v>26</v>
      </c>
      <c r="J35" s="304">
        <f t="shared" si="2"/>
        <v>27</v>
      </c>
      <c r="K35" s="23">
        <f t="shared" si="2"/>
        <v>28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286</v>
      </c>
      <c r="C36" s="12" t="s">
        <v>9</v>
      </c>
      <c r="D36" s="13"/>
      <c r="E36" s="24"/>
      <c r="F36" s="318" t="s">
        <v>1360</v>
      </c>
      <c r="G36" s="250"/>
      <c r="H36" s="318" t="s">
        <v>1361</v>
      </c>
      <c r="I36" s="250"/>
      <c r="J36" s="318" t="s">
        <v>1362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290" t="s">
        <v>7</v>
      </c>
      <c r="D37" s="13"/>
      <c r="E37" s="24"/>
      <c r="F37" s="250"/>
      <c r="G37" s="250"/>
      <c r="H37" s="250"/>
      <c r="I37" s="250"/>
      <c r="J37" s="302" t="s">
        <v>1304</v>
      </c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63" t="s">
        <v>389</v>
      </c>
      <c r="D38" s="13"/>
      <c r="E38" s="24"/>
      <c r="F38" s="250"/>
      <c r="G38" s="250"/>
      <c r="H38" s="250"/>
      <c r="I38" s="250"/>
      <c r="J38" s="250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05" t="s">
        <v>316</v>
      </c>
      <c r="D39" s="13"/>
      <c r="E39" s="24"/>
      <c r="F39" s="250"/>
      <c r="G39" s="250"/>
      <c r="H39" s="250"/>
      <c r="I39" s="250"/>
      <c r="J39" s="250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" customHeight="1">
      <c r="A40" s="84"/>
      <c r="B40" s="1467" t="s">
        <v>287</v>
      </c>
      <c r="C40" s="12" t="s">
        <v>9</v>
      </c>
      <c r="D40" s="13"/>
      <c r="E40" s="24"/>
      <c r="F40" s="1556" t="s">
        <v>1368</v>
      </c>
      <c r="G40" s="1557"/>
      <c r="H40" s="250"/>
      <c r="I40" s="1556" t="s">
        <v>1369</v>
      </c>
      <c r="J40" s="1557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" customHeight="1">
      <c r="A41" s="84"/>
      <c r="B41" s="1467"/>
      <c r="C41" s="328" t="s">
        <v>1270</v>
      </c>
      <c r="D41" s="13"/>
      <c r="E41" s="24"/>
      <c r="F41" s="250"/>
      <c r="G41" s="250"/>
      <c r="H41" s="335"/>
      <c r="I41" s="250"/>
      <c r="J41" s="250"/>
      <c r="K41" s="24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290" t="s">
        <v>292</v>
      </c>
      <c r="D42" s="13"/>
      <c r="E42" s="24"/>
      <c r="F42" s="1522" t="s">
        <v>1332</v>
      </c>
      <c r="G42" s="1545"/>
      <c r="H42" s="335"/>
      <c r="I42" s="1522" t="s">
        <v>1363</v>
      </c>
      <c r="J42" s="1545"/>
      <c r="K42" s="2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305" t="s">
        <v>316</v>
      </c>
      <c r="D43" s="13"/>
      <c r="E43" s="24"/>
      <c r="F43" s="177" t="s">
        <v>1357</v>
      </c>
      <c r="G43" s="177" t="s">
        <v>1358</v>
      </c>
      <c r="H43" s="177" t="s">
        <v>1359</v>
      </c>
      <c r="I43" s="177" t="s">
        <v>1359</v>
      </c>
      <c r="J43" s="177" t="s">
        <v>1359</v>
      </c>
      <c r="K43" s="2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323" t="s">
        <v>317</v>
      </c>
      <c r="C44" s="125" t="s">
        <v>228</v>
      </c>
      <c r="D44" s="13"/>
      <c r="E44" s="24"/>
      <c r="F44" s="250"/>
      <c r="G44" s="250"/>
      <c r="H44" s="250"/>
      <c r="I44" s="250"/>
      <c r="J44" s="250"/>
      <c r="K44" s="2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30"/>
      <c r="D45" s="13"/>
      <c r="E45" s="31">
        <f>K35+1</f>
        <v>29</v>
      </c>
      <c r="F45" s="27">
        <f>E45+1</f>
        <v>30</v>
      </c>
      <c r="G45" s="27"/>
      <c r="H45" s="27"/>
      <c r="I45" s="27"/>
      <c r="J45" s="27"/>
      <c r="K45" s="52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12" t="s">
        <v>9</v>
      </c>
      <c r="D46" s="13"/>
      <c r="E46" s="14"/>
      <c r="F46" s="160"/>
      <c r="G46" s="160"/>
      <c r="H46" s="160"/>
      <c r="I46" s="160"/>
      <c r="J46" s="160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7</v>
      </c>
      <c r="D47" s="13"/>
      <c r="E47" s="14"/>
      <c r="F47" s="160"/>
      <c r="G47" s="160"/>
      <c r="H47" s="160"/>
      <c r="I47" s="160"/>
      <c r="J47" s="160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3" t="s">
        <v>389</v>
      </c>
      <c r="D48" s="13"/>
      <c r="E48" s="14"/>
      <c r="F48" s="160"/>
      <c r="G48" s="160"/>
      <c r="H48" s="160"/>
      <c r="I48" s="160"/>
      <c r="J48" s="160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305" t="s">
        <v>316</v>
      </c>
      <c r="D49" s="13"/>
      <c r="E49" s="14"/>
      <c r="F49" s="160"/>
      <c r="G49" s="160"/>
      <c r="H49" s="160"/>
      <c r="I49" s="160"/>
      <c r="J49" s="160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287</v>
      </c>
      <c r="C50" s="12" t="s">
        <v>9</v>
      </c>
      <c r="D50" s="13"/>
      <c r="E50" s="14"/>
      <c r="F50" s="282" t="s">
        <v>1378</v>
      </c>
      <c r="G50" s="160"/>
      <c r="H50" s="160"/>
      <c r="I50" s="160"/>
      <c r="J50" s="160"/>
      <c r="K50" s="1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328" t="s">
        <v>1270</v>
      </c>
      <c r="D51" s="13"/>
      <c r="E51" s="14"/>
      <c r="F51" s="160"/>
      <c r="G51" s="160"/>
      <c r="H51" s="160"/>
      <c r="I51" s="160"/>
      <c r="J51" s="160"/>
      <c r="K51" s="1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290" t="s">
        <v>292</v>
      </c>
      <c r="D52" s="13"/>
      <c r="E52" s="14"/>
      <c r="F52" s="302" t="s">
        <v>1339</v>
      </c>
      <c r="G52" s="160"/>
      <c r="H52" s="160"/>
      <c r="I52" s="321"/>
      <c r="J52" s="160"/>
      <c r="K52" s="1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305" t="s">
        <v>316</v>
      </c>
      <c r="D53" s="13"/>
      <c r="E53" s="14"/>
      <c r="F53" s="177" t="s">
        <v>1359</v>
      </c>
      <c r="G53" s="160"/>
      <c r="H53" s="160"/>
      <c r="I53" s="160"/>
      <c r="J53" s="160"/>
      <c r="K53" s="14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323" t="s">
        <v>317</v>
      </c>
      <c r="C54" s="125" t="s">
        <v>228</v>
      </c>
      <c r="D54" s="13"/>
      <c r="E54" s="14"/>
      <c r="F54" s="160"/>
      <c r="G54" s="160"/>
      <c r="H54" s="160"/>
      <c r="I54" s="160"/>
      <c r="J54" s="160"/>
      <c r="K54" s="14"/>
      <c r="L54" s="84"/>
      <c r="M54" s="84"/>
      <c r="N54" s="84"/>
      <c r="O54" s="84"/>
      <c r="P54" s="84"/>
      <c r="Q54" s="84"/>
      <c r="R54" s="84"/>
      <c r="S54" s="84"/>
    </row>
  </sheetData>
  <mergeCells count="25">
    <mergeCell ref="B50:B53"/>
    <mergeCell ref="F12:G12"/>
    <mergeCell ref="B36:B39"/>
    <mergeCell ref="B40:B43"/>
    <mergeCell ref="F40:G40"/>
    <mergeCell ref="F14:H14"/>
    <mergeCell ref="B16:B19"/>
    <mergeCell ref="B20:B23"/>
    <mergeCell ref="B26:B29"/>
    <mergeCell ref="F22:G22"/>
    <mergeCell ref="F32:G32"/>
    <mergeCell ref="E3:G3"/>
    <mergeCell ref="H3:K3"/>
    <mergeCell ref="B6:B9"/>
    <mergeCell ref="B10:B13"/>
    <mergeCell ref="B46:B49"/>
    <mergeCell ref="I40:J40"/>
    <mergeCell ref="I42:J42"/>
    <mergeCell ref="I20:J20"/>
    <mergeCell ref="I22:J22"/>
    <mergeCell ref="M25:O25"/>
    <mergeCell ref="B30:B33"/>
    <mergeCell ref="F30:G30"/>
    <mergeCell ref="I30:J30"/>
    <mergeCell ref="F42:G42"/>
  </mergeCells>
  <phoneticPr fontId="6" type="noConversion"/>
  <pageMargins left="0.7" right="0.7" top="0.75" bottom="0.75" header="0.3" footer="0.3"/>
  <pageSetup paperSize="9" scale="37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6">
    <pageSetUpPr fitToPage="1"/>
  </sheetPr>
  <dimension ref="A1:S49"/>
  <sheetViews>
    <sheetView topLeftCell="A17" zoomScale="80" zoomScaleNormal="80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44166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>
        <v>1</v>
      </c>
      <c r="H5" s="60">
        <f>G5+1</f>
        <v>2</v>
      </c>
      <c r="I5" s="60">
        <f>H5+1</f>
        <v>3</v>
      </c>
      <c r="J5" s="60">
        <f>I5+1</f>
        <v>4</v>
      </c>
      <c r="K5" s="60">
        <f>J5+1</f>
        <v>5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318" t="s">
        <v>1381</v>
      </c>
      <c r="H6" s="280" t="s">
        <v>1382</v>
      </c>
      <c r="I6" s="280" t="s">
        <v>1383</v>
      </c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14"/>
      <c r="G7" s="14"/>
      <c r="H7" s="290" t="s">
        <v>1376</v>
      </c>
      <c r="I7" s="14"/>
      <c r="J7" s="290" t="s">
        <v>1324</v>
      </c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05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282" t="s">
        <v>1366</v>
      </c>
      <c r="H10" s="14"/>
      <c r="I10" s="1574" t="s">
        <v>1379</v>
      </c>
      <c r="J10" s="155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14"/>
      <c r="F11" s="14"/>
      <c r="G11" s="302" t="s">
        <v>1340</v>
      </c>
      <c r="H11" s="14"/>
      <c r="I11" s="243" t="s">
        <v>1372</v>
      </c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05" t="s">
        <v>316</v>
      </c>
      <c r="D12" s="13"/>
      <c r="E12" s="14"/>
      <c r="F12" s="14"/>
      <c r="G12" s="177" t="s">
        <v>1359</v>
      </c>
      <c r="H12" s="177" t="s">
        <v>1380</v>
      </c>
      <c r="I12" s="325" t="s">
        <v>1403</v>
      </c>
      <c r="J12" s="325" t="s">
        <v>1370</v>
      </c>
      <c r="K12" s="14"/>
      <c r="L12" s="4"/>
      <c r="M12" s="4"/>
      <c r="N12" s="4"/>
      <c r="R12" s="11"/>
      <c r="S12" s="4"/>
    </row>
    <row r="13" spans="1:19" s="5" customFormat="1" ht="24.6" customHeight="1">
      <c r="B13" s="312" t="s">
        <v>317</v>
      </c>
      <c r="C13" s="125" t="s">
        <v>228</v>
      </c>
      <c r="D13" s="13"/>
      <c r="E13" s="14"/>
      <c r="F13" s="311"/>
      <c r="G13" s="311"/>
      <c r="H13" s="14"/>
      <c r="I13" s="142"/>
      <c r="J13" s="311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6</v>
      </c>
      <c r="F14" s="65">
        <f t="shared" ref="F14:K14" si="0">E14+1</f>
        <v>7</v>
      </c>
      <c r="G14" s="65">
        <f t="shared" si="0"/>
        <v>8</v>
      </c>
      <c r="H14" s="65">
        <f t="shared" si="0"/>
        <v>9</v>
      </c>
      <c r="I14" s="65">
        <f t="shared" si="0"/>
        <v>10</v>
      </c>
      <c r="J14" s="65">
        <f t="shared" si="0"/>
        <v>11</v>
      </c>
      <c r="K14" s="23">
        <f t="shared" si="0"/>
        <v>12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80" t="s">
        <v>1385</v>
      </c>
      <c r="H15" s="340" t="s">
        <v>1384</v>
      </c>
      <c r="I15" s="280" t="s">
        <v>1386</v>
      </c>
      <c r="J15" s="24"/>
      <c r="K15" s="24"/>
    </row>
    <row r="16" spans="1:19" ht="24.6" customHeight="1">
      <c r="A16" s="84"/>
      <c r="B16" s="1467"/>
      <c r="C16" s="290" t="s">
        <v>7</v>
      </c>
      <c r="D16" s="13"/>
      <c r="E16" s="24"/>
      <c r="F16" s="24"/>
      <c r="G16" s="24"/>
      <c r="H16" s="24"/>
      <c r="I16" s="24"/>
      <c r="J16" s="290" t="s">
        <v>1330</v>
      </c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305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56" t="s">
        <v>1393</v>
      </c>
      <c r="G19" s="1557"/>
      <c r="H19" s="24"/>
      <c r="I19" s="1556" t="s">
        <v>1387</v>
      </c>
      <c r="J19" s="1557"/>
      <c r="K19" s="24"/>
    </row>
    <row r="20" spans="1:19" ht="24" customHeight="1">
      <c r="A20" s="84"/>
      <c r="B20" s="1467"/>
      <c r="C20" s="290" t="s">
        <v>292</v>
      </c>
      <c r="D20" s="13"/>
      <c r="E20" s="24"/>
      <c r="F20" s="1522" t="s">
        <v>1390</v>
      </c>
      <c r="G20" s="1545"/>
      <c r="H20" s="250"/>
      <c r="I20" s="1522" t="s">
        <v>1373</v>
      </c>
      <c r="J20" s="1545"/>
      <c r="K20" s="24"/>
    </row>
    <row r="21" spans="1:19" ht="24" customHeight="1">
      <c r="A21" s="84"/>
      <c r="B21" s="1467"/>
      <c r="C21" s="305" t="s">
        <v>316</v>
      </c>
      <c r="D21" s="13"/>
      <c r="E21" s="24"/>
      <c r="F21" s="325" t="s">
        <v>1370</v>
      </c>
      <c r="G21" s="325" t="s">
        <v>1370</v>
      </c>
      <c r="H21" s="325" t="s">
        <v>1371</v>
      </c>
      <c r="I21" s="325" t="s">
        <v>1401</v>
      </c>
      <c r="J21" s="325" t="s">
        <v>1401</v>
      </c>
      <c r="K21" s="24"/>
    </row>
    <row r="22" spans="1:19" ht="24.6" customHeight="1">
      <c r="A22" s="84"/>
      <c r="B22" s="312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13</v>
      </c>
      <c r="F23" s="27">
        <f t="shared" ref="F23:K23" si="1">E23+1</f>
        <v>14</v>
      </c>
      <c r="G23" s="27">
        <f t="shared" si="1"/>
        <v>15</v>
      </c>
      <c r="H23" s="27">
        <f t="shared" si="1"/>
        <v>16</v>
      </c>
      <c r="I23" s="27">
        <f t="shared" si="1"/>
        <v>17</v>
      </c>
      <c r="J23" s="27">
        <f t="shared" si="1"/>
        <v>18</v>
      </c>
      <c r="K23" s="52">
        <f t="shared" si="1"/>
        <v>19</v>
      </c>
      <c r="M23" s="203"/>
      <c r="N23" s="203"/>
      <c r="O23" s="20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280" t="s">
        <v>1391</v>
      </c>
      <c r="H24" s="14"/>
      <c r="I24" s="280" t="s">
        <v>1392</v>
      </c>
      <c r="J24" s="14"/>
      <c r="K24" s="14"/>
    </row>
    <row r="25" spans="1:19" ht="24.6" customHeight="1">
      <c r="A25" s="84"/>
      <c r="B25" s="1467"/>
      <c r="C25" s="290" t="s">
        <v>7</v>
      </c>
      <c r="D25" s="13"/>
      <c r="E25" s="14"/>
      <c r="F25" s="290" t="s">
        <v>1330</v>
      </c>
      <c r="G25" s="14"/>
      <c r="H25" s="14"/>
      <c r="I25" s="290" t="s">
        <v>1377</v>
      </c>
      <c r="J25" s="290" t="s">
        <v>1347</v>
      </c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05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4"/>
      <c r="G28" s="1556" t="s">
        <v>1440</v>
      </c>
      <c r="H28" s="1557"/>
      <c r="I28" s="14"/>
      <c r="J28" s="1556" t="s">
        <v>1400</v>
      </c>
      <c r="K28" s="1557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14"/>
      <c r="F29" s="1522" t="s">
        <v>1374</v>
      </c>
      <c r="G29" s="1545"/>
      <c r="H29" s="302" t="s">
        <v>1364</v>
      </c>
      <c r="I29" s="1522" t="s">
        <v>1375</v>
      </c>
      <c r="J29" s="1545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05" t="s">
        <v>316</v>
      </c>
      <c r="D30" s="13"/>
      <c r="E30" s="14"/>
      <c r="F30" s="325" t="s">
        <v>1401</v>
      </c>
      <c r="G30" s="325" t="s">
        <v>1402</v>
      </c>
      <c r="H30" s="325" t="s">
        <v>1404</v>
      </c>
      <c r="I30" s="325" t="s">
        <v>1404</v>
      </c>
      <c r="J30" s="325" t="s">
        <v>1404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12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20</v>
      </c>
      <c r="F32" s="304">
        <f t="shared" ref="F32:K32" si="2">E32+1</f>
        <v>21</v>
      </c>
      <c r="G32" s="304">
        <f t="shared" si="2"/>
        <v>22</v>
      </c>
      <c r="H32" s="304">
        <f t="shared" si="2"/>
        <v>23</v>
      </c>
      <c r="I32" s="304">
        <f t="shared" si="2"/>
        <v>24</v>
      </c>
      <c r="J32" s="54">
        <f t="shared" si="2"/>
        <v>25</v>
      </c>
      <c r="K32" s="23">
        <f t="shared" si="2"/>
        <v>26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24"/>
      <c r="F34" s="24"/>
      <c r="G34" s="290" t="s">
        <v>1341</v>
      </c>
      <c r="H34" s="290" t="s">
        <v>1348</v>
      </c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05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1556" t="s">
        <v>1398</v>
      </c>
      <c r="H37" s="1557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24"/>
      <c r="F38" s="1522" t="s">
        <v>1395</v>
      </c>
      <c r="G38" s="1545"/>
      <c r="H38" s="302" t="s">
        <v>1365</v>
      </c>
      <c r="I38" s="302" t="s">
        <v>1388</v>
      </c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05" t="s">
        <v>316</v>
      </c>
      <c r="D39" s="13"/>
      <c r="E39" s="24"/>
      <c r="F39" s="325" t="s">
        <v>1404</v>
      </c>
      <c r="G39" s="325" t="s">
        <v>1404</v>
      </c>
      <c r="H39" s="325" t="s">
        <v>1405</v>
      </c>
      <c r="I39" s="325" t="s">
        <v>1406</v>
      </c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12" t="s">
        <v>317</v>
      </c>
      <c r="C40" s="125" t="s">
        <v>228</v>
      </c>
      <c r="D40" s="13"/>
      <c r="E40" s="24"/>
      <c r="F40" s="24"/>
      <c r="G40" s="24"/>
      <c r="H40" s="24"/>
      <c r="I40" s="24"/>
      <c r="J40" s="159" t="s">
        <v>277</v>
      </c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27</v>
      </c>
      <c r="F41" s="27">
        <f>E41+1</f>
        <v>28</v>
      </c>
      <c r="G41" s="27">
        <f>F41+1</f>
        <v>29</v>
      </c>
      <c r="H41" s="27">
        <f>G41+1</f>
        <v>30</v>
      </c>
      <c r="I41" s="27">
        <f>H41+1</f>
        <v>31</v>
      </c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14"/>
      <c r="F43" s="14"/>
      <c r="G43" s="290" t="s">
        <v>1350</v>
      </c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05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14"/>
      <c r="F47" s="14"/>
      <c r="G47" s="14"/>
      <c r="H47" s="1522" t="s">
        <v>1394</v>
      </c>
      <c r="I47" s="1545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05" t="s">
        <v>316</v>
      </c>
      <c r="D48" s="13"/>
      <c r="E48" s="14"/>
      <c r="F48" s="325" t="s">
        <v>1406</v>
      </c>
      <c r="G48" s="325" t="s">
        <v>1406</v>
      </c>
      <c r="H48" s="325" t="s">
        <v>1407</v>
      </c>
      <c r="I48" s="325" t="s">
        <v>1408</v>
      </c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12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4">
    <mergeCell ref="B24:B27"/>
    <mergeCell ref="E3:G3"/>
    <mergeCell ref="H3:K3"/>
    <mergeCell ref="B6:B9"/>
    <mergeCell ref="B10:B12"/>
    <mergeCell ref="I10:J10"/>
    <mergeCell ref="B15:B18"/>
    <mergeCell ref="I20:J20"/>
    <mergeCell ref="B19:B21"/>
    <mergeCell ref="F19:G19"/>
    <mergeCell ref="I19:J19"/>
    <mergeCell ref="F20:G20"/>
    <mergeCell ref="B42:B45"/>
    <mergeCell ref="B46:B48"/>
    <mergeCell ref="I29:J29"/>
    <mergeCell ref="B28:B30"/>
    <mergeCell ref="J28:K28"/>
    <mergeCell ref="G37:H37"/>
    <mergeCell ref="F29:G29"/>
    <mergeCell ref="G28:H28"/>
    <mergeCell ref="H47:I47"/>
    <mergeCell ref="B33:B36"/>
    <mergeCell ref="B37:B39"/>
    <mergeCell ref="F38:G38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S49"/>
  <sheetViews>
    <sheetView topLeftCell="A16" zoomScale="70" zoomScaleNormal="70" workbookViewId="0">
      <selection activeCell="I46" sqref="I4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44166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>
        <v>1</v>
      </c>
      <c r="H5" s="60">
        <f>G5+1</f>
        <v>2</v>
      </c>
      <c r="I5" s="60">
        <f>H5+1</f>
        <v>3</v>
      </c>
      <c r="J5" s="60">
        <f>I5+1</f>
        <v>4</v>
      </c>
      <c r="K5" s="60">
        <f>J5+1</f>
        <v>5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282" t="s">
        <v>1080</v>
      </c>
      <c r="H10" s="14"/>
      <c r="I10" s="1574" t="s">
        <v>1079</v>
      </c>
      <c r="J10" s="155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509" t="s">
        <v>1072</v>
      </c>
      <c r="J11" s="1510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305" t="s">
        <v>1154</v>
      </c>
      <c r="H12" s="305" t="s">
        <v>1154</v>
      </c>
      <c r="I12" s="305" t="s">
        <v>1155</v>
      </c>
      <c r="J12" s="305" t="s">
        <v>1114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14" t="s">
        <v>317</v>
      </c>
      <c r="C13" s="125" t="s">
        <v>228</v>
      </c>
      <c r="D13" s="13"/>
      <c r="E13" s="14"/>
      <c r="F13" s="213"/>
      <c r="G13" s="213"/>
      <c r="H13" s="14"/>
      <c r="I13" s="142"/>
      <c r="J13" s="213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6</v>
      </c>
      <c r="F14" s="65">
        <f t="shared" ref="F14:K14" si="0">E14+1</f>
        <v>7</v>
      </c>
      <c r="G14" s="65">
        <f t="shared" si="0"/>
        <v>8</v>
      </c>
      <c r="H14" s="65">
        <f t="shared" si="0"/>
        <v>9</v>
      </c>
      <c r="I14" s="65">
        <f t="shared" si="0"/>
        <v>10</v>
      </c>
      <c r="J14" s="65">
        <f t="shared" si="0"/>
        <v>11</v>
      </c>
      <c r="K14" s="23">
        <f t="shared" si="0"/>
        <v>12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06" t="s">
        <v>743</v>
      </c>
      <c r="G19" s="1557"/>
      <c r="H19" s="24"/>
      <c r="I19" s="1506" t="s">
        <v>744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1509" t="s">
        <v>1073</v>
      </c>
      <c r="G20" s="1510"/>
      <c r="H20" s="24"/>
      <c r="I20" s="1509" t="s">
        <v>1170</v>
      </c>
      <c r="J20" s="1510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305" t="s">
        <v>1114</v>
      </c>
      <c r="G21" s="305" t="s">
        <v>1156</v>
      </c>
      <c r="H21" s="305" t="s">
        <v>1157</v>
      </c>
      <c r="I21" s="305" t="s">
        <v>1157</v>
      </c>
      <c r="J21" s="305" t="s">
        <v>1157</v>
      </c>
      <c r="K21" s="24"/>
    </row>
    <row r="22" spans="1:19" ht="24.6" customHeight="1">
      <c r="A22" s="84"/>
      <c r="B22" s="214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13</v>
      </c>
      <c r="F23" s="27">
        <f t="shared" ref="F23:K23" si="1">E23+1</f>
        <v>14</v>
      </c>
      <c r="G23" s="27">
        <f t="shared" si="1"/>
        <v>15</v>
      </c>
      <c r="H23" s="27">
        <f t="shared" si="1"/>
        <v>16</v>
      </c>
      <c r="I23" s="27">
        <f t="shared" si="1"/>
        <v>17</v>
      </c>
      <c r="J23" s="27">
        <f t="shared" si="1"/>
        <v>18</v>
      </c>
      <c r="K23" s="52">
        <f t="shared" si="1"/>
        <v>19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06" t="s">
        <v>745</v>
      </c>
      <c r="G28" s="1557"/>
      <c r="H28" s="14"/>
      <c r="I28" s="1506" t="s">
        <v>1128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4"/>
      <c r="I29" s="1509" t="s">
        <v>1074</v>
      </c>
      <c r="J29" s="1510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305" t="s">
        <v>1158</v>
      </c>
      <c r="G30" s="305" t="s">
        <v>1115</v>
      </c>
      <c r="H30" s="305" t="s">
        <v>1115</v>
      </c>
      <c r="I30" s="305" t="s">
        <v>1159</v>
      </c>
      <c r="J30" s="305" t="s">
        <v>1116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14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20</v>
      </c>
      <c r="F32" s="37">
        <f t="shared" ref="F32:K32" si="2">E32+1</f>
        <v>21</v>
      </c>
      <c r="G32" s="37">
        <f t="shared" si="2"/>
        <v>22</v>
      </c>
      <c r="H32" s="37">
        <f t="shared" si="2"/>
        <v>23</v>
      </c>
      <c r="I32" s="37">
        <f t="shared" si="2"/>
        <v>24</v>
      </c>
      <c r="J32" s="54">
        <f t="shared" si="2"/>
        <v>25</v>
      </c>
      <c r="K32" s="23">
        <f t="shared" si="2"/>
        <v>26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1509" t="s">
        <v>1171</v>
      </c>
      <c r="G38" s="1510"/>
      <c r="H38" s="301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305" t="s">
        <v>1116</v>
      </c>
      <c r="G39" s="305" t="s">
        <v>1116</v>
      </c>
      <c r="H39" s="305" t="s">
        <v>1160</v>
      </c>
      <c r="I39" s="305" t="s">
        <v>1117</v>
      </c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14" t="s">
        <v>317</v>
      </c>
      <c r="C40" s="125" t="s">
        <v>228</v>
      </c>
      <c r="D40" s="13"/>
      <c r="E40" s="24"/>
      <c r="F40" s="24"/>
      <c r="G40" s="24"/>
      <c r="H40" s="24"/>
      <c r="I40" s="24"/>
      <c r="J40" s="159" t="s">
        <v>277</v>
      </c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27</v>
      </c>
      <c r="F41" s="27">
        <f>E41+1</f>
        <v>28</v>
      </c>
      <c r="G41" s="27">
        <f>F41+1</f>
        <v>29</v>
      </c>
      <c r="H41" s="27">
        <f>G41+1</f>
        <v>30</v>
      </c>
      <c r="I41" s="27">
        <f>H41+1</f>
        <v>31</v>
      </c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09" t="s">
        <v>1075</v>
      </c>
      <c r="G47" s="1510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305" t="s">
        <v>1117</v>
      </c>
      <c r="G48" s="305" t="s">
        <v>1161</v>
      </c>
      <c r="H48" s="305" t="s">
        <v>1118</v>
      </c>
      <c r="I48" s="305" t="s">
        <v>1118</v>
      </c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14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4">
    <mergeCell ref="B37:B39"/>
    <mergeCell ref="B42:B45"/>
    <mergeCell ref="B46:B48"/>
    <mergeCell ref="F38:G38"/>
    <mergeCell ref="F47:G47"/>
    <mergeCell ref="B19:B21"/>
    <mergeCell ref="M23:O23"/>
    <mergeCell ref="B24:B27"/>
    <mergeCell ref="B28:B30"/>
    <mergeCell ref="B33:B36"/>
    <mergeCell ref="F19:G19"/>
    <mergeCell ref="I19:J19"/>
    <mergeCell ref="F28:G28"/>
    <mergeCell ref="I28:J28"/>
    <mergeCell ref="F20:G20"/>
    <mergeCell ref="I20:J20"/>
    <mergeCell ref="I29:J29"/>
    <mergeCell ref="E3:G3"/>
    <mergeCell ref="H3:K3"/>
    <mergeCell ref="B6:B9"/>
    <mergeCell ref="B10:B12"/>
    <mergeCell ref="B15:B18"/>
    <mergeCell ref="I10:J10"/>
    <mergeCell ref="I11:J11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S49"/>
  <sheetViews>
    <sheetView topLeftCell="C19" zoomScaleNormal="100" workbookViewId="0">
      <selection activeCell="G21" sqref="G21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44166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>
        <v>1</v>
      </c>
      <c r="H5" s="60">
        <f>G5+1</f>
        <v>2</v>
      </c>
      <c r="I5" s="60">
        <f>H5+1</f>
        <v>3</v>
      </c>
      <c r="J5" s="60">
        <f>I5+1</f>
        <v>4</v>
      </c>
      <c r="K5" s="60">
        <f>J5+1</f>
        <v>5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05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282" t="s">
        <v>1080</v>
      </c>
      <c r="H10" s="14"/>
      <c r="I10" s="1574" t="s">
        <v>1079</v>
      </c>
      <c r="J10" s="155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14"/>
      <c r="F11" s="14"/>
      <c r="G11" s="209" t="s">
        <v>1073</v>
      </c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05" t="s">
        <v>316</v>
      </c>
      <c r="D12" s="13"/>
      <c r="E12" s="14"/>
      <c r="F12" s="14"/>
      <c r="G12" s="305" t="s">
        <v>1154</v>
      </c>
      <c r="H12" s="305" t="s">
        <v>1154</v>
      </c>
      <c r="I12" s="305" t="s">
        <v>1155</v>
      </c>
      <c r="J12" s="305" t="s">
        <v>1114</v>
      </c>
      <c r="K12" s="14"/>
      <c r="L12" s="4"/>
      <c r="M12" s="4"/>
      <c r="N12" s="4"/>
      <c r="R12" s="11"/>
      <c r="S12" s="4"/>
    </row>
    <row r="13" spans="1:19" s="5" customFormat="1" ht="24.6" customHeight="1">
      <c r="B13" s="308" t="s">
        <v>317</v>
      </c>
      <c r="C13" s="125" t="s">
        <v>228</v>
      </c>
      <c r="D13" s="13"/>
      <c r="E13" s="14"/>
      <c r="F13" s="307"/>
      <c r="G13" s="307"/>
      <c r="H13" s="14"/>
      <c r="I13" s="142"/>
      <c r="J13" s="307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6</v>
      </c>
      <c r="F14" s="65">
        <f t="shared" ref="F14:K14" si="0">E14+1</f>
        <v>7</v>
      </c>
      <c r="G14" s="65">
        <f t="shared" si="0"/>
        <v>8</v>
      </c>
      <c r="H14" s="65">
        <f t="shared" si="0"/>
        <v>9</v>
      </c>
      <c r="I14" s="65">
        <f t="shared" si="0"/>
        <v>10</v>
      </c>
      <c r="J14" s="65">
        <f t="shared" si="0"/>
        <v>11</v>
      </c>
      <c r="K14" s="23">
        <f t="shared" si="0"/>
        <v>12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290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305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1506" t="s">
        <v>743</v>
      </c>
      <c r="F19" s="1507"/>
      <c r="G19" s="24"/>
      <c r="H19" s="1506" t="s">
        <v>744</v>
      </c>
      <c r="I19" s="1507"/>
      <c r="J19" s="24"/>
      <c r="K19" s="211" t="s">
        <v>745</v>
      </c>
    </row>
    <row r="20" spans="1:19" ht="24" customHeight="1">
      <c r="A20" s="84"/>
      <c r="B20" s="1467"/>
      <c r="C20" s="290" t="s">
        <v>292</v>
      </c>
      <c r="D20" s="13"/>
      <c r="E20" s="24"/>
      <c r="F20" s="1509" t="s">
        <v>1170</v>
      </c>
      <c r="G20" s="1510"/>
      <c r="H20" s="24"/>
      <c r="I20" s="24"/>
      <c r="J20" s="24"/>
      <c r="K20" s="24"/>
    </row>
    <row r="21" spans="1:19" ht="24" customHeight="1">
      <c r="A21" s="84"/>
      <c r="B21" s="1467"/>
      <c r="C21" s="305" t="s">
        <v>316</v>
      </c>
      <c r="D21" s="13"/>
      <c r="E21" s="24"/>
      <c r="F21" s="305" t="s">
        <v>1114</v>
      </c>
      <c r="G21" s="305" t="s">
        <v>1114</v>
      </c>
      <c r="H21" s="305" t="s">
        <v>1115</v>
      </c>
      <c r="I21" s="305" t="s">
        <v>1115</v>
      </c>
      <c r="J21" s="305" t="s">
        <v>1159</v>
      </c>
      <c r="K21" s="24"/>
    </row>
    <row r="22" spans="1:19" ht="24.6" customHeight="1">
      <c r="A22" s="84"/>
      <c r="B22" s="308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13</v>
      </c>
      <c r="F23" s="27">
        <f t="shared" ref="F23:K23" si="1">E23+1</f>
        <v>14</v>
      </c>
      <c r="G23" s="27">
        <f t="shared" si="1"/>
        <v>15</v>
      </c>
      <c r="H23" s="27">
        <f t="shared" si="1"/>
        <v>16</v>
      </c>
      <c r="I23" s="27">
        <f t="shared" si="1"/>
        <v>17</v>
      </c>
      <c r="J23" s="27">
        <f t="shared" si="1"/>
        <v>18</v>
      </c>
      <c r="K23" s="52">
        <f t="shared" si="1"/>
        <v>19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290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05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211" t="s">
        <v>745</v>
      </c>
      <c r="F28" s="14"/>
      <c r="G28" s="1506" t="s">
        <v>1128</v>
      </c>
      <c r="H28" s="1507"/>
      <c r="I28" s="14"/>
      <c r="J28" s="1506" t="s">
        <v>1129</v>
      </c>
      <c r="K28" s="1507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14"/>
      <c r="F29" s="1509" t="s">
        <v>1074</v>
      </c>
      <c r="G29" s="1510"/>
      <c r="H29" s="14"/>
      <c r="I29" s="1509" t="s">
        <v>1171</v>
      </c>
      <c r="J29" s="1510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05" t="s">
        <v>316</v>
      </c>
      <c r="D30" s="13"/>
      <c r="E30" s="14"/>
      <c r="F30" s="305" t="s">
        <v>1116</v>
      </c>
      <c r="G30" s="305" t="s">
        <v>1116</v>
      </c>
      <c r="H30" s="305" t="s">
        <v>1116</v>
      </c>
      <c r="I30" s="305" t="s">
        <v>1160</v>
      </c>
      <c r="J30" s="305" t="s">
        <v>1117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08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20</v>
      </c>
      <c r="F32" s="304">
        <f t="shared" ref="F32:K32" si="2">E32+1</f>
        <v>21</v>
      </c>
      <c r="G32" s="304">
        <f t="shared" si="2"/>
        <v>22</v>
      </c>
      <c r="H32" s="304">
        <f t="shared" si="2"/>
        <v>23</v>
      </c>
      <c r="I32" s="304">
        <f t="shared" si="2"/>
        <v>24</v>
      </c>
      <c r="J32" s="54">
        <f t="shared" si="2"/>
        <v>25</v>
      </c>
      <c r="K32" s="23">
        <f t="shared" si="2"/>
        <v>26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05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24"/>
      <c r="F38" s="1509" t="s">
        <v>1171</v>
      </c>
      <c r="G38" s="1510"/>
      <c r="H38" s="1509" t="s">
        <v>1075</v>
      </c>
      <c r="I38" s="15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05" t="s">
        <v>316</v>
      </c>
      <c r="D39" s="13"/>
      <c r="E39" s="24"/>
      <c r="F39" s="305" t="s">
        <v>1117</v>
      </c>
      <c r="G39" s="305" t="s">
        <v>1161</v>
      </c>
      <c r="H39" s="305" t="s">
        <v>1118</v>
      </c>
      <c r="I39" s="305" t="s">
        <v>1118</v>
      </c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08" t="s">
        <v>317</v>
      </c>
      <c r="C40" s="125" t="s">
        <v>228</v>
      </c>
      <c r="D40" s="13"/>
      <c r="E40" s="24"/>
      <c r="F40" s="24"/>
      <c r="G40" s="24"/>
      <c r="H40" s="24"/>
      <c r="I40" s="24"/>
      <c r="J40" s="159" t="s">
        <v>277</v>
      </c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27</v>
      </c>
      <c r="F41" s="27">
        <f>E41+1</f>
        <v>28</v>
      </c>
      <c r="G41" s="27">
        <f>F41+1</f>
        <v>29</v>
      </c>
      <c r="H41" s="27">
        <f>G41+1</f>
        <v>30</v>
      </c>
      <c r="I41" s="27">
        <f>H41+1</f>
        <v>31</v>
      </c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05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14"/>
      <c r="F47" s="1509" t="s">
        <v>1076</v>
      </c>
      <c r="G47" s="1510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05" t="s">
        <v>316</v>
      </c>
      <c r="D48" s="13"/>
      <c r="E48" s="14"/>
      <c r="F48" s="305" t="s">
        <v>1118</v>
      </c>
      <c r="G48" s="305" t="s">
        <v>1162</v>
      </c>
      <c r="H48" s="305" t="s">
        <v>1163</v>
      </c>
      <c r="I48" s="305" t="s">
        <v>1163</v>
      </c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08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4">
    <mergeCell ref="B15:B18"/>
    <mergeCell ref="B19:B21"/>
    <mergeCell ref="E3:G3"/>
    <mergeCell ref="H3:K3"/>
    <mergeCell ref="B6:B9"/>
    <mergeCell ref="B10:B12"/>
    <mergeCell ref="I10:J10"/>
    <mergeCell ref="F20:G20"/>
    <mergeCell ref="M23:O23"/>
    <mergeCell ref="B24:B27"/>
    <mergeCell ref="B28:B30"/>
    <mergeCell ref="I29:J29"/>
    <mergeCell ref="J28:K28"/>
    <mergeCell ref="F29:G29"/>
    <mergeCell ref="B33:B36"/>
    <mergeCell ref="B37:B39"/>
    <mergeCell ref="B42:B45"/>
    <mergeCell ref="B46:B48"/>
    <mergeCell ref="H19:I19"/>
    <mergeCell ref="E19:F19"/>
    <mergeCell ref="G28:H28"/>
    <mergeCell ref="H38:I38"/>
    <mergeCell ref="F38:G38"/>
    <mergeCell ref="F47:G47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9">
    <pageSetUpPr fitToPage="1"/>
  </sheetPr>
  <dimension ref="A1:S58"/>
  <sheetViews>
    <sheetView zoomScale="80" zoomScaleNormal="80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44197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/>
      <c r="J5" s="52">
        <v>1</v>
      </c>
      <c r="K5" s="60">
        <f>J5+1</f>
        <v>2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278" t="s">
        <v>317</v>
      </c>
      <c r="C13" s="125" t="s">
        <v>228</v>
      </c>
      <c r="D13" s="13"/>
      <c r="E13" s="14"/>
      <c r="F13" s="277"/>
      <c r="G13" s="277"/>
      <c r="H13" s="14"/>
      <c r="I13" s="142"/>
      <c r="J13" s="159" t="s">
        <v>538</v>
      </c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23">
        <f t="shared" si="0"/>
        <v>9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90" t="s">
        <v>1367</v>
      </c>
      <c r="G16" s="290" t="s">
        <v>1399</v>
      </c>
      <c r="H16" s="341" t="s">
        <v>1414</v>
      </c>
      <c r="I16" s="290" t="s">
        <v>1362</v>
      </c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24"/>
      <c r="H20" s="342" t="s">
        <v>1389</v>
      </c>
      <c r="I20" s="1522" t="s">
        <v>1396</v>
      </c>
      <c r="J20" s="1545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325" t="s">
        <v>1408</v>
      </c>
      <c r="G21" s="325" t="s">
        <v>1408</v>
      </c>
      <c r="H21" s="325" t="s">
        <v>1409</v>
      </c>
      <c r="I21" s="325" t="s">
        <v>1417</v>
      </c>
      <c r="J21" s="325" t="s">
        <v>1417</v>
      </c>
      <c r="K21" s="24"/>
    </row>
    <row r="22" spans="1:19" ht="24.6" customHeight="1">
      <c r="A22" s="84"/>
      <c r="B22" s="278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10</v>
      </c>
      <c r="F23" s="27">
        <f t="shared" ref="F23:K23" si="1">E23+1</f>
        <v>11</v>
      </c>
      <c r="G23" s="27">
        <f t="shared" si="1"/>
        <v>12</v>
      </c>
      <c r="H23" s="27">
        <f t="shared" si="1"/>
        <v>13</v>
      </c>
      <c r="I23" s="27">
        <f t="shared" si="1"/>
        <v>14</v>
      </c>
      <c r="J23" s="27">
        <f t="shared" si="1"/>
        <v>15</v>
      </c>
      <c r="K23" s="52">
        <f t="shared" si="1"/>
        <v>16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509" t="s">
        <v>1397</v>
      </c>
      <c r="I29" s="152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325" t="s">
        <v>1417</v>
      </c>
      <c r="G30" s="325" t="s">
        <v>1418</v>
      </c>
      <c r="H30" s="325" t="s">
        <v>1415</v>
      </c>
      <c r="I30" s="325" t="s">
        <v>1415</v>
      </c>
      <c r="J30" s="325" t="s">
        <v>1415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78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17</v>
      </c>
      <c r="F32" s="37">
        <f t="shared" ref="F32:K32" si="2">E32+1</f>
        <v>18</v>
      </c>
      <c r="G32" s="37">
        <f t="shared" si="2"/>
        <v>19</v>
      </c>
      <c r="H32" s="37">
        <f t="shared" si="2"/>
        <v>20</v>
      </c>
      <c r="I32" s="37">
        <f t="shared" si="2"/>
        <v>21</v>
      </c>
      <c r="J32" s="304">
        <f t="shared" si="2"/>
        <v>22</v>
      </c>
      <c r="K32" s="23">
        <f t="shared" si="2"/>
        <v>23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1522" t="s">
        <v>1411</v>
      </c>
      <c r="G38" s="1545"/>
      <c r="H38" s="24"/>
      <c r="I38" s="1522" t="s">
        <v>1412</v>
      </c>
      <c r="J38" s="1545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325" t="s">
        <v>1416</v>
      </c>
      <c r="G39" s="325" t="s">
        <v>1419</v>
      </c>
      <c r="H39" s="325" t="s">
        <v>1419</v>
      </c>
      <c r="I39" s="325" t="s">
        <v>1410</v>
      </c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78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24</v>
      </c>
      <c r="F41" s="27">
        <f t="shared" ref="F41:K41" si="3">E41+1</f>
        <v>25</v>
      </c>
      <c r="G41" s="27">
        <f t="shared" si="3"/>
        <v>26</v>
      </c>
      <c r="H41" s="27">
        <f t="shared" si="3"/>
        <v>27</v>
      </c>
      <c r="I41" s="27">
        <f t="shared" si="3"/>
        <v>28</v>
      </c>
      <c r="J41" s="27">
        <f t="shared" si="3"/>
        <v>29</v>
      </c>
      <c r="K41" s="27">
        <f t="shared" si="3"/>
        <v>30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22" t="s">
        <v>1413</v>
      </c>
      <c r="G47" s="1545"/>
      <c r="H47" s="243" t="s">
        <v>1420</v>
      </c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78" t="s">
        <v>317</v>
      </c>
      <c r="C49" s="125" t="s">
        <v>228</v>
      </c>
      <c r="D49" s="13"/>
      <c r="E49" s="14"/>
      <c r="F49" s="14"/>
      <c r="G49" s="346" t="s">
        <v>1436</v>
      </c>
      <c r="H49" s="346" t="s">
        <v>1436</v>
      </c>
      <c r="I49" s="346" t="s">
        <v>1437</v>
      </c>
      <c r="J49" s="346" t="s">
        <v>1437</v>
      </c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84"/>
      <c r="C50" s="30"/>
      <c r="D50" s="13"/>
      <c r="E50" s="23">
        <f>K41+1</f>
        <v>31</v>
      </c>
      <c r="F50" s="37"/>
      <c r="G50" s="37"/>
      <c r="H50" s="37"/>
      <c r="I50" s="37"/>
      <c r="J50" s="54"/>
      <c r="K50" s="23"/>
      <c r="L50" s="84"/>
      <c r="M50" s="84"/>
      <c r="N50" s="84">
        <v>1</v>
      </c>
      <c r="O50" s="84"/>
      <c r="P50" s="84"/>
      <c r="Q50" s="84"/>
      <c r="R50" s="84"/>
      <c r="S50" s="84"/>
    </row>
    <row r="51" spans="1:19" ht="24.6" customHeight="1">
      <c r="A51" s="84"/>
      <c r="B51" s="1467" t="s">
        <v>286</v>
      </c>
      <c r="C51" s="12" t="s">
        <v>9</v>
      </c>
      <c r="D51" s="13"/>
      <c r="E51" s="24"/>
      <c r="F51" s="24"/>
      <c r="G51" s="24"/>
      <c r="H51" s="24"/>
      <c r="I51" s="24"/>
      <c r="J51" s="24"/>
      <c r="K51" s="24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24" t="s">
        <v>7</v>
      </c>
      <c r="D52" s="13"/>
      <c r="E52" s="24"/>
      <c r="F52" s="24"/>
      <c r="G52" s="24"/>
      <c r="H52" s="24"/>
      <c r="I52" s="24"/>
      <c r="J52" s="24"/>
      <c r="K52" s="24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163" t="s">
        <v>389</v>
      </c>
      <c r="D53" s="13"/>
      <c r="E53" s="24"/>
      <c r="F53" s="24"/>
      <c r="G53" s="24"/>
      <c r="H53" s="24"/>
      <c r="I53" s="24"/>
      <c r="J53" s="24"/>
      <c r="K53" s="24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1467"/>
      <c r="C54" s="162" t="s">
        <v>316</v>
      </c>
      <c r="D54" s="13"/>
      <c r="E54" s="24"/>
      <c r="F54" s="24"/>
      <c r="G54" s="24"/>
      <c r="H54" s="24"/>
      <c r="I54" s="24"/>
      <c r="J54" s="24"/>
      <c r="K54" s="24"/>
      <c r="L54" s="84"/>
      <c r="M54" s="84"/>
      <c r="N54" s="84"/>
      <c r="O54" s="84"/>
      <c r="P54" s="84"/>
      <c r="Q54" s="84"/>
      <c r="R54" s="84"/>
      <c r="S54" s="84"/>
    </row>
    <row r="55" spans="1:19" ht="24.6" customHeight="1">
      <c r="A55" s="84"/>
      <c r="B55" s="1467" t="s">
        <v>287</v>
      </c>
      <c r="C55" s="12" t="s">
        <v>9</v>
      </c>
      <c r="D55" s="13"/>
      <c r="E55" s="24"/>
      <c r="F55" s="24"/>
      <c r="G55" s="24"/>
      <c r="H55" s="24"/>
      <c r="I55" s="24"/>
      <c r="J55" s="24"/>
      <c r="K55" s="24"/>
      <c r="L55" s="84"/>
      <c r="M55" s="84"/>
      <c r="N55" s="84"/>
      <c r="O55" s="84"/>
      <c r="P55" s="84"/>
      <c r="Q55" s="84"/>
      <c r="R55" s="84"/>
      <c r="S55" s="84"/>
    </row>
    <row r="56" spans="1:19" ht="24.6" customHeight="1">
      <c r="A56" s="84"/>
      <c r="B56" s="1467"/>
      <c r="C56" s="124" t="s">
        <v>292</v>
      </c>
      <c r="D56" s="13"/>
      <c r="E56" s="24"/>
      <c r="F56" s="24"/>
      <c r="G56" s="24"/>
      <c r="H56" s="24"/>
      <c r="I56" s="24"/>
      <c r="J56" s="24"/>
      <c r="K56" s="24"/>
      <c r="L56" s="84"/>
      <c r="M56" s="84"/>
      <c r="N56" s="84"/>
      <c r="O56" s="84"/>
      <c r="P56" s="84"/>
      <c r="Q56" s="84"/>
      <c r="R56" s="84"/>
      <c r="S56" s="84"/>
    </row>
    <row r="57" spans="1:19" ht="24.6" customHeight="1">
      <c r="A57" s="84"/>
      <c r="B57" s="1467"/>
      <c r="C57" s="162" t="s">
        <v>316</v>
      </c>
      <c r="D57" s="13"/>
      <c r="E57" s="24"/>
      <c r="F57" s="24"/>
      <c r="G57" s="24"/>
      <c r="H57" s="24"/>
      <c r="I57" s="24"/>
      <c r="J57" s="24"/>
      <c r="K57" s="24"/>
      <c r="L57" s="84"/>
      <c r="M57" s="84"/>
      <c r="N57" s="84"/>
      <c r="O57" s="84"/>
      <c r="P57" s="84"/>
      <c r="Q57" s="84"/>
      <c r="R57" s="84"/>
      <c r="S57" s="84"/>
    </row>
    <row r="58" spans="1:19" ht="24.6" customHeight="1">
      <c r="A58" s="84"/>
      <c r="B58" s="278" t="s">
        <v>317</v>
      </c>
      <c r="C58" s="125" t="s">
        <v>228</v>
      </c>
      <c r="D58" s="13"/>
      <c r="E58" s="24"/>
      <c r="F58" s="24"/>
      <c r="G58" s="24"/>
      <c r="H58" s="24"/>
      <c r="I58" s="24"/>
      <c r="J58" s="24"/>
      <c r="K58" s="24"/>
      <c r="L58" s="84"/>
      <c r="M58" s="84"/>
      <c r="N58" s="84"/>
      <c r="O58" s="84"/>
      <c r="P58" s="84"/>
      <c r="Q58" s="84"/>
      <c r="R58" s="84"/>
      <c r="S58" s="84"/>
    </row>
  </sheetData>
  <mergeCells count="20">
    <mergeCell ref="I38:J38"/>
    <mergeCell ref="B19:B21"/>
    <mergeCell ref="M23:O23"/>
    <mergeCell ref="B24:B27"/>
    <mergeCell ref="B28:B30"/>
    <mergeCell ref="I20:J20"/>
    <mergeCell ref="H29:I29"/>
    <mergeCell ref="E3:G3"/>
    <mergeCell ref="H3:K3"/>
    <mergeCell ref="B6:B9"/>
    <mergeCell ref="B10:B12"/>
    <mergeCell ref="B15:B18"/>
    <mergeCell ref="F47:G47"/>
    <mergeCell ref="B51:B54"/>
    <mergeCell ref="B55:B57"/>
    <mergeCell ref="B33:B36"/>
    <mergeCell ref="B37:B39"/>
    <mergeCell ref="B42:B45"/>
    <mergeCell ref="B46:B48"/>
    <mergeCell ref="F38:G38"/>
  </mergeCells>
  <phoneticPr fontId="6" type="noConversion"/>
  <pageMargins left="0.7" right="0.7" top="0.75" bottom="0.75" header="0.3" footer="0.3"/>
  <pageSetup paperSize="9" scale="34" orientation="landscape" r:id="rId1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S49"/>
  <sheetViews>
    <sheetView topLeftCell="A23" zoomScale="55" zoomScaleNormal="55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44228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>
        <v>1</v>
      </c>
      <c r="G5" s="60">
        <v>2</v>
      </c>
      <c r="H5" s="60">
        <v>3</v>
      </c>
      <c r="I5" s="60">
        <f>H5+1</f>
        <v>4</v>
      </c>
      <c r="J5" s="60">
        <f>I5+1</f>
        <v>5</v>
      </c>
      <c r="K5" s="60">
        <f>J5+1</f>
        <v>6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290" t="s">
        <v>1391</v>
      </c>
      <c r="J7" s="290" t="s">
        <v>1391</v>
      </c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282" t="s">
        <v>1257</v>
      </c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278" t="s">
        <v>317</v>
      </c>
      <c r="C13" s="125" t="s">
        <v>228</v>
      </c>
      <c r="D13" s="13"/>
      <c r="E13" s="14"/>
      <c r="F13" s="277" t="s">
        <v>1438</v>
      </c>
      <c r="G13" s="277" t="s">
        <v>1439</v>
      </c>
      <c r="H13" s="346" t="s">
        <v>1437</v>
      </c>
      <c r="I13" s="142"/>
      <c r="J13" s="277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7</v>
      </c>
      <c r="F14" s="65">
        <f t="shared" ref="F14:K14" si="0">E14+1</f>
        <v>8</v>
      </c>
      <c r="G14" s="65">
        <f t="shared" si="0"/>
        <v>9</v>
      </c>
      <c r="H14" s="65">
        <f t="shared" si="0"/>
        <v>10</v>
      </c>
      <c r="I14" s="23">
        <f t="shared" si="0"/>
        <v>11</v>
      </c>
      <c r="J14" s="23">
        <f t="shared" si="0"/>
        <v>12</v>
      </c>
      <c r="K14" s="23">
        <f t="shared" si="0"/>
        <v>13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4"/>
      <c r="H15" s="24"/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90" t="s">
        <v>1392</v>
      </c>
      <c r="H16" s="290" t="s">
        <v>1392</v>
      </c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1509" t="s">
        <v>1440</v>
      </c>
      <c r="H20" s="1510"/>
      <c r="I20" s="24"/>
      <c r="J20" s="24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24"/>
      <c r="G21" s="24"/>
      <c r="H21" s="24"/>
      <c r="I21" s="24"/>
      <c r="J21" s="24"/>
      <c r="K21" s="24"/>
    </row>
    <row r="22" spans="1:19" ht="24.6" customHeight="1">
      <c r="A22" s="84"/>
      <c r="B22" s="278" t="s">
        <v>317</v>
      </c>
      <c r="C22" s="125" t="s">
        <v>228</v>
      </c>
      <c r="D22" s="13"/>
      <c r="E22" s="24"/>
      <c r="F22" s="24" t="s">
        <v>1439</v>
      </c>
      <c r="G22" s="24" t="s">
        <v>1437</v>
      </c>
      <c r="H22" s="24"/>
      <c r="I22" s="159" t="s">
        <v>1064</v>
      </c>
      <c r="J22" s="159" t="s">
        <v>1064</v>
      </c>
      <c r="K22" s="159" t="s">
        <v>1064</v>
      </c>
    </row>
    <row r="23" spans="1:19" ht="24.6" customHeight="1">
      <c r="A23" s="84"/>
      <c r="B23" s="84"/>
      <c r="C23" s="5"/>
      <c r="D23" s="5"/>
      <c r="E23" s="26">
        <f>K14+1</f>
        <v>14</v>
      </c>
      <c r="F23" s="27">
        <f t="shared" ref="F23:K23" si="1">E23+1</f>
        <v>15</v>
      </c>
      <c r="G23" s="27">
        <f t="shared" si="1"/>
        <v>16</v>
      </c>
      <c r="H23" s="27">
        <f t="shared" si="1"/>
        <v>17</v>
      </c>
      <c r="I23" s="27">
        <f t="shared" si="1"/>
        <v>18</v>
      </c>
      <c r="J23" s="27">
        <f t="shared" si="1"/>
        <v>19</v>
      </c>
      <c r="K23" s="52">
        <f t="shared" si="1"/>
        <v>20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14"/>
      <c r="H24" s="14"/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4"/>
      <c r="G29" s="14"/>
      <c r="H29" s="14"/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14"/>
      <c r="G30" s="14"/>
      <c r="H30" s="14"/>
      <c r="I30" s="14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78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21</v>
      </c>
      <c r="F32" s="37">
        <f t="shared" ref="F32:K32" si="2">E32+1</f>
        <v>22</v>
      </c>
      <c r="G32" s="37">
        <f t="shared" si="2"/>
        <v>23</v>
      </c>
      <c r="H32" s="37">
        <f t="shared" si="2"/>
        <v>24</v>
      </c>
      <c r="I32" s="37">
        <f t="shared" si="2"/>
        <v>25</v>
      </c>
      <c r="J32" s="37">
        <f t="shared" si="2"/>
        <v>26</v>
      </c>
      <c r="K32" s="23">
        <f t="shared" si="2"/>
        <v>27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82" t="s">
        <v>1444</v>
      </c>
      <c r="H33" s="282" t="s">
        <v>1445</v>
      </c>
      <c r="I33" s="282" t="s">
        <v>1446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325" t="s">
        <v>1459</v>
      </c>
      <c r="I36" s="325" t="s">
        <v>1506</v>
      </c>
      <c r="J36" s="325" t="s">
        <v>1507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1574" t="s">
        <v>1516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24"/>
      <c r="G39" s="24"/>
      <c r="H39" s="24"/>
      <c r="I39" s="24"/>
      <c r="J39" s="325" t="s">
        <v>1443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78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28</v>
      </c>
      <c r="F41" s="27"/>
      <c r="G41" s="27"/>
      <c r="H41" s="27"/>
      <c r="I41" s="27"/>
      <c r="J41" s="27"/>
      <c r="K41" s="52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4"/>
      <c r="G47" s="14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78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15">
    <mergeCell ref="I37:J37"/>
    <mergeCell ref="M23:O23"/>
    <mergeCell ref="B24:B27"/>
    <mergeCell ref="B28:B30"/>
    <mergeCell ref="E3:G3"/>
    <mergeCell ref="H3:K3"/>
    <mergeCell ref="B6:B9"/>
    <mergeCell ref="B10:B12"/>
    <mergeCell ref="B15:B18"/>
    <mergeCell ref="G20:H20"/>
    <mergeCell ref="B42:B45"/>
    <mergeCell ref="B46:B48"/>
    <mergeCell ref="B19:B21"/>
    <mergeCell ref="B33:B36"/>
    <mergeCell ref="B37:B39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1">
    <pageSetUpPr fitToPage="1"/>
  </sheetPr>
  <dimension ref="A1:S49"/>
  <sheetViews>
    <sheetView topLeftCell="A10" zoomScale="55" zoomScaleNormal="55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44256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26">
        <v>1</v>
      </c>
      <c r="G5" s="60">
        <v>2</v>
      </c>
      <c r="H5" s="60">
        <v>3</v>
      </c>
      <c r="I5" s="60">
        <v>4</v>
      </c>
      <c r="J5" s="60">
        <v>5</v>
      </c>
      <c r="K5" s="60">
        <f>J5+1</f>
        <v>6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347" t="s">
        <v>1462</v>
      </c>
      <c r="I6" s="347" t="s">
        <v>1463</v>
      </c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325" t="s">
        <v>1460</v>
      </c>
      <c r="H9" s="325" t="s">
        <v>1461</v>
      </c>
      <c r="I9" s="325" t="s">
        <v>1461</v>
      </c>
      <c r="J9" s="325" t="s">
        <v>1448</v>
      </c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574" t="s">
        <v>1464</v>
      </c>
      <c r="J10" s="1557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522" t="s">
        <v>1442</v>
      </c>
      <c r="H11" s="1545"/>
      <c r="I11" s="290" t="s">
        <v>1465</v>
      </c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325" t="s">
        <v>1443</v>
      </c>
      <c r="H12" s="325" t="s">
        <v>1469</v>
      </c>
      <c r="I12" s="142"/>
      <c r="J12" s="325" t="s">
        <v>1470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78" t="s">
        <v>317</v>
      </c>
      <c r="C13" s="125" t="s">
        <v>228</v>
      </c>
      <c r="D13" s="13"/>
      <c r="E13" s="14"/>
      <c r="F13" s="159" t="s">
        <v>1065</v>
      </c>
      <c r="G13" s="277"/>
      <c r="H13" s="14"/>
      <c r="I13" s="142"/>
      <c r="J13" s="277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7</v>
      </c>
      <c r="F14" s="65">
        <f t="shared" ref="F14:K14" si="0">E14+1</f>
        <v>8</v>
      </c>
      <c r="G14" s="65">
        <f t="shared" si="0"/>
        <v>9</v>
      </c>
      <c r="H14" s="65">
        <f t="shared" si="0"/>
        <v>10</v>
      </c>
      <c r="I14" s="65">
        <f t="shared" si="0"/>
        <v>11</v>
      </c>
      <c r="J14" s="65">
        <f t="shared" si="0"/>
        <v>12</v>
      </c>
      <c r="K14" s="23">
        <f t="shared" si="0"/>
        <v>13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347" t="s">
        <v>1466</v>
      </c>
      <c r="H15" s="347" t="s">
        <v>1467</v>
      </c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325" t="s">
        <v>1448</v>
      </c>
      <c r="G18" s="325" t="s">
        <v>1449</v>
      </c>
      <c r="H18" s="325" t="s">
        <v>1449</v>
      </c>
      <c r="I18" s="325" t="s">
        <v>1450</v>
      </c>
      <c r="J18" s="325" t="s">
        <v>1441</v>
      </c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74" t="s">
        <v>1521</v>
      </c>
      <c r="G19" s="1557"/>
      <c r="H19" s="24"/>
      <c r="I19" s="1574" t="s">
        <v>1510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243" t="s">
        <v>1479</v>
      </c>
      <c r="G20" s="24"/>
      <c r="H20" s="243" t="s">
        <v>1480</v>
      </c>
      <c r="I20" s="1522" t="s">
        <v>1447</v>
      </c>
      <c r="J20" s="1545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325" t="s">
        <v>1471</v>
      </c>
      <c r="G21" s="325" t="s">
        <v>1471</v>
      </c>
      <c r="H21" s="325" t="s">
        <v>1492</v>
      </c>
      <c r="I21" s="325" t="s">
        <v>1472</v>
      </c>
      <c r="J21" s="325" t="s">
        <v>1473</v>
      </c>
      <c r="K21" s="24"/>
    </row>
    <row r="22" spans="1:19" ht="24.6" customHeight="1">
      <c r="A22" s="84"/>
      <c r="B22" s="278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14</v>
      </c>
      <c r="F23" s="27">
        <f t="shared" ref="F23:K23" si="1">E23+1</f>
        <v>15</v>
      </c>
      <c r="G23" s="27">
        <f t="shared" si="1"/>
        <v>16</v>
      </c>
      <c r="H23" s="27">
        <f t="shared" si="1"/>
        <v>17</v>
      </c>
      <c r="I23" s="27">
        <f t="shared" si="1"/>
        <v>18</v>
      </c>
      <c r="J23" s="27">
        <f t="shared" si="1"/>
        <v>19</v>
      </c>
      <c r="K23" s="52">
        <f t="shared" si="1"/>
        <v>20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347" t="s">
        <v>1483</v>
      </c>
      <c r="H24" s="347" t="s">
        <v>1484</v>
      </c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325" t="s">
        <v>1451</v>
      </c>
      <c r="G27" s="325" t="s">
        <v>1451</v>
      </c>
      <c r="H27" s="325" t="s">
        <v>1452</v>
      </c>
      <c r="I27" s="325" t="s">
        <v>1452</v>
      </c>
      <c r="J27" s="325" t="s">
        <v>1453</v>
      </c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74" t="s">
        <v>1474</v>
      </c>
      <c r="G28" s="1557"/>
      <c r="H28" s="14"/>
      <c r="I28" s="1574" t="s">
        <v>1482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341" t="s">
        <v>1468</v>
      </c>
      <c r="G29" s="14"/>
      <c r="H29" s="14"/>
      <c r="I29" s="243" t="s">
        <v>1481</v>
      </c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325" t="s">
        <v>1473</v>
      </c>
      <c r="G30" s="325" t="s">
        <v>1486</v>
      </c>
      <c r="H30" s="325" t="s">
        <v>1476</v>
      </c>
      <c r="I30" s="325" t="s">
        <v>1476</v>
      </c>
      <c r="J30" s="325" t="s">
        <v>1487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78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21</v>
      </c>
      <c r="F32" s="37">
        <f t="shared" ref="F32:K32" si="2">E32+1</f>
        <v>22</v>
      </c>
      <c r="G32" s="348">
        <f t="shared" si="2"/>
        <v>23</v>
      </c>
      <c r="H32" s="348">
        <f t="shared" si="2"/>
        <v>24</v>
      </c>
      <c r="I32" s="37">
        <f t="shared" si="2"/>
        <v>25</v>
      </c>
      <c r="J32" s="304">
        <f t="shared" si="2"/>
        <v>26</v>
      </c>
      <c r="K32" s="23">
        <f t="shared" si="2"/>
        <v>27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347" t="s">
        <v>1488</v>
      </c>
      <c r="H33" s="347" t="s">
        <v>1489</v>
      </c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325" t="s">
        <v>1454</v>
      </c>
      <c r="G36" s="24"/>
      <c r="H36" s="325" t="s">
        <v>1455</v>
      </c>
      <c r="I36" s="325" t="s">
        <v>1455</v>
      </c>
      <c r="J36" s="325" t="s">
        <v>1456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1584" t="s">
        <v>1491</v>
      </c>
      <c r="G37" s="1585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325" t="s">
        <v>1477</v>
      </c>
      <c r="G39" s="349" t="s">
        <v>1493</v>
      </c>
      <c r="H39" s="325" t="s">
        <v>1494</v>
      </c>
      <c r="I39" s="349" t="s">
        <v>1494</v>
      </c>
      <c r="J39" s="349" t="s">
        <v>1495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78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28</v>
      </c>
      <c r="F41" s="27">
        <f>E41+1</f>
        <v>29</v>
      </c>
      <c r="G41" s="27">
        <f>F41+1</f>
        <v>30</v>
      </c>
      <c r="H41" s="27">
        <f>G41+1</f>
        <v>31</v>
      </c>
      <c r="I41" s="27"/>
      <c r="J41" s="27"/>
      <c r="K41" s="27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347" t="s">
        <v>1503</v>
      </c>
      <c r="H42" s="347" t="s">
        <v>1490</v>
      </c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325" t="s">
        <v>1457</v>
      </c>
      <c r="G45" s="14"/>
      <c r="H45" s="325" t="s">
        <v>1458</v>
      </c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574" t="s">
        <v>1590</v>
      </c>
      <c r="H46" s="1557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22" t="s">
        <v>1478</v>
      </c>
      <c r="G47" s="1545"/>
      <c r="H47" s="325" t="s">
        <v>1501</v>
      </c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78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3">
    <mergeCell ref="B42:B45"/>
    <mergeCell ref="B46:B48"/>
    <mergeCell ref="F47:G47"/>
    <mergeCell ref="G46:H46"/>
    <mergeCell ref="F37:G37"/>
    <mergeCell ref="B37:B39"/>
    <mergeCell ref="B33:B36"/>
    <mergeCell ref="B19:B21"/>
    <mergeCell ref="I20:J20"/>
    <mergeCell ref="E3:G3"/>
    <mergeCell ref="H3:K3"/>
    <mergeCell ref="B6:B9"/>
    <mergeCell ref="B10:B12"/>
    <mergeCell ref="B15:B18"/>
    <mergeCell ref="I10:J10"/>
    <mergeCell ref="G11:H11"/>
    <mergeCell ref="M23:O23"/>
    <mergeCell ref="B24:B27"/>
    <mergeCell ref="B28:B30"/>
    <mergeCell ref="F19:G19"/>
    <mergeCell ref="I19:J19"/>
    <mergeCell ref="F28:G28"/>
    <mergeCell ref="I28:J28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S49"/>
  <sheetViews>
    <sheetView topLeftCell="A13" zoomScale="85" zoomScaleNormal="85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44287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26"/>
      <c r="G5" s="60"/>
      <c r="H5" s="60"/>
      <c r="I5" s="60">
        <v>1</v>
      </c>
      <c r="J5" s="60">
        <v>2</v>
      </c>
      <c r="K5" s="60">
        <f>J5+1</f>
        <v>3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556" t="s">
        <v>1517</v>
      </c>
      <c r="K10" s="1557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341" t="s">
        <v>1498</v>
      </c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325" t="s">
        <v>1501</v>
      </c>
      <c r="J12" s="325" t="s">
        <v>1501</v>
      </c>
      <c r="K12" s="325" t="s">
        <v>1502</v>
      </c>
      <c r="L12" s="4"/>
      <c r="M12" s="4"/>
      <c r="N12" s="4"/>
      <c r="R12" s="11"/>
      <c r="S12" s="4"/>
    </row>
    <row r="13" spans="1:19" s="5" customFormat="1" ht="24.6" customHeight="1">
      <c r="B13" s="278" t="s">
        <v>317</v>
      </c>
      <c r="C13" s="125" t="s">
        <v>228</v>
      </c>
      <c r="D13" s="13"/>
      <c r="E13" s="14"/>
      <c r="F13" s="14"/>
      <c r="G13" s="277"/>
      <c r="H13" s="14"/>
      <c r="I13" s="142"/>
      <c r="J13" s="277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4</v>
      </c>
      <c r="F14" s="65">
        <f t="shared" ref="F14:K14" si="0">E14+1</f>
        <v>5</v>
      </c>
      <c r="G14" s="65">
        <f t="shared" si="0"/>
        <v>6</v>
      </c>
      <c r="H14" s="65">
        <f t="shared" si="0"/>
        <v>7</v>
      </c>
      <c r="I14" s="65">
        <f t="shared" si="0"/>
        <v>8</v>
      </c>
      <c r="J14" s="65">
        <f t="shared" si="0"/>
        <v>9</v>
      </c>
      <c r="K14" s="23">
        <f t="shared" si="0"/>
        <v>10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347" t="s">
        <v>1505</v>
      </c>
      <c r="H15" s="347" t="s">
        <v>1504</v>
      </c>
      <c r="I15" s="24"/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351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74" t="s">
        <v>1520</v>
      </c>
      <c r="G19" s="1557"/>
      <c r="H19" s="1556" t="s">
        <v>1508</v>
      </c>
      <c r="I19" s="1574"/>
      <c r="J19" s="24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1522" t="s">
        <v>1519</v>
      </c>
      <c r="G20" s="1523"/>
      <c r="H20" s="24"/>
      <c r="I20" s="1522" t="s">
        <v>1523</v>
      </c>
      <c r="J20" s="1545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325" t="s">
        <v>1537</v>
      </c>
      <c r="G21" s="325" t="s">
        <v>1537</v>
      </c>
      <c r="H21" s="325" t="s">
        <v>1537</v>
      </c>
      <c r="I21" s="325" t="s">
        <v>1537</v>
      </c>
      <c r="J21" s="325" t="s">
        <v>1538</v>
      </c>
      <c r="K21" s="325" t="s">
        <v>1538</v>
      </c>
    </row>
    <row r="22" spans="1:19" ht="24.6" customHeight="1">
      <c r="A22" s="84"/>
      <c r="B22" s="278" t="s">
        <v>317</v>
      </c>
      <c r="C22" s="125" t="s">
        <v>228</v>
      </c>
      <c r="D22" s="13"/>
      <c r="E22" s="24"/>
      <c r="F22" s="24"/>
      <c r="G22" s="24"/>
      <c r="H22" s="24"/>
      <c r="I22" s="24"/>
      <c r="J22" s="1556" t="s">
        <v>1509</v>
      </c>
      <c r="K22" s="1574"/>
    </row>
    <row r="23" spans="1:19" ht="24.6" customHeight="1">
      <c r="A23" s="84"/>
      <c r="B23" s="84"/>
      <c r="C23" s="5"/>
      <c r="D23" s="5"/>
      <c r="E23" s="26">
        <f>K14+1</f>
        <v>11</v>
      </c>
      <c r="F23" s="27">
        <f t="shared" ref="F23:K23" si="1">E23+1</f>
        <v>12</v>
      </c>
      <c r="G23" s="27">
        <f t="shared" si="1"/>
        <v>13</v>
      </c>
      <c r="H23" s="27">
        <f t="shared" si="1"/>
        <v>14</v>
      </c>
      <c r="I23" s="27">
        <f t="shared" si="1"/>
        <v>15</v>
      </c>
      <c r="J23" s="27">
        <f t="shared" si="1"/>
        <v>16</v>
      </c>
      <c r="K23" s="52">
        <f t="shared" si="1"/>
        <v>17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353" t="s">
        <v>1524</v>
      </c>
      <c r="H24" s="282" t="s">
        <v>1525</v>
      </c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74" t="s">
        <v>1514</v>
      </c>
      <c r="G28" s="1557"/>
      <c r="H28" s="14"/>
      <c r="I28" s="1574" t="s">
        <v>1534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243" t="s">
        <v>1497</v>
      </c>
      <c r="G29" s="14"/>
      <c r="H29" s="1508" t="s">
        <v>1518</v>
      </c>
      <c r="I29" s="1508"/>
      <c r="J29" s="350" t="s">
        <v>1499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355" t="s">
        <v>1539</v>
      </c>
      <c r="G30" s="325" t="s">
        <v>1540</v>
      </c>
      <c r="H30" s="325" t="s">
        <v>1541</v>
      </c>
      <c r="I30" s="325" t="s">
        <v>1542</v>
      </c>
      <c r="J30" s="325" t="s">
        <v>1542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78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18</v>
      </c>
      <c r="F32" s="37">
        <f t="shared" ref="F32:K32" si="2">E32+1</f>
        <v>19</v>
      </c>
      <c r="G32" s="37">
        <f t="shared" si="2"/>
        <v>20</v>
      </c>
      <c r="H32" s="37">
        <f t="shared" si="2"/>
        <v>21</v>
      </c>
      <c r="I32" s="37">
        <f t="shared" si="2"/>
        <v>22</v>
      </c>
      <c r="J32" s="304">
        <f t="shared" si="2"/>
        <v>23</v>
      </c>
      <c r="K32" s="23">
        <f t="shared" si="2"/>
        <v>24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352" t="s">
        <v>1527</v>
      </c>
      <c r="H33" s="354" t="s">
        <v>1533</v>
      </c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1574" t="s">
        <v>1536</v>
      </c>
      <c r="G37" s="1557"/>
      <c r="H37" s="1556" t="s">
        <v>1526</v>
      </c>
      <c r="I37" s="1574"/>
      <c r="J37" s="1556" t="s">
        <v>1531</v>
      </c>
      <c r="K37" s="157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350" t="s">
        <v>1500</v>
      </c>
      <c r="G38" s="24"/>
      <c r="H38" s="243" t="s">
        <v>1515</v>
      </c>
      <c r="I38" s="1522" t="s">
        <v>1535</v>
      </c>
      <c r="J38" s="1545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325" t="s">
        <v>1542</v>
      </c>
      <c r="G39" s="325" t="s">
        <v>1591</v>
      </c>
      <c r="H39" s="325" t="s">
        <v>1543</v>
      </c>
      <c r="I39" s="325" t="s">
        <v>1544</v>
      </c>
      <c r="J39" s="325" t="s">
        <v>1545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78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25</v>
      </c>
      <c r="F41" s="27">
        <f>E41+1</f>
        <v>26</v>
      </c>
      <c r="G41" s="27">
        <f>F41+1</f>
        <v>27</v>
      </c>
      <c r="H41" s="27">
        <f>G41+1</f>
        <v>28</v>
      </c>
      <c r="I41" s="27">
        <f>H41+1</f>
        <v>29</v>
      </c>
      <c r="J41" s="27">
        <f>I41+1</f>
        <v>30</v>
      </c>
      <c r="K41" s="27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282" t="s">
        <v>1555</v>
      </c>
      <c r="H42" s="282" t="s">
        <v>1558</v>
      </c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574" t="s">
        <v>1618</v>
      </c>
      <c r="G46" s="1557"/>
      <c r="H46" s="14"/>
      <c r="I46" s="1574" t="s">
        <v>1528</v>
      </c>
      <c r="J46" s="1557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350" t="s">
        <v>1512</v>
      </c>
      <c r="G47" s="350" t="s">
        <v>1513</v>
      </c>
      <c r="H47" s="14"/>
      <c r="I47" s="1522" t="s">
        <v>1475</v>
      </c>
      <c r="J47" s="1545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325" t="s">
        <v>1545</v>
      </c>
      <c r="G48" s="325" t="s">
        <v>1592</v>
      </c>
      <c r="H48" s="325" t="s">
        <v>1546</v>
      </c>
      <c r="I48" s="325" t="s">
        <v>1546</v>
      </c>
      <c r="J48" s="325" t="s">
        <v>1547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78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9">
    <mergeCell ref="B46:B48"/>
    <mergeCell ref="B42:B45"/>
    <mergeCell ref="I38:J38"/>
    <mergeCell ref="B19:B21"/>
    <mergeCell ref="F19:G19"/>
    <mergeCell ref="I46:J46"/>
    <mergeCell ref="F20:G20"/>
    <mergeCell ref="H19:I19"/>
    <mergeCell ref="F46:G46"/>
    <mergeCell ref="J22:K22"/>
    <mergeCell ref="I20:J20"/>
    <mergeCell ref="I47:J47"/>
    <mergeCell ref="E3:G3"/>
    <mergeCell ref="H3:K3"/>
    <mergeCell ref="B6:B9"/>
    <mergeCell ref="B10:B12"/>
    <mergeCell ref="B15:B18"/>
    <mergeCell ref="J10:K10"/>
    <mergeCell ref="M23:O23"/>
    <mergeCell ref="B24:B27"/>
    <mergeCell ref="B28:B30"/>
    <mergeCell ref="B33:B36"/>
    <mergeCell ref="B37:B39"/>
    <mergeCell ref="F28:G28"/>
    <mergeCell ref="I28:J28"/>
    <mergeCell ref="F37:G37"/>
    <mergeCell ref="H29:I29"/>
    <mergeCell ref="H37:I37"/>
    <mergeCell ref="J37:K37"/>
  </mergeCells>
  <phoneticPr fontId="6" type="noConversion"/>
  <pageMargins left="0.7" right="0.7" top="0.75" bottom="0.75" header="0.3" footer="0.3"/>
  <pageSetup paperSize="9" scale="41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3">
    <pageSetUpPr fitToPage="1"/>
  </sheetPr>
  <dimension ref="A1:S58"/>
  <sheetViews>
    <sheetView topLeftCell="C31" zoomScale="85" zoomScaleNormal="85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44317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26"/>
      <c r="G5" s="60"/>
      <c r="H5" s="60"/>
      <c r="I5" s="14"/>
      <c r="J5" s="14"/>
      <c r="K5" s="60">
        <v>1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278" t="s">
        <v>317</v>
      </c>
      <c r="C13" s="125" t="s">
        <v>228</v>
      </c>
      <c r="D13" s="13"/>
      <c r="E13" s="14"/>
      <c r="F13" s="14"/>
      <c r="G13" s="277"/>
      <c r="H13" s="14"/>
      <c r="I13" s="142"/>
      <c r="J13" s="277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2</v>
      </c>
      <c r="F14" s="65">
        <f t="shared" ref="F14:K14" si="0">E14+1</f>
        <v>3</v>
      </c>
      <c r="G14" s="65">
        <f t="shared" si="0"/>
        <v>4</v>
      </c>
      <c r="H14" s="23">
        <f t="shared" si="0"/>
        <v>5</v>
      </c>
      <c r="I14" s="65">
        <f t="shared" si="0"/>
        <v>6</v>
      </c>
      <c r="J14" s="65">
        <f t="shared" si="0"/>
        <v>7</v>
      </c>
      <c r="K14" s="23">
        <f t="shared" si="0"/>
        <v>8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82" t="s">
        <v>1564</v>
      </c>
      <c r="G15" s="24"/>
      <c r="H15" s="24"/>
      <c r="I15" s="282" t="s">
        <v>1565</v>
      </c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4"/>
      <c r="G16" s="24"/>
      <c r="H16" s="24"/>
      <c r="I16" s="24"/>
      <c r="J16" s="290" t="s">
        <v>1584</v>
      </c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74" t="s">
        <v>1570</v>
      </c>
      <c r="G19" s="1557"/>
      <c r="H19" s="24"/>
      <c r="I19" s="1574" t="s">
        <v>1572</v>
      </c>
      <c r="J19" s="1557"/>
      <c r="K19" s="24"/>
    </row>
    <row r="20" spans="1:19" ht="24" customHeight="1">
      <c r="A20" s="84"/>
      <c r="B20" s="1467"/>
      <c r="C20" s="124" t="s">
        <v>292</v>
      </c>
      <c r="D20" s="13"/>
      <c r="E20" s="24"/>
      <c r="F20" s="1522" t="s">
        <v>1557</v>
      </c>
      <c r="G20" s="1523"/>
      <c r="H20" s="24"/>
      <c r="I20" s="1522" t="s">
        <v>1563</v>
      </c>
      <c r="J20" s="1545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325" t="s">
        <v>1548</v>
      </c>
      <c r="G21" s="325" t="s">
        <v>1548</v>
      </c>
      <c r="H21" s="24"/>
      <c r="I21" s="325" t="s">
        <v>1549</v>
      </c>
      <c r="J21" s="325" t="s">
        <v>1593</v>
      </c>
      <c r="K21" s="24"/>
    </row>
    <row r="22" spans="1:19" ht="24.6" customHeight="1">
      <c r="A22" s="84"/>
      <c r="B22" s="278" t="s">
        <v>317</v>
      </c>
      <c r="C22" s="125" t="s">
        <v>228</v>
      </c>
      <c r="D22" s="13"/>
      <c r="E22" s="24"/>
      <c r="F22" s="24"/>
      <c r="G22" s="24"/>
      <c r="H22" s="159" t="s">
        <v>1066</v>
      </c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9</v>
      </c>
      <c r="F23" s="27">
        <f t="shared" ref="F23:K23" si="1">E23+1</f>
        <v>10</v>
      </c>
      <c r="G23" s="27">
        <f t="shared" si="1"/>
        <v>11</v>
      </c>
      <c r="H23" s="27">
        <f t="shared" si="1"/>
        <v>12</v>
      </c>
      <c r="I23" s="27">
        <f t="shared" si="1"/>
        <v>13</v>
      </c>
      <c r="J23" s="27">
        <f t="shared" si="1"/>
        <v>14</v>
      </c>
      <c r="K23" s="52">
        <f t="shared" si="1"/>
        <v>15</v>
      </c>
      <c r="M23" s="203"/>
      <c r="N23" s="203"/>
      <c r="O23" s="20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14"/>
      <c r="G24" s="282" t="s">
        <v>1561</v>
      </c>
      <c r="H24" s="282" t="s">
        <v>1562</v>
      </c>
      <c r="I24" s="282" t="s">
        <v>1581</v>
      </c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290" t="s">
        <v>1511</v>
      </c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74" t="s">
        <v>1605</v>
      </c>
      <c r="G28" s="1557"/>
      <c r="H28" s="14"/>
      <c r="I28" s="1556" t="s">
        <v>1573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522" t="s">
        <v>1530</v>
      </c>
      <c r="G29" s="1545"/>
      <c r="H29" s="356" t="s">
        <v>1556</v>
      </c>
      <c r="I29" s="350" t="s">
        <v>1559</v>
      </c>
      <c r="J29" s="350" t="s">
        <v>1560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325" t="s">
        <v>1593</v>
      </c>
      <c r="G30" s="325" t="s">
        <v>1593</v>
      </c>
      <c r="H30" s="325" t="s">
        <v>1594</v>
      </c>
      <c r="I30" s="325" t="s">
        <v>1595</v>
      </c>
      <c r="J30" s="325" t="s">
        <v>1595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78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16</v>
      </c>
      <c r="F32" s="37">
        <f t="shared" ref="F32:K32" si="2">E32+1</f>
        <v>17</v>
      </c>
      <c r="G32" s="37">
        <f t="shared" si="2"/>
        <v>18</v>
      </c>
      <c r="H32" s="23">
        <f t="shared" si="2"/>
        <v>19</v>
      </c>
      <c r="I32" s="37">
        <f t="shared" si="2"/>
        <v>20</v>
      </c>
      <c r="J32" s="304">
        <f t="shared" si="2"/>
        <v>21</v>
      </c>
      <c r="K32" s="23">
        <f t="shared" si="2"/>
        <v>22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82" t="s">
        <v>1566</v>
      </c>
      <c r="G33" s="24"/>
      <c r="H33" s="24"/>
      <c r="I33" s="282" t="s">
        <v>1577</v>
      </c>
      <c r="J33" s="282" t="s">
        <v>1576</v>
      </c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1574" t="s">
        <v>1580</v>
      </c>
      <c r="G37" s="1557"/>
      <c r="H37" s="24"/>
      <c r="I37" s="1574" t="s">
        <v>1567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1522" t="s">
        <v>1578</v>
      </c>
      <c r="G38" s="1545"/>
      <c r="H38" s="24"/>
      <c r="I38" s="1522" t="s">
        <v>1532</v>
      </c>
      <c r="J38" s="1545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325" t="s">
        <v>1596</v>
      </c>
      <c r="G39" s="325" t="s">
        <v>1597</v>
      </c>
      <c r="H39" s="24"/>
      <c r="I39" s="325" t="s">
        <v>1597</v>
      </c>
      <c r="J39" s="325" t="s">
        <v>1598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78" t="s">
        <v>317</v>
      </c>
      <c r="C40" s="125" t="s">
        <v>228</v>
      </c>
      <c r="D40" s="13"/>
      <c r="E40" s="24"/>
      <c r="F40" s="24"/>
      <c r="G40" s="24"/>
      <c r="H40" s="159" t="s">
        <v>1067</v>
      </c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23</v>
      </c>
      <c r="F41" s="27">
        <f t="shared" ref="F41:K41" si="3">E41+1</f>
        <v>24</v>
      </c>
      <c r="G41" s="27">
        <f>F41+1</f>
        <v>25</v>
      </c>
      <c r="H41" s="27">
        <f t="shared" si="3"/>
        <v>26</v>
      </c>
      <c r="I41" s="27">
        <f t="shared" si="3"/>
        <v>27</v>
      </c>
      <c r="J41" s="27">
        <f t="shared" si="3"/>
        <v>28</v>
      </c>
      <c r="K41" s="27">
        <f t="shared" si="3"/>
        <v>29</v>
      </c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282" t="s">
        <v>1588</v>
      </c>
      <c r="H42" s="282" t="s">
        <v>1589</v>
      </c>
      <c r="I42" s="282" t="s">
        <v>1617</v>
      </c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577" t="s">
        <v>1607</v>
      </c>
      <c r="G46" s="1577"/>
      <c r="H46" s="1577" t="s">
        <v>1610</v>
      </c>
      <c r="I46" s="1577"/>
      <c r="J46" s="1577" t="s">
        <v>1603</v>
      </c>
      <c r="K46" s="1577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67" t="s">
        <v>1522</v>
      </c>
      <c r="G47" s="1568"/>
      <c r="H47" s="350" t="s">
        <v>1568</v>
      </c>
      <c r="I47" s="1522" t="s">
        <v>1529</v>
      </c>
      <c r="J47" s="1545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325" t="s">
        <v>1599</v>
      </c>
      <c r="G48" s="325" t="s">
        <v>1599</v>
      </c>
      <c r="H48" s="325" t="s">
        <v>1600</v>
      </c>
      <c r="I48" s="325" t="s">
        <v>1601</v>
      </c>
      <c r="J48" s="325" t="s">
        <v>1601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78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24" customHeight="1">
      <c r="C50" s="30"/>
      <c r="D50" s="13"/>
      <c r="E50" s="23">
        <f>K41+1</f>
        <v>30</v>
      </c>
      <c r="F50" s="304">
        <f>E50+1</f>
        <v>31</v>
      </c>
      <c r="G50" s="304"/>
      <c r="H50" s="23"/>
      <c r="I50" s="304"/>
      <c r="J50" s="54"/>
      <c r="K50" s="23"/>
    </row>
    <row r="51" spans="1:19" ht="24" customHeight="1">
      <c r="C51" s="12" t="s">
        <v>9</v>
      </c>
      <c r="D51" s="13"/>
      <c r="E51" s="24"/>
      <c r="F51" s="24"/>
      <c r="G51" s="24"/>
      <c r="H51" s="24"/>
      <c r="I51" s="24"/>
      <c r="J51" s="24"/>
      <c r="K51" s="24"/>
    </row>
    <row r="52" spans="1:19" ht="24" customHeight="1">
      <c r="C52" s="124" t="s">
        <v>7</v>
      </c>
      <c r="D52" s="13"/>
      <c r="E52" s="24"/>
      <c r="F52" s="24"/>
      <c r="G52" s="24"/>
      <c r="H52" s="24"/>
      <c r="I52" s="24"/>
      <c r="J52" s="24"/>
      <c r="K52" s="24"/>
    </row>
    <row r="53" spans="1:19" ht="24" customHeight="1">
      <c r="C53" s="163" t="s">
        <v>389</v>
      </c>
      <c r="D53" s="13"/>
      <c r="E53" s="24"/>
      <c r="F53" s="24"/>
      <c r="G53" s="24"/>
      <c r="H53" s="24"/>
      <c r="I53" s="24"/>
      <c r="J53" s="24"/>
      <c r="K53" s="24"/>
    </row>
    <row r="54" spans="1:19" ht="24" customHeight="1">
      <c r="C54" s="162" t="s">
        <v>316</v>
      </c>
      <c r="D54" s="13"/>
      <c r="E54" s="24"/>
      <c r="F54" s="24"/>
      <c r="G54" s="24"/>
      <c r="H54" s="24"/>
      <c r="I54" s="24"/>
      <c r="J54" s="24"/>
      <c r="K54" s="24"/>
    </row>
    <row r="55" spans="1:19" ht="24" customHeight="1">
      <c r="C55" s="12" t="s">
        <v>9</v>
      </c>
      <c r="D55" s="13"/>
      <c r="E55" s="24"/>
      <c r="F55" s="282" t="s">
        <v>1627</v>
      </c>
      <c r="G55" s="24"/>
      <c r="H55" s="24"/>
      <c r="I55" s="24"/>
      <c r="J55" s="24"/>
      <c r="K55" s="24"/>
    </row>
    <row r="56" spans="1:19" ht="24" customHeight="1">
      <c r="C56" s="124" t="s">
        <v>292</v>
      </c>
      <c r="D56" s="13"/>
      <c r="E56" s="24"/>
      <c r="F56" s="243" t="s">
        <v>1604</v>
      </c>
      <c r="G56" s="24"/>
      <c r="H56" s="24"/>
      <c r="I56" s="24"/>
      <c r="J56" s="24"/>
      <c r="K56" s="24"/>
    </row>
    <row r="57" spans="1:19" ht="24" customHeight="1">
      <c r="C57" s="162" t="s">
        <v>316</v>
      </c>
      <c r="D57" s="13"/>
      <c r="E57" s="24"/>
      <c r="F57" s="325" t="s">
        <v>1622</v>
      </c>
      <c r="G57" s="24"/>
      <c r="H57" s="24"/>
      <c r="I57" s="24"/>
      <c r="J57" s="24"/>
      <c r="K57" s="24"/>
    </row>
    <row r="58" spans="1:19" ht="24" customHeight="1">
      <c r="C58" s="125" t="s">
        <v>228</v>
      </c>
      <c r="D58" s="13"/>
      <c r="E58" s="24"/>
      <c r="F58" s="24"/>
      <c r="G58" s="24"/>
      <c r="H58" s="24"/>
      <c r="I58" s="24"/>
      <c r="J58" s="24"/>
      <c r="K58" s="24"/>
    </row>
  </sheetData>
  <mergeCells count="28">
    <mergeCell ref="I19:J19"/>
    <mergeCell ref="I20:J20"/>
    <mergeCell ref="I47:J47"/>
    <mergeCell ref="F47:G47"/>
    <mergeCell ref="F20:G20"/>
    <mergeCell ref="H46:I46"/>
    <mergeCell ref="J46:K46"/>
    <mergeCell ref="I37:J37"/>
    <mergeCell ref="I38:J38"/>
    <mergeCell ref="I28:J28"/>
    <mergeCell ref="B46:B48"/>
    <mergeCell ref="B42:B45"/>
    <mergeCell ref="F46:G46"/>
    <mergeCell ref="B19:B21"/>
    <mergeCell ref="F19:G19"/>
    <mergeCell ref="B24:B27"/>
    <mergeCell ref="B28:B30"/>
    <mergeCell ref="B33:B36"/>
    <mergeCell ref="B37:B39"/>
    <mergeCell ref="F28:G28"/>
    <mergeCell ref="F37:G37"/>
    <mergeCell ref="F29:G29"/>
    <mergeCell ref="F38:G38"/>
    <mergeCell ref="E3:G3"/>
    <mergeCell ref="H3:K3"/>
    <mergeCell ref="B6:B9"/>
    <mergeCell ref="B10:B12"/>
    <mergeCell ref="B15:B18"/>
  </mergeCells>
  <phoneticPr fontId="6" type="noConversion"/>
  <pageMargins left="0.7" right="0.7" top="0.75" bottom="0.75" header="0.3" footer="0.3"/>
  <pageSetup paperSize="9" scale="35" orientation="landscape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4">
    <pageSetUpPr fitToPage="1"/>
  </sheetPr>
  <dimension ref="A1:S49"/>
  <sheetViews>
    <sheetView topLeftCell="A10" zoomScale="70" zoomScaleNormal="70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44348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1633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26"/>
      <c r="G5" s="60">
        <v>1</v>
      </c>
      <c r="H5" s="60">
        <v>2</v>
      </c>
      <c r="I5" s="14">
        <v>3</v>
      </c>
      <c r="J5" s="14">
        <v>4</v>
      </c>
      <c r="K5" s="60">
        <v>5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12" t="s">
        <v>9</v>
      </c>
      <c r="D6" s="13"/>
      <c r="E6" s="14"/>
      <c r="F6" s="14"/>
      <c r="G6" s="282" t="s">
        <v>1616</v>
      </c>
      <c r="H6" s="282" t="s">
        <v>1615</v>
      </c>
      <c r="I6" s="282" t="s">
        <v>1587</v>
      </c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124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162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12" t="s">
        <v>9</v>
      </c>
      <c r="D10" s="13"/>
      <c r="E10" s="14"/>
      <c r="F10" s="14"/>
      <c r="G10" s="282" t="s">
        <v>1627</v>
      </c>
      <c r="H10" s="1556" t="s">
        <v>1620</v>
      </c>
      <c r="I10" s="1574"/>
      <c r="J10" s="1540" t="s">
        <v>1621</v>
      </c>
      <c r="K10" s="1541"/>
      <c r="L10" s="4"/>
      <c r="M10" s="4"/>
      <c r="N10" s="4"/>
      <c r="R10" s="11"/>
      <c r="S10" s="4"/>
    </row>
    <row r="11" spans="1:19" s="5" customFormat="1" ht="24.6" customHeight="1">
      <c r="B11" s="1467"/>
      <c r="C11" s="124" t="s">
        <v>292</v>
      </c>
      <c r="D11" s="13"/>
      <c r="E11" s="14"/>
      <c r="F11" s="14"/>
      <c r="G11" s="243" t="s">
        <v>1554</v>
      </c>
      <c r="H11" s="1522" t="s">
        <v>1619</v>
      </c>
      <c r="I11" s="1545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162" t="s">
        <v>316</v>
      </c>
      <c r="D12" s="13"/>
      <c r="E12" s="14"/>
      <c r="F12" s="14"/>
      <c r="G12" s="325" t="s">
        <v>1623</v>
      </c>
      <c r="H12" s="325" t="s">
        <v>1624</v>
      </c>
      <c r="I12" s="325" t="s">
        <v>1602</v>
      </c>
      <c r="J12" s="325" t="s">
        <v>1602</v>
      </c>
      <c r="K12" s="14"/>
      <c r="L12" s="4"/>
      <c r="M12" s="4"/>
      <c r="N12" s="4"/>
      <c r="R12" s="11"/>
      <c r="S12" s="4"/>
    </row>
    <row r="13" spans="1:19" s="5" customFormat="1" ht="24.6" customHeight="1">
      <c r="B13" s="278" t="s">
        <v>317</v>
      </c>
      <c r="C13" s="125" t="s">
        <v>228</v>
      </c>
      <c r="D13" s="13"/>
      <c r="E13" s="14"/>
      <c r="F13" s="14"/>
      <c r="G13" s="277"/>
      <c r="H13" s="14"/>
      <c r="I13" s="142"/>
      <c r="J13" s="277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6</v>
      </c>
      <c r="F14" s="65">
        <f t="shared" ref="F14:K14" si="0">E14+1</f>
        <v>7</v>
      </c>
      <c r="G14" s="65">
        <f t="shared" si="0"/>
        <v>8</v>
      </c>
      <c r="H14" s="65">
        <f t="shared" si="0"/>
        <v>9</v>
      </c>
      <c r="I14" s="65">
        <f t="shared" si="0"/>
        <v>10</v>
      </c>
      <c r="J14" s="65">
        <f t="shared" si="0"/>
        <v>11</v>
      </c>
      <c r="K14" s="23">
        <f t="shared" si="0"/>
        <v>12</v>
      </c>
    </row>
    <row r="15" spans="1:19" ht="24.6" customHeight="1">
      <c r="A15" s="84"/>
      <c r="B15" s="1467" t="s">
        <v>286</v>
      </c>
      <c r="C15" s="12" t="s">
        <v>9</v>
      </c>
      <c r="D15" s="13"/>
      <c r="E15" s="24"/>
      <c r="F15" s="24"/>
      <c r="G15" s="282" t="s">
        <v>1630</v>
      </c>
      <c r="H15" s="282" t="s">
        <v>1631</v>
      </c>
      <c r="I15" s="282" t="s">
        <v>1632</v>
      </c>
      <c r="J15" s="24"/>
      <c r="K15" s="24"/>
    </row>
    <row r="16" spans="1:19" ht="24.6" customHeight="1">
      <c r="A16" s="84"/>
      <c r="B16" s="1467"/>
      <c r="C16" s="124" t="s">
        <v>7</v>
      </c>
      <c r="D16" s="13"/>
      <c r="E16" s="24"/>
      <c r="F16" s="290" t="s">
        <v>1579</v>
      </c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162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12" t="s">
        <v>9</v>
      </c>
      <c r="D19" s="13"/>
      <c r="E19" s="24"/>
      <c r="F19" s="1556" t="s">
        <v>1636</v>
      </c>
      <c r="G19" s="1557"/>
      <c r="H19" s="1556" t="s">
        <v>1637</v>
      </c>
      <c r="I19" s="1557"/>
      <c r="J19" s="1556" t="s">
        <v>1652</v>
      </c>
      <c r="K19" s="1557"/>
    </row>
    <row r="20" spans="1:19" ht="24" customHeight="1">
      <c r="A20" s="84"/>
      <c r="B20" s="1467"/>
      <c r="C20" s="124" t="s">
        <v>292</v>
      </c>
      <c r="D20" s="13"/>
      <c r="E20" s="24"/>
      <c r="F20" s="24"/>
      <c r="G20" s="1522" t="s">
        <v>1571</v>
      </c>
      <c r="H20" s="1545"/>
      <c r="I20" s="1522" t="s">
        <v>1574</v>
      </c>
      <c r="J20" s="1545"/>
      <c r="K20" s="24"/>
    </row>
    <row r="21" spans="1:19" ht="24" customHeight="1">
      <c r="A21" s="84"/>
      <c r="B21" s="1467"/>
      <c r="C21" s="162" t="s">
        <v>316</v>
      </c>
      <c r="D21" s="13"/>
      <c r="E21" s="24"/>
      <c r="F21" s="325" t="s">
        <v>1646</v>
      </c>
      <c r="G21" s="325" t="s">
        <v>1646</v>
      </c>
      <c r="H21" s="325" t="s">
        <v>1645</v>
      </c>
      <c r="I21" s="325" t="s">
        <v>1647</v>
      </c>
      <c r="J21" s="325" t="s">
        <v>1647</v>
      </c>
      <c r="K21" s="24"/>
    </row>
    <row r="22" spans="1:19" ht="24.6" customHeight="1">
      <c r="A22" s="84"/>
      <c r="B22" s="278" t="s">
        <v>317</v>
      </c>
      <c r="C22" s="125" t="s">
        <v>228</v>
      </c>
      <c r="D22" s="13"/>
      <c r="E22" s="159" t="s">
        <v>1252</v>
      </c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13</v>
      </c>
      <c r="F23" s="27">
        <f t="shared" ref="F23:K23" si="1">E23+1</f>
        <v>14</v>
      </c>
      <c r="G23" s="27">
        <f t="shared" si="1"/>
        <v>15</v>
      </c>
      <c r="H23" s="27">
        <f t="shared" si="1"/>
        <v>16</v>
      </c>
      <c r="I23" s="27">
        <f t="shared" si="1"/>
        <v>17</v>
      </c>
      <c r="J23" s="27">
        <f t="shared" si="1"/>
        <v>18</v>
      </c>
      <c r="K23" s="52">
        <f t="shared" si="1"/>
        <v>19</v>
      </c>
      <c r="M23" s="1453"/>
      <c r="N23" s="1453"/>
      <c r="O23" s="1453"/>
    </row>
    <row r="24" spans="1:19" ht="24.6" customHeight="1">
      <c r="A24" s="84"/>
      <c r="B24" s="1467" t="s">
        <v>286</v>
      </c>
      <c r="C24" s="12" t="s">
        <v>9</v>
      </c>
      <c r="D24" s="13"/>
      <c r="E24" s="14"/>
      <c r="F24" s="282" t="s">
        <v>1658</v>
      </c>
      <c r="G24" s="282" t="s">
        <v>1659</v>
      </c>
      <c r="H24" s="282" t="s">
        <v>1660</v>
      </c>
      <c r="I24" s="14"/>
      <c r="J24" s="14"/>
      <c r="K24" s="14"/>
    </row>
    <row r="25" spans="1:19" ht="24.6" customHeight="1">
      <c r="A25" s="84"/>
      <c r="B25" s="1467"/>
      <c r="C25" s="124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2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12" t="s">
        <v>9</v>
      </c>
      <c r="D28" s="13"/>
      <c r="E28" s="14"/>
      <c r="F28" s="1556" t="s">
        <v>1653</v>
      </c>
      <c r="G28" s="1557"/>
      <c r="H28" s="14"/>
      <c r="I28" s="1556" t="s">
        <v>1654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24" t="s">
        <v>292</v>
      </c>
      <c r="D29" s="13"/>
      <c r="E29" s="14"/>
      <c r="F29" s="1522" t="s">
        <v>1582</v>
      </c>
      <c r="G29" s="1523"/>
      <c r="H29" s="1545"/>
      <c r="I29" s="243" t="s">
        <v>1575</v>
      </c>
      <c r="J29" s="243" t="s">
        <v>1668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2" t="s">
        <v>316</v>
      </c>
      <c r="D30" s="13"/>
      <c r="E30" s="14"/>
      <c r="F30" s="325" t="s">
        <v>1648</v>
      </c>
      <c r="G30" s="325" t="s">
        <v>1625</v>
      </c>
      <c r="H30" s="325" t="s">
        <v>1625</v>
      </c>
      <c r="I30" s="325" t="s">
        <v>1625</v>
      </c>
      <c r="J30" s="325" t="s">
        <v>1626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278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20</v>
      </c>
      <c r="F32" s="37">
        <f t="shared" ref="F32:K32" si="2">E32+1</f>
        <v>21</v>
      </c>
      <c r="G32" s="37">
        <f t="shared" si="2"/>
        <v>22</v>
      </c>
      <c r="H32" s="65">
        <f t="shared" si="2"/>
        <v>23</v>
      </c>
      <c r="I32" s="37">
        <f t="shared" si="2"/>
        <v>24</v>
      </c>
      <c r="J32" s="304">
        <f t="shared" si="2"/>
        <v>25</v>
      </c>
      <c r="K32" s="23">
        <f t="shared" si="2"/>
        <v>26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12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124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2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12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24" t="s">
        <v>292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162" t="s">
        <v>316</v>
      </c>
      <c r="D39" s="13"/>
      <c r="E39" s="24"/>
      <c r="F39" s="24"/>
      <c r="G39" s="24"/>
      <c r="H39" s="24"/>
      <c r="I39" s="24"/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278" t="s">
        <v>317</v>
      </c>
      <c r="C40" s="125" t="s">
        <v>228</v>
      </c>
      <c r="D40" s="13"/>
      <c r="E40" s="24"/>
      <c r="F40" s="1586" t="s">
        <v>1421</v>
      </c>
      <c r="G40" s="1587"/>
      <c r="H40" s="1587"/>
      <c r="I40" s="1587"/>
      <c r="J40" s="1588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27</v>
      </c>
      <c r="F41" s="27">
        <f>E41+1</f>
        <v>28</v>
      </c>
      <c r="G41" s="27">
        <f>F41+1</f>
        <v>29</v>
      </c>
      <c r="H41" s="27">
        <f>G41+1</f>
        <v>30</v>
      </c>
      <c r="I41" s="27"/>
      <c r="J41" s="27"/>
      <c r="K41" s="27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12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124" t="s">
        <v>7</v>
      </c>
      <c r="D43" s="13"/>
      <c r="E43" s="14"/>
      <c r="F43" s="14"/>
      <c r="G43" s="290" t="s">
        <v>1666</v>
      </c>
      <c r="H43" s="290" t="s">
        <v>1667</v>
      </c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2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12" t="s">
        <v>9</v>
      </c>
      <c r="D46" s="13"/>
      <c r="E46" s="14"/>
      <c r="F46" s="14"/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24" t="s">
        <v>292</v>
      </c>
      <c r="D47" s="13"/>
      <c r="E47" s="14"/>
      <c r="F47" s="1522" t="s">
        <v>1608</v>
      </c>
      <c r="G47" s="1545"/>
      <c r="H47" s="243" t="s">
        <v>1669</v>
      </c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2" t="s">
        <v>316</v>
      </c>
      <c r="D48" s="13"/>
      <c r="E48" s="14"/>
      <c r="F48" s="355" t="s">
        <v>1628</v>
      </c>
      <c r="G48" s="355" t="s">
        <v>1628</v>
      </c>
      <c r="H48" s="355" t="s">
        <v>1628</v>
      </c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278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6">
    <mergeCell ref="B19:B21"/>
    <mergeCell ref="E3:G3"/>
    <mergeCell ref="H3:K3"/>
    <mergeCell ref="B6:B9"/>
    <mergeCell ref="B10:B12"/>
    <mergeCell ref="B15:B18"/>
    <mergeCell ref="F19:G19"/>
    <mergeCell ref="H11:I11"/>
    <mergeCell ref="H10:I10"/>
    <mergeCell ref="J10:K10"/>
    <mergeCell ref="I20:J20"/>
    <mergeCell ref="G20:H20"/>
    <mergeCell ref="H19:I19"/>
    <mergeCell ref="J19:K19"/>
    <mergeCell ref="B46:B48"/>
    <mergeCell ref="M23:O23"/>
    <mergeCell ref="B24:B27"/>
    <mergeCell ref="B28:B30"/>
    <mergeCell ref="B33:B36"/>
    <mergeCell ref="B37:B39"/>
    <mergeCell ref="B42:B45"/>
    <mergeCell ref="F28:G28"/>
    <mergeCell ref="I28:J28"/>
    <mergeCell ref="F40:J40"/>
    <mergeCell ref="F47:G47"/>
    <mergeCell ref="F29:H29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5">
    <pageSetUpPr fitToPage="1"/>
  </sheetPr>
  <dimension ref="A1:S49"/>
  <sheetViews>
    <sheetView topLeftCell="A21" zoomScale="85" zoomScaleNormal="85" workbookViewId="0">
      <selection activeCell="M23" sqref="M23:O2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44378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1569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26"/>
      <c r="G5" s="60"/>
      <c r="H5" s="60"/>
      <c r="I5" s="60">
        <v>1</v>
      </c>
      <c r="J5" s="60">
        <f>I5+1</f>
        <v>2</v>
      </c>
      <c r="K5" s="60">
        <f>J5+1</f>
        <v>3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358"/>
      <c r="F6" s="358"/>
      <c r="G6" s="358"/>
      <c r="H6" s="358"/>
      <c r="I6" s="358"/>
      <c r="J6" s="358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358"/>
      <c r="F7" s="358"/>
      <c r="G7" s="358"/>
      <c r="H7" s="358"/>
      <c r="I7" s="357" t="s">
        <v>1585</v>
      </c>
      <c r="J7" s="358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358"/>
      <c r="F8" s="358"/>
      <c r="G8" s="358"/>
      <c r="H8" s="358"/>
      <c r="I8" s="358"/>
      <c r="J8" s="358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358"/>
      <c r="F9" s="358"/>
      <c r="G9" s="358"/>
      <c r="H9" s="358"/>
      <c r="I9" s="358"/>
      <c r="J9" s="358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358"/>
      <c r="F10" s="358"/>
      <c r="G10" s="358"/>
      <c r="H10" s="358"/>
      <c r="I10" s="358"/>
      <c r="J10" s="358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358"/>
      <c r="F11" s="358"/>
      <c r="G11" s="358"/>
      <c r="H11" s="358"/>
      <c r="I11" s="358"/>
      <c r="J11" s="358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358"/>
      <c r="F12" s="358"/>
      <c r="G12" s="358"/>
      <c r="H12" s="358"/>
      <c r="I12" s="361" t="s">
        <v>1629</v>
      </c>
      <c r="J12" s="361" t="s">
        <v>1634</v>
      </c>
      <c r="K12" s="14"/>
      <c r="L12" s="4"/>
      <c r="M12" s="4"/>
      <c r="N12" s="4"/>
      <c r="R12" s="11"/>
      <c r="S12" s="4"/>
    </row>
    <row r="13" spans="1:19" s="5" customFormat="1" ht="24.6" customHeight="1">
      <c r="B13" s="327" t="s">
        <v>317</v>
      </c>
      <c r="C13" s="125" t="s">
        <v>228</v>
      </c>
      <c r="D13" s="13"/>
      <c r="E13" s="358"/>
      <c r="F13" s="358"/>
      <c r="G13" s="366"/>
      <c r="H13" s="358"/>
      <c r="I13" s="358"/>
      <c r="J13" s="366"/>
      <c r="K13" s="14"/>
      <c r="L13" s="4"/>
      <c r="M13" s="4"/>
      <c r="N13" s="4"/>
      <c r="R13" s="11"/>
      <c r="S13" s="4"/>
    </row>
    <row r="14" spans="1:19" ht="24" customHeight="1">
      <c r="A14" s="84"/>
      <c r="B14" s="84"/>
      <c r="C14" s="5"/>
      <c r="D14" s="5"/>
      <c r="E14" s="23">
        <f>K5+1</f>
        <v>4</v>
      </c>
      <c r="F14" s="65">
        <f t="shared" ref="F14:K14" si="0">E14+1</f>
        <v>5</v>
      </c>
      <c r="G14" s="65">
        <f t="shared" si="0"/>
        <v>6</v>
      </c>
      <c r="H14" s="65">
        <f t="shared" si="0"/>
        <v>7</v>
      </c>
      <c r="I14" s="65">
        <f t="shared" si="0"/>
        <v>8</v>
      </c>
      <c r="J14" s="65">
        <f t="shared" si="0"/>
        <v>9</v>
      </c>
      <c r="K14" s="304">
        <f t="shared" si="0"/>
        <v>10</v>
      </c>
    </row>
    <row r="15" spans="1:19" ht="24.6" customHeight="1">
      <c r="A15" s="84"/>
      <c r="B15" s="1467" t="s">
        <v>286</v>
      </c>
      <c r="C15" s="324" t="s">
        <v>9</v>
      </c>
      <c r="D15" s="13"/>
      <c r="E15" s="362"/>
      <c r="F15" s="362"/>
      <c r="G15" s="362"/>
      <c r="H15" s="362"/>
      <c r="I15" s="362"/>
      <c r="J15" s="362"/>
      <c r="K15" s="24"/>
    </row>
    <row r="16" spans="1:19" ht="24.6" customHeight="1">
      <c r="A16" s="84"/>
      <c r="B16" s="1467"/>
      <c r="C16" s="290" t="s">
        <v>7</v>
      </c>
      <c r="D16" s="13"/>
      <c r="E16" s="362"/>
      <c r="F16" s="357" t="s">
        <v>1679</v>
      </c>
      <c r="G16" s="342" t="s">
        <v>1566</v>
      </c>
      <c r="H16" s="362"/>
      <c r="I16" s="362"/>
      <c r="J16" s="362"/>
      <c r="K16" s="24"/>
    </row>
    <row r="17" spans="1:19" ht="24.6" customHeight="1">
      <c r="A17" s="84"/>
      <c r="B17" s="1467"/>
      <c r="C17" s="163" t="s">
        <v>389</v>
      </c>
      <c r="D17" s="13"/>
      <c r="E17" s="362"/>
      <c r="F17" s="362"/>
      <c r="G17" s="362"/>
      <c r="H17" s="362"/>
      <c r="I17" s="362"/>
      <c r="J17" s="362"/>
      <c r="K17" s="24"/>
    </row>
    <row r="18" spans="1:19" ht="24.6" customHeight="1">
      <c r="A18" s="84"/>
      <c r="B18" s="1467"/>
      <c r="C18" s="325" t="s">
        <v>316</v>
      </c>
      <c r="D18" s="13"/>
      <c r="E18" s="362"/>
      <c r="F18" s="362"/>
      <c r="G18" s="362"/>
      <c r="H18" s="362"/>
      <c r="I18" s="362"/>
      <c r="J18" s="362"/>
      <c r="K18" s="24"/>
    </row>
    <row r="19" spans="1:19" ht="24.6" customHeight="1">
      <c r="A19" s="84"/>
      <c r="B19" s="1467" t="s">
        <v>287</v>
      </c>
      <c r="C19" s="324" t="s">
        <v>9</v>
      </c>
      <c r="D19" s="13"/>
      <c r="E19" s="362"/>
      <c r="F19" s="362"/>
      <c r="G19" s="362"/>
      <c r="H19" s="362"/>
      <c r="I19" s="362"/>
      <c r="J19" s="362"/>
      <c r="K19" s="24"/>
    </row>
    <row r="20" spans="1:19" ht="24" customHeight="1">
      <c r="A20" s="84"/>
      <c r="B20" s="1467"/>
      <c r="C20" s="290" t="s">
        <v>292</v>
      </c>
      <c r="D20" s="13"/>
      <c r="E20" s="362"/>
      <c r="F20" s="1589" t="s">
        <v>1609</v>
      </c>
      <c r="G20" s="1590"/>
      <c r="H20" s="1589" t="s">
        <v>1612</v>
      </c>
      <c r="I20" s="1590"/>
      <c r="J20" s="360" t="s">
        <v>1611</v>
      </c>
      <c r="K20" s="24"/>
    </row>
    <row r="21" spans="1:19" ht="24" customHeight="1">
      <c r="A21" s="84"/>
      <c r="B21" s="1467"/>
      <c r="C21" s="325" t="s">
        <v>316</v>
      </c>
      <c r="D21" s="13"/>
      <c r="E21" s="362"/>
      <c r="F21" s="361" t="s">
        <v>1634</v>
      </c>
      <c r="G21" s="361" t="s">
        <v>1634</v>
      </c>
      <c r="H21" s="361" t="s">
        <v>1635</v>
      </c>
      <c r="I21" s="361" t="s">
        <v>1638</v>
      </c>
      <c r="J21" s="361" t="s">
        <v>1638</v>
      </c>
      <c r="K21" s="24"/>
    </row>
    <row r="22" spans="1:19" ht="24.6" customHeight="1">
      <c r="A22" s="84"/>
      <c r="B22" s="327" t="s">
        <v>317</v>
      </c>
      <c r="C22" s="125" t="s">
        <v>228</v>
      </c>
      <c r="D22" s="13"/>
      <c r="E22" s="362"/>
      <c r="F22" s="362"/>
      <c r="G22" s="362"/>
      <c r="H22" s="362"/>
      <c r="I22" s="362"/>
      <c r="J22" s="362"/>
      <c r="K22" s="24"/>
    </row>
    <row r="23" spans="1:19" ht="24.6" customHeight="1">
      <c r="A23" s="84"/>
      <c r="B23" s="84"/>
      <c r="C23" s="5"/>
      <c r="D23" s="5"/>
      <c r="E23" s="26">
        <f>K14+1</f>
        <v>11</v>
      </c>
      <c r="F23" s="27">
        <f t="shared" ref="F23:K23" si="1">E23+1</f>
        <v>12</v>
      </c>
      <c r="G23" s="27">
        <f t="shared" si="1"/>
        <v>13</v>
      </c>
      <c r="H23" s="27">
        <f t="shared" si="1"/>
        <v>14</v>
      </c>
      <c r="I23" s="27">
        <f t="shared" si="1"/>
        <v>15</v>
      </c>
      <c r="J23" s="27">
        <f t="shared" si="1"/>
        <v>16</v>
      </c>
      <c r="K23" s="52">
        <f t="shared" si="1"/>
        <v>17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358"/>
      <c r="F24" s="358"/>
      <c r="G24" s="358"/>
      <c r="H24" s="365" t="s">
        <v>1674</v>
      </c>
      <c r="I24" s="365" t="s">
        <v>1675</v>
      </c>
      <c r="J24" s="365" t="s">
        <v>1676</v>
      </c>
      <c r="K24" s="14"/>
    </row>
    <row r="25" spans="1:19" ht="24.6" customHeight="1">
      <c r="A25" s="84"/>
      <c r="B25" s="1467"/>
      <c r="C25" s="290" t="s">
        <v>7</v>
      </c>
      <c r="D25" s="13"/>
      <c r="E25" s="358"/>
      <c r="F25" s="342" t="s">
        <v>1586</v>
      </c>
      <c r="G25" s="358"/>
      <c r="H25" s="358"/>
      <c r="I25" s="358"/>
      <c r="J25" s="358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358"/>
      <c r="F26" s="358"/>
      <c r="G26" s="358"/>
      <c r="H26" s="358"/>
      <c r="I26" s="358"/>
      <c r="J26" s="358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358"/>
      <c r="F27" s="358"/>
      <c r="G27" s="358"/>
      <c r="H27" s="358"/>
      <c r="I27" s="358"/>
      <c r="J27" s="358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358"/>
      <c r="F28" s="358" t="s">
        <v>1682</v>
      </c>
      <c r="G28" s="358"/>
      <c r="H28" s="358"/>
      <c r="I28" s="358"/>
      <c r="J28" s="358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358"/>
      <c r="F29" s="360" t="s">
        <v>1611</v>
      </c>
      <c r="G29" s="360" t="s">
        <v>1663</v>
      </c>
      <c r="H29" s="360" t="s">
        <v>1664</v>
      </c>
      <c r="I29" s="1589" t="s">
        <v>1649</v>
      </c>
      <c r="J29" s="1591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358"/>
      <c r="F30" s="361" t="s">
        <v>1638</v>
      </c>
      <c r="G30" s="361" t="s">
        <v>1639</v>
      </c>
      <c r="H30" s="361" t="s">
        <v>1496</v>
      </c>
      <c r="I30" s="361" t="s">
        <v>1496</v>
      </c>
      <c r="J30" s="361" t="s">
        <v>1422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27" t="s">
        <v>317</v>
      </c>
      <c r="C31" s="125" t="s">
        <v>228</v>
      </c>
      <c r="D31" s="13"/>
      <c r="E31" s="358"/>
      <c r="F31" s="358"/>
      <c r="G31" s="358"/>
      <c r="H31" s="358"/>
      <c r="I31" s="358"/>
      <c r="J31" s="358">
        <v>0</v>
      </c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18</v>
      </c>
      <c r="F32" s="304">
        <f t="shared" ref="F32:K32" si="2">E32+1</f>
        <v>19</v>
      </c>
      <c r="G32" s="304">
        <f t="shared" si="2"/>
        <v>20</v>
      </c>
      <c r="H32" s="65">
        <f t="shared" si="2"/>
        <v>21</v>
      </c>
      <c r="I32" s="304">
        <f t="shared" si="2"/>
        <v>22</v>
      </c>
      <c r="J32" s="304">
        <f t="shared" si="2"/>
        <v>23</v>
      </c>
      <c r="K32" s="304">
        <f t="shared" si="2"/>
        <v>24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13"/>
      <c r="E33" s="362"/>
      <c r="F33" s="362"/>
      <c r="G33" s="362"/>
      <c r="H33" s="362"/>
      <c r="I33" s="362"/>
      <c r="J33" s="362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362"/>
      <c r="F34" s="362"/>
      <c r="G34" s="357" t="s">
        <v>1661</v>
      </c>
      <c r="H34" s="342" t="s">
        <v>1631</v>
      </c>
      <c r="I34" s="342" t="s">
        <v>1583</v>
      </c>
      <c r="J34" s="362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362"/>
      <c r="F35" s="362"/>
      <c r="G35" s="362"/>
      <c r="H35" s="363" t="s">
        <v>1614</v>
      </c>
      <c r="I35" s="362"/>
      <c r="J35" s="362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362"/>
      <c r="F36" s="364"/>
      <c r="G36" s="362"/>
      <c r="H36" s="362"/>
      <c r="I36" s="362"/>
      <c r="J36" s="362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362"/>
      <c r="F37" s="362"/>
      <c r="G37" s="362"/>
      <c r="H37" s="362"/>
      <c r="I37" s="1592" t="s">
        <v>1673</v>
      </c>
      <c r="J37" s="1593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362"/>
      <c r="F38" s="1589" t="s">
        <v>1651</v>
      </c>
      <c r="G38" s="1591"/>
      <c r="H38" s="360" t="s">
        <v>1650</v>
      </c>
      <c r="I38" s="362"/>
      <c r="J38" s="362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362"/>
      <c r="F39" s="361" t="s">
        <v>1423</v>
      </c>
      <c r="G39" s="361" t="s">
        <v>1423</v>
      </c>
      <c r="H39" s="361" t="s">
        <v>1423</v>
      </c>
      <c r="I39" s="361" t="s">
        <v>1424</v>
      </c>
      <c r="J39" s="361" t="s">
        <v>1640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27" t="s">
        <v>317</v>
      </c>
      <c r="C40" s="125" t="s">
        <v>228</v>
      </c>
      <c r="D40" s="13"/>
      <c r="E40" s="362"/>
      <c r="F40" s="362"/>
      <c r="G40" s="362"/>
      <c r="H40" s="362"/>
      <c r="I40" s="362"/>
      <c r="J40" s="362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25</v>
      </c>
      <c r="F41" s="27">
        <f t="shared" ref="F41:K41" si="3">E41+1</f>
        <v>26</v>
      </c>
      <c r="G41" s="27">
        <f t="shared" si="3"/>
        <v>27</v>
      </c>
      <c r="H41" s="27">
        <f t="shared" si="3"/>
        <v>28</v>
      </c>
      <c r="I41" s="27">
        <f t="shared" si="3"/>
        <v>29</v>
      </c>
      <c r="J41" s="27">
        <f t="shared" si="3"/>
        <v>30</v>
      </c>
      <c r="K41" s="27">
        <f t="shared" si="3"/>
        <v>31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358"/>
      <c r="F42" s="358"/>
      <c r="G42" s="358"/>
      <c r="H42" s="358"/>
      <c r="I42" s="358"/>
      <c r="J42" s="358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358"/>
      <c r="F43" s="358"/>
      <c r="G43" s="357" t="s">
        <v>1662</v>
      </c>
      <c r="H43" s="342" t="s">
        <v>1670</v>
      </c>
      <c r="I43" s="358"/>
      <c r="J43" s="358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358"/>
      <c r="F44" s="358"/>
      <c r="G44" s="358"/>
      <c r="H44" s="358"/>
      <c r="I44" s="358"/>
      <c r="J44" s="358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358"/>
      <c r="F45" s="358"/>
      <c r="G45" s="358"/>
      <c r="H45" s="358"/>
      <c r="I45" s="358"/>
      <c r="J45" s="358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358"/>
      <c r="F46" s="1592" t="s">
        <v>1671</v>
      </c>
      <c r="G46" s="1593"/>
      <c r="H46" s="359"/>
      <c r="I46" s="1592" t="s">
        <v>1672</v>
      </c>
      <c r="J46" s="1593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358"/>
      <c r="F47" s="358"/>
      <c r="G47" s="358"/>
      <c r="H47" s="360" t="s">
        <v>1650</v>
      </c>
      <c r="I47" s="358"/>
      <c r="J47" s="358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358"/>
      <c r="F48" s="361" t="s">
        <v>1640</v>
      </c>
      <c r="G48" s="361" t="s">
        <v>1550</v>
      </c>
      <c r="H48" s="361" t="s">
        <v>1606</v>
      </c>
      <c r="I48" s="361" t="s">
        <v>1606</v>
      </c>
      <c r="J48" s="361" t="s">
        <v>1606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27" t="s">
        <v>317</v>
      </c>
      <c r="C49" s="125" t="s">
        <v>228</v>
      </c>
      <c r="D49" s="13"/>
      <c r="E49" s="358"/>
      <c r="F49" s="358"/>
      <c r="G49" s="358"/>
      <c r="H49" s="358"/>
      <c r="I49" s="358"/>
      <c r="J49" s="358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0">
    <mergeCell ref="B46:B48"/>
    <mergeCell ref="M23:O23"/>
    <mergeCell ref="B24:B27"/>
    <mergeCell ref="B28:B30"/>
    <mergeCell ref="B33:B36"/>
    <mergeCell ref="B37:B39"/>
    <mergeCell ref="B42:B45"/>
    <mergeCell ref="F38:G38"/>
    <mergeCell ref="I37:J37"/>
    <mergeCell ref="F46:G46"/>
    <mergeCell ref="I46:J46"/>
    <mergeCell ref="I29:J29"/>
    <mergeCell ref="H20:I20"/>
    <mergeCell ref="B19:B21"/>
    <mergeCell ref="E3:G3"/>
    <mergeCell ref="H3:K3"/>
    <mergeCell ref="B6:B9"/>
    <mergeCell ref="B10:B12"/>
    <mergeCell ref="B15:B18"/>
    <mergeCell ref="F20:G20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6">
    <pageSetUpPr fitToPage="1"/>
  </sheetPr>
  <dimension ref="A1:S49"/>
  <sheetViews>
    <sheetView topLeftCell="A16" zoomScale="85" zoomScaleNormal="85" workbookViewId="0">
      <selection activeCell="E62" sqref="E62:E63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44378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1569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26"/>
      <c r="G5" s="60"/>
      <c r="H5" s="60"/>
      <c r="I5" s="60">
        <v>1</v>
      </c>
      <c r="J5" s="60">
        <f>I5+1</f>
        <v>2</v>
      </c>
      <c r="K5" s="60">
        <f>J5+1</f>
        <v>3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358"/>
      <c r="F6" s="358"/>
      <c r="G6" s="358"/>
      <c r="H6" s="358"/>
      <c r="I6" s="358"/>
      <c r="J6" s="358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358"/>
      <c r="F7" s="358"/>
      <c r="G7" s="358"/>
      <c r="H7" s="358"/>
      <c r="I7" s="357" t="s">
        <v>1585</v>
      </c>
      <c r="J7" s="358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358"/>
      <c r="F8" s="358"/>
      <c r="G8" s="358"/>
      <c r="H8" s="358"/>
      <c r="I8" s="358"/>
      <c r="J8" s="358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358"/>
      <c r="F9" s="358"/>
      <c r="G9" s="358"/>
      <c r="H9" s="358"/>
      <c r="I9" s="358"/>
      <c r="J9" s="358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358"/>
      <c r="F10" s="358"/>
      <c r="G10" s="358"/>
      <c r="H10" s="358"/>
      <c r="I10" s="358"/>
      <c r="J10" s="358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358"/>
      <c r="F11" s="358"/>
      <c r="G11" s="358"/>
      <c r="H11" s="358"/>
      <c r="I11" s="358"/>
      <c r="J11" s="358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358"/>
      <c r="F12" s="358"/>
      <c r="G12" s="358"/>
      <c r="H12" s="358"/>
      <c r="I12" s="361" t="s">
        <v>1629</v>
      </c>
      <c r="J12" s="361" t="s">
        <v>1634</v>
      </c>
      <c r="K12" s="14"/>
      <c r="L12" s="4"/>
      <c r="M12" s="4"/>
      <c r="N12" s="4"/>
      <c r="R12" s="11"/>
      <c r="S12" s="4"/>
    </row>
    <row r="13" spans="1:19" s="5" customFormat="1" ht="24.6" customHeight="1">
      <c r="B13" s="368" t="s">
        <v>317</v>
      </c>
      <c r="C13" s="125" t="s">
        <v>228</v>
      </c>
      <c r="D13" s="13"/>
      <c r="E13" s="358"/>
      <c r="F13" s="358"/>
      <c r="G13" s="366"/>
      <c r="H13" s="358"/>
      <c r="I13" s="358"/>
      <c r="J13" s="366"/>
      <c r="K13" s="14"/>
      <c r="L13" s="4"/>
      <c r="M13" s="4"/>
      <c r="N13" s="4"/>
      <c r="R13" s="11"/>
      <c r="S13" s="4"/>
    </row>
    <row r="14" spans="1:19" ht="24" customHeight="1">
      <c r="A14" s="84"/>
      <c r="B14" s="84"/>
      <c r="C14" s="5"/>
      <c r="D14" s="5"/>
      <c r="E14" s="23">
        <f>K5+1</f>
        <v>4</v>
      </c>
      <c r="F14" s="65">
        <f t="shared" ref="F14:K14" si="0">E14+1</f>
        <v>5</v>
      </c>
      <c r="G14" s="65">
        <f t="shared" si="0"/>
        <v>6</v>
      </c>
      <c r="H14" s="65">
        <f t="shared" si="0"/>
        <v>7</v>
      </c>
      <c r="I14" s="65">
        <f t="shared" si="0"/>
        <v>8</v>
      </c>
      <c r="J14" s="65">
        <f t="shared" si="0"/>
        <v>9</v>
      </c>
      <c r="K14" s="304">
        <f t="shared" si="0"/>
        <v>10</v>
      </c>
    </row>
    <row r="15" spans="1:19" ht="24.6" customHeight="1">
      <c r="A15" s="84"/>
      <c r="B15" s="1467" t="s">
        <v>286</v>
      </c>
      <c r="C15" s="324" t="s">
        <v>9</v>
      </c>
      <c r="D15" s="13"/>
      <c r="E15" s="362"/>
      <c r="F15" s="362"/>
      <c r="G15" s="362"/>
      <c r="H15" s="362"/>
      <c r="I15" s="362"/>
      <c r="J15" s="362"/>
      <c r="K15" s="24"/>
    </row>
    <row r="16" spans="1:19" ht="24.6" customHeight="1">
      <c r="A16" s="84"/>
      <c r="B16" s="1467"/>
      <c r="C16" s="290" t="s">
        <v>7</v>
      </c>
      <c r="D16" s="13"/>
      <c r="E16" s="362"/>
      <c r="F16" s="357" t="s">
        <v>1679</v>
      </c>
      <c r="G16" s="342" t="s">
        <v>1566</v>
      </c>
      <c r="H16" s="362"/>
      <c r="I16" s="362"/>
      <c r="J16" s="362"/>
      <c r="K16" s="24"/>
    </row>
    <row r="17" spans="1:19" ht="24.6" customHeight="1">
      <c r="A17" s="84"/>
      <c r="B17" s="1467"/>
      <c r="C17" s="163" t="s">
        <v>389</v>
      </c>
      <c r="D17" s="13"/>
      <c r="E17" s="362"/>
      <c r="F17" s="362"/>
      <c r="G17" s="362"/>
      <c r="H17" s="362"/>
      <c r="I17" s="362"/>
      <c r="J17" s="362"/>
      <c r="K17" s="24"/>
    </row>
    <row r="18" spans="1:19" ht="24.6" customHeight="1">
      <c r="A18" s="84"/>
      <c r="B18" s="1467"/>
      <c r="C18" s="325" t="s">
        <v>316</v>
      </c>
      <c r="D18" s="13"/>
      <c r="E18" s="362"/>
      <c r="F18" s="362"/>
      <c r="G18" s="362"/>
      <c r="H18" s="362"/>
      <c r="I18" s="362"/>
      <c r="J18" s="362"/>
      <c r="K18" s="24"/>
    </row>
    <row r="19" spans="1:19" ht="24.6" customHeight="1">
      <c r="A19" s="84"/>
      <c r="B19" s="1467" t="s">
        <v>287</v>
      </c>
      <c r="C19" s="324" t="s">
        <v>9</v>
      </c>
      <c r="D19" s="13"/>
      <c r="E19" s="362"/>
      <c r="F19" s="362"/>
      <c r="G19" s="362"/>
      <c r="H19" s="362"/>
      <c r="I19" s="362"/>
      <c r="J19" s="362"/>
      <c r="K19" s="24"/>
    </row>
    <row r="20" spans="1:19" ht="24" customHeight="1">
      <c r="A20" s="84"/>
      <c r="B20" s="1467"/>
      <c r="C20" s="290" t="s">
        <v>292</v>
      </c>
      <c r="D20" s="13"/>
      <c r="E20" s="362"/>
      <c r="F20" s="1589" t="s">
        <v>1609</v>
      </c>
      <c r="G20" s="1590"/>
      <c r="H20" s="362"/>
      <c r="I20" s="362"/>
      <c r="J20" s="360" t="s">
        <v>1612</v>
      </c>
      <c r="K20" s="24"/>
    </row>
    <row r="21" spans="1:19" ht="24" customHeight="1">
      <c r="A21" s="84"/>
      <c r="B21" s="1467"/>
      <c r="C21" s="325" t="s">
        <v>316</v>
      </c>
      <c r="D21" s="13"/>
      <c r="E21" s="362"/>
      <c r="F21" s="361" t="s">
        <v>1634</v>
      </c>
      <c r="G21" s="361" t="s">
        <v>1634</v>
      </c>
      <c r="H21" s="361" t="s">
        <v>1635</v>
      </c>
      <c r="I21" s="361" t="s">
        <v>1638</v>
      </c>
      <c r="J21" s="361" t="s">
        <v>1638</v>
      </c>
      <c r="K21" s="24"/>
    </row>
    <row r="22" spans="1:19" ht="24.6" customHeight="1">
      <c r="A22" s="84"/>
      <c r="B22" s="368" t="s">
        <v>317</v>
      </c>
      <c r="C22" s="125" t="s">
        <v>228</v>
      </c>
      <c r="D22" s="13"/>
      <c r="E22" s="362"/>
      <c r="F22" s="362"/>
      <c r="G22" s="362"/>
      <c r="H22" s="362"/>
      <c r="I22" s="362"/>
      <c r="J22" s="362"/>
      <c r="K22" s="24"/>
    </row>
    <row r="23" spans="1:19" ht="24.6" customHeight="1">
      <c r="A23" s="84"/>
      <c r="B23" s="84"/>
      <c r="C23" s="5"/>
      <c r="D23" s="5"/>
      <c r="E23" s="26">
        <f>K14+1</f>
        <v>11</v>
      </c>
      <c r="F23" s="27">
        <f t="shared" ref="F23:K23" si="1">E23+1</f>
        <v>12</v>
      </c>
      <c r="G23" s="27">
        <f t="shared" si="1"/>
        <v>13</v>
      </c>
      <c r="H23" s="27">
        <f t="shared" si="1"/>
        <v>14</v>
      </c>
      <c r="I23" s="27">
        <f t="shared" si="1"/>
        <v>15</v>
      </c>
      <c r="J23" s="27">
        <f t="shared" si="1"/>
        <v>16</v>
      </c>
      <c r="K23" s="52">
        <f t="shared" si="1"/>
        <v>17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358"/>
      <c r="F24" s="358"/>
      <c r="G24" s="358"/>
      <c r="H24" s="365" t="s">
        <v>1674</v>
      </c>
      <c r="I24" s="365" t="s">
        <v>1675</v>
      </c>
      <c r="J24" s="365" t="s">
        <v>1676</v>
      </c>
      <c r="K24" s="14"/>
    </row>
    <row r="25" spans="1:19" ht="24.6" customHeight="1">
      <c r="A25" s="84"/>
      <c r="B25" s="1467"/>
      <c r="C25" s="290" t="s">
        <v>7</v>
      </c>
      <c r="D25" s="13"/>
      <c r="E25" s="358"/>
      <c r="F25" s="342" t="s">
        <v>1586</v>
      </c>
      <c r="G25" s="358"/>
      <c r="H25" s="358"/>
      <c r="I25" s="358"/>
      <c r="J25" s="358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358"/>
      <c r="F26" s="358"/>
      <c r="G26" s="358"/>
      <c r="H26" s="358"/>
      <c r="I26" s="358"/>
      <c r="J26" s="358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358"/>
      <c r="F27" s="358"/>
      <c r="G27" s="358"/>
      <c r="H27" s="358"/>
      <c r="I27" s="358"/>
      <c r="J27" s="358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358"/>
      <c r="F28" s="358"/>
      <c r="G28" s="358"/>
      <c r="H28" s="358"/>
      <c r="I28" s="358"/>
      <c r="J28" s="358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358"/>
      <c r="F29" s="1589" t="s">
        <v>1611</v>
      </c>
      <c r="G29" s="1590"/>
      <c r="H29" s="360" t="s">
        <v>1663</v>
      </c>
      <c r="I29" s="360" t="s">
        <v>1664</v>
      </c>
      <c r="J29" s="360" t="s">
        <v>1620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358"/>
      <c r="F30" s="361" t="s">
        <v>1638</v>
      </c>
      <c r="G30" s="361" t="s">
        <v>1639</v>
      </c>
      <c r="H30" s="361" t="s">
        <v>1496</v>
      </c>
      <c r="I30" s="361" t="s">
        <v>1496</v>
      </c>
      <c r="J30" s="361" t="s">
        <v>1422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68" t="s">
        <v>317</v>
      </c>
      <c r="C31" s="125" t="s">
        <v>228</v>
      </c>
      <c r="D31" s="13"/>
      <c r="E31" s="358"/>
      <c r="F31" s="358"/>
      <c r="G31" s="358"/>
      <c r="H31" s="358"/>
      <c r="I31" s="358"/>
      <c r="J31" s="358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18</v>
      </c>
      <c r="F32" s="304">
        <f t="shared" ref="F32:K32" si="2">E32+1</f>
        <v>19</v>
      </c>
      <c r="G32" s="304">
        <f t="shared" si="2"/>
        <v>20</v>
      </c>
      <c r="H32" s="65">
        <f t="shared" si="2"/>
        <v>21</v>
      </c>
      <c r="I32" s="304">
        <f t="shared" si="2"/>
        <v>22</v>
      </c>
      <c r="J32" s="304">
        <f t="shared" si="2"/>
        <v>23</v>
      </c>
      <c r="K32" s="304">
        <f t="shared" si="2"/>
        <v>24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13"/>
      <c r="E33" s="362"/>
      <c r="F33" s="362"/>
      <c r="G33" s="362"/>
      <c r="H33" s="362"/>
      <c r="I33" s="362"/>
      <c r="J33" s="362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362"/>
      <c r="F34" s="362"/>
      <c r="G34" s="357" t="s">
        <v>1661</v>
      </c>
      <c r="H34" s="342" t="s">
        <v>1631</v>
      </c>
      <c r="I34" s="362"/>
      <c r="J34" s="362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362"/>
      <c r="F35" s="362"/>
      <c r="G35" s="362"/>
      <c r="H35" s="363" t="s">
        <v>193</v>
      </c>
      <c r="I35" s="362"/>
      <c r="J35" s="362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362"/>
      <c r="F36" s="364"/>
      <c r="G36" s="362"/>
      <c r="H36" s="362"/>
      <c r="I36" s="362"/>
      <c r="J36" s="362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362"/>
      <c r="F37" s="364"/>
      <c r="G37" s="362"/>
      <c r="H37" s="362"/>
      <c r="I37" s="362"/>
      <c r="J37" s="362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362"/>
      <c r="F38" s="364"/>
      <c r="G38" s="1589" t="s">
        <v>1636</v>
      </c>
      <c r="H38" s="1590"/>
      <c r="I38" s="1589" t="s">
        <v>1651</v>
      </c>
      <c r="J38" s="1591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362"/>
      <c r="F39" s="361" t="s">
        <v>1423</v>
      </c>
      <c r="G39" s="361" t="s">
        <v>1423</v>
      </c>
      <c r="H39" s="361" t="s">
        <v>1423</v>
      </c>
      <c r="I39" s="361" t="s">
        <v>1424</v>
      </c>
      <c r="J39" s="361" t="s">
        <v>1640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68" t="s">
        <v>317</v>
      </c>
      <c r="C40" s="125" t="s">
        <v>228</v>
      </c>
      <c r="D40" s="13"/>
      <c r="E40" s="362"/>
      <c r="F40" s="362"/>
      <c r="G40" s="362"/>
      <c r="H40" s="362"/>
      <c r="I40" s="362"/>
      <c r="J40" s="362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25</v>
      </c>
      <c r="F41" s="27">
        <f t="shared" ref="F41:K41" si="3">E41+1</f>
        <v>26</v>
      </c>
      <c r="G41" s="27">
        <f t="shared" si="3"/>
        <v>27</v>
      </c>
      <c r="H41" s="27">
        <f t="shared" si="3"/>
        <v>28</v>
      </c>
      <c r="I41" s="27">
        <f t="shared" si="3"/>
        <v>29</v>
      </c>
      <c r="J41" s="27">
        <f t="shared" si="3"/>
        <v>30</v>
      </c>
      <c r="K41" s="27">
        <f t="shared" si="3"/>
        <v>31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358"/>
      <c r="F42" s="358"/>
      <c r="G42" s="358"/>
      <c r="H42" s="358"/>
      <c r="I42" s="358"/>
      <c r="J42" s="358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358"/>
      <c r="F43" s="342" t="s">
        <v>1583</v>
      </c>
      <c r="G43" s="357" t="s">
        <v>1662</v>
      </c>
      <c r="H43" s="342" t="s">
        <v>1670</v>
      </c>
      <c r="I43" s="358"/>
      <c r="J43" s="358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358"/>
      <c r="F44" s="358"/>
      <c r="G44" s="358"/>
      <c r="H44" s="358"/>
      <c r="I44" s="358"/>
      <c r="J44" s="358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358"/>
      <c r="F45" s="358"/>
      <c r="G45" s="358"/>
      <c r="H45" s="358"/>
      <c r="I45" s="358"/>
      <c r="J45" s="358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358"/>
      <c r="F46" s="358"/>
      <c r="G46" s="358"/>
      <c r="H46" s="359"/>
      <c r="I46" s="358"/>
      <c r="J46" s="358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358"/>
      <c r="F47" s="358"/>
      <c r="G47" s="1589" t="s">
        <v>1652</v>
      </c>
      <c r="H47" s="1590"/>
      <c r="I47" s="1589" t="s">
        <v>1653</v>
      </c>
      <c r="J47" s="1590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358"/>
      <c r="F48" s="361" t="s">
        <v>1640</v>
      </c>
      <c r="G48" s="361" t="s">
        <v>1550</v>
      </c>
      <c r="H48" s="361" t="s">
        <v>1606</v>
      </c>
      <c r="I48" s="361" t="s">
        <v>1606</v>
      </c>
      <c r="J48" s="361" t="s">
        <v>1606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68" t="s">
        <v>317</v>
      </c>
      <c r="C49" s="125" t="s">
        <v>228</v>
      </c>
      <c r="D49" s="13"/>
      <c r="E49" s="358"/>
      <c r="F49" s="358"/>
      <c r="G49" s="358"/>
      <c r="H49" s="358"/>
      <c r="I49" s="358"/>
      <c r="J49" s="358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19">
    <mergeCell ref="B42:B45"/>
    <mergeCell ref="B46:B48"/>
    <mergeCell ref="F29:G29"/>
    <mergeCell ref="I38:J38"/>
    <mergeCell ref="G38:H38"/>
    <mergeCell ref="G47:H47"/>
    <mergeCell ref="I47:J47"/>
    <mergeCell ref="M23:O23"/>
    <mergeCell ref="B24:B27"/>
    <mergeCell ref="B28:B30"/>
    <mergeCell ref="B33:B36"/>
    <mergeCell ref="B37:B39"/>
    <mergeCell ref="B19:B21"/>
    <mergeCell ref="F20:G20"/>
    <mergeCell ref="E3:G3"/>
    <mergeCell ref="H3:K3"/>
    <mergeCell ref="B6:B9"/>
    <mergeCell ref="B10:B12"/>
    <mergeCell ref="B15:B18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7">
    <pageSetUpPr fitToPage="1"/>
  </sheetPr>
  <dimension ref="A1:S49"/>
  <sheetViews>
    <sheetView topLeftCell="A16" zoomScale="70" zoomScaleNormal="70" workbookViewId="0">
      <selection activeCell="I29" sqref="I29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44409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f>F5+1</f>
        <v>3</v>
      </c>
      <c r="H5" s="60">
        <f>G5+1</f>
        <v>4</v>
      </c>
      <c r="I5" s="60">
        <f>H5+1</f>
        <v>5</v>
      </c>
      <c r="J5" s="60">
        <f>I5+1</f>
        <v>6</v>
      </c>
      <c r="K5" s="60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14"/>
      <c r="F12" s="325" t="s">
        <v>1641</v>
      </c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327" t="s">
        <v>317</v>
      </c>
      <c r="C13" s="125" t="s">
        <v>228</v>
      </c>
      <c r="D13" s="13"/>
      <c r="E13" s="1587" t="s">
        <v>1657</v>
      </c>
      <c r="F13" s="1587"/>
      <c r="G13" s="1587"/>
      <c r="H13" s="1587"/>
      <c r="I13" s="1587"/>
      <c r="J13" s="1587"/>
      <c r="K13" s="1587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324" t="s">
        <v>9</v>
      </c>
      <c r="D15" s="13"/>
      <c r="E15" s="24"/>
      <c r="F15" s="24"/>
      <c r="G15" s="24"/>
      <c r="H15" s="24"/>
      <c r="I15" s="282" t="s">
        <v>1258</v>
      </c>
      <c r="J15" s="24"/>
      <c r="K15" s="24"/>
    </row>
    <row r="16" spans="1:19" ht="24.6" customHeight="1">
      <c r="A16" s="84"/>
      <c r="B16" s="1467"/>
      <c r="C16" s="290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325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324" t="s">
        <v>9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290" t="s">
        <v>292</v>
      </c>
      <c r="D20" s="13"/>
      <c r="E20" s="24"/>
      <c r="F20" s="243" t="s">
        <v>1677</v>
      </c>
      <c r="G20" s="1522" t="s">
        <v>1652</v>
      </c>
      <c r="H20" s="1545"/>
      <c r="I20" s="1522" t="s">
        <v>1653</v>
      </c>
      <c r="J20" s="1545"/>
      <c r="K20" s="24"/>
    </row>
    <row r="21" spans="1:19" ht="24" customHeight="1">
      <c r="A21" s="84"/>
      <c r="B21" s="1467"/>
      <c r="C21" s="325" t="s">
        <v>316</v>
      </c>
      <c r="D21" s="13"/>
      <c r="E21" s="24"/>
      <c r="F21" s="24"/>
      <c r="G21" s="24"/>
      <c r="H21" s="24"/>
      <c r="I21" s="24"/>
      <c r="J21" s="24"/>
      <c r="K21" s="24"/>
    </row>
    <row r="22" spans="1:19" ht="24.6" customHeight="1">
      <c r="A22" s="84"/>
      <c r="B22" s="327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14"/>
      <c r="F24" s="14"/>
      <c r="G24" s="282" t="s">
        <v>1259</v>
      </c>
      <c r="H24" s="282" t="s">
        <v>1260</v>
      </c>
      <c r="I24" s="282" t="s">
        <v>1261</v>
      </c>
      <c r="J24" s="14"/>
      <c r="K24" s="14"/>
    </row>
    <row r="25" spans="1:19" ht="24.6" customHeight="1">
      <c r="A25" s="84"/>
      <c r="B25" s="1467"/>
      <c r="C25" s="290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14"/>
      <c r="F28" s="14"/>
      <c r="G28" s="1556" t="s">
        <v>1485</v>
      </c>
      <c r="H28" s="1557"/>
      <c r="I28" s="1556" t="s">
        <v>1642</v>
      </c>
      <c r="J28" s="1557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14"/>
      <c r="F29" s="14"/>
      <c r="G29" s="1522" t="s">
        <v>1654</v>
      </c>
      <c r="H29" s="1545"/>
      <c r="I29" s="243" t="s">
        <v>1665</v>
      </c>
      <c r="J29" s="367" t="s">
        <v>1613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14"/>
      <c r="F30" s="14"/>
      <c r="G30" s="14"/>
      <c r="H30" s="14"/>
      <c r="I30" s="325" t="s">
        <v>1425</v>
      </c>
      <c r="J30" s="325" t="s">
        <v>1425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27" t="s">
        <v>317</v>
      </c>
      <c r="C31" s="125" t="s">
        <v>228</v>
      </c>
      <c r="D31" s="13"/>
      <c r="E31" s="159" t="s">
        <v>379</v>
      </c>
      <c r="F31" s="159" t="s">
        <v>1678</v>
      </c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04">
        <f t="shared" ref="F32:K32" si="2">E32+1</f>
        <v>23</v>
      </c>
      <c r="G32" s="304">
        <f t="shared" si="2"/>
        <v>24</v>
      </c>
      <c r="H32" s="65">
        <f t="shared" si="2"/>
        <v>25</v>
      </c>
      <c r="I32" s="304">
        <f t="shared" si="2"/>
        <v>26</v>
      </c>
      <c r="J32" s="304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13"/>
      <c r="E33" s="24"/>
      <c r="F33" s="24"/>
      <c r="G33" s="282" t="s">
        <v>1262</v>
      </c>
      <c r="H33" s="282" t="s">
        <v>1551</v>
      </c>
      <c r="I33" s="282" t="s">
        <v>1552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24"/>
      <c r="F37" s="1556" t="s">
        <v>1643</v>
      </c>
      <c r="G37" s="1557"/>
      <c r="H37" s="24"/>
      <c r="I37" s="1556" t="s">
        <v>1644</v>
      </c>
      <c r="J37" s="1557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24"/>
      <c r="F38" s="367" t="s">
        <v>1613</v>
      </c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24"/>
      <c r="F39" s="325" t="s">
        <v>1425</v>
      </c>
      <c r="G39" s="325" t="s">
        <v>1426</v>
      </c>
      <c r="H39" s="325" t="s">
        <v>1427</v>
      </c>
      <c r="I39" s="325" t="s">
        <v>1427</v>
      </c>
      <c r="J39" s="325" t="s">
        <v>1428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27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f>F41+1</f>
        <v>31</v>
      </c>
      <c r="H41" s="27"/>
      <c r="I41" s="27"/>
      <c r="J41" s="27"/>
      <c r="K41" s="27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14"/>
      <c r="F42" s="14"/>
      <c r="G42" s="282" t="s">
        <v>1553</v>
      </c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14"/>
      <c r="F46" s="1556" t="s">
        <v>1656</v>
      </c>
      <c r="G46" s="1557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14"/>
      <c r="F47" s="14"/>
      <c r="G47" s="243" t="s">
        <v>1655</v>
      </c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14"/>
      <c r="F48" s="325" t="s">
        <v>1429</v>
      </c>
      <c r="G48" s="325" t="s">
        <v>1429</v>
      </c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27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2">
    <mergeCell ref="B46:B48"/>
    <mergeCell ref="M23:O23"/>
    <mergeCell ref="B24:B27"/>
    <mergeCell ref="B28:B30"/>
    <mergeCell ref="B33:B36"/>
    <mergeCell ref="B37:B39"/>
    <mergeCell ref="B42:B45"/>
    <mergeCell ref="F46:G46"/>
    <mergeCell ref="G29:H29"/>
    <mergeCell ref="G28:H28"/>
    <mergeCell ref="E3:G3"/>
    <mergeCell ref="H3:K3"/>
    <mergeCell ref="B6:B9"/>
    <mergeCell ref="B10:B12"/>
    <mergeCell ref="B15:B18"/>
    <mergeCell ref="E13:K13"/>
    <mergeCell ref="B19:B21"/>
    <mergeCell ref="F37:G37"/>
    <mergeCell ref="I37:J37"/>
    <mergeCell ref="I28:J28"/>
    <mergeCell ref="I20:J20"/>
    <mergeCell ref="G20:H20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8">
    <pageSetUpPr fitToPage="1"/>
  </sheetPr>
  <dimension ref="A1:S49"/>
  <sheetViews>
    <sheetView topLeftCell="A7" zoomScale="85" zoomScaleNormal="85" workbookViewId="0">
      <selection activeCell="F46" sqref="F46:G4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44409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>
        <v>1</v>
      </c>
      <c r="F5" s="60">
        <v>2</v>
      </c>
      <c r="G5" s="60">
        <f>F5+1</f>
        <v>3</v>
      </c>
      <c r="H5" s="60">
        <f>G5+1</f>
        <v>4</v>
      </c>
      <c r="I5" s="60">
        <f>H5+1</f>
        <v>5</v>
      </c>
      <c r="J5" s="60">
        <f>I5+1</f>
        <v>6</v>
      </c>
      <c r="K5" s="60">
        <f>J5+1</f>
        <v>7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14"/>
      <c r="F12" s="325" t="s">
        <v>1641</v>
      </c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368" t="s">
        <v>317</v>
      </c>
      <c r="C13" s="125" t="s">
        <v>228</v>
      </c>
      <c r="D13" s="13"/>
      <c r="E13" s="1587" t="s">
        <v>1657</v>
      </c>
      <c r="F13" s="1587"/>
      <c r="G13" s="1587"/>
      <c r="H13" s="1587"/>
      <c r="I13" s="1587"/>
      <c r="J13" s="1587"/>
      <c r="K13" s="1587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23">
        <f t="shared" si="0"/>
        <v>14</v>
      </c>
    </row>
    <row r="15" spans="1:19" ht="24.6" customHeight="1">
      <c r="A15" s="84"/>
      <c r="B15" s="1467" t="s">
        <v>286</v>
      </c>
      <c r="C15" s="324" t="s">
        <v>9</v>
      </c>
      <c r="D15" s="13"/>
      <c r="E15" s="24"/>
      <c r="F15" s="24"/>
      <c r="G15" s="24"/>
      <c r="H15" s="24"/>
      <c r="I15" s="190" t="s">
        <v>1695</v>
      </c>
      <c r="J15" s="24"/>
      <c r="K15" s="24"/>
    </row>
    <row r="16" spans="1:19" ht="24.6" customHeight="1">
      <c r="A16" s="84"/>
      <c r="B16" s="1467"/>
      <c r="C16" s="290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325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324" t="s">
        <v>9</v>
      </c>
      <c r="D19" s="13"/>
      <c r="E19" s="24"/>
      <c r="F19" s="24"/>
      <c r="G19" s="1592" t="s">
        <v>1673</v>
      </c>
      <c r="H19" s="1593"/>
      <c r="I19" s="24"/>
      <c r="J19" s="24"/>
      <c r="K19" s="24"/>
    </row>
    <row r="20" spans="1:19" ht="24" customHeight="1">
      <c r="A20" s="84"/>
      <c r="B20" s="1467"/>
      <c r="C20" s="290" t="s">
        <v>292</v>
      </c>
      <c r="D20" s="13"/>
      <c r="E20" s="24"/>
      <c r="F20" s="24"/>
      <c r="G20" s="24"/>
      <c r="H20" s="24"/>
      <c r="I20" s="243" t="s">
        <v>1677</v>
      </c>
      <c r="J20" s="243" t="s">
        <v>1654</v>
      </c>
      <c r="K20" s="24"/>
    </row>
    <row r="21" spans="1:19" ht="24" customHeight="1">
      <c r="A21" s="84"/>
      <c r="B21" s="1467"/>
      <c r="C21" s="325" t="s">
        <v>316</v>
      </c>
      <c r="D21" s="13"/>
      <c r="E21" s="24"/>
      <c r="F21" s="24"/>
      <c r="G21" s="24"/>
      <c r="H21" s="24"/>
      <c r="I21" s="24"/>
      <c r="K21" s="24"/>
    </row>
    <row r="22" spans="1:19" ht="24.6" customHeight="1">
      <c r="A22" s="84"/>
      <c r="B22" s="368" t="s">
        <v>317</v>
      </c>
      <c r="C22" s="125" t="s">
        <v>228</v>
      </c>
      <c r="D22" s="13"/>
      <c r="E22" s="24"/>
      <c r="F22" s="24"/>
      <c r="G22" s="24"/>
      <c r="H22" s="24"/>
      <c r="I22" s="24"/>
      <c r="J22" s="24"/>
      <c r="K22" s="24"/>
    </row>
    <row r="23" spans="1:19" ht="24.6" customHeight="1">
      <c r="A23" s="84"/>
      <c r="B23" s="84"/>
      <c r="C23" s="5"/>
      <c r="D23" s="5"/>
      <c r="E23" s="26">
        <f>K14+1</f>
        <v>15</v>
      </c>
      <c r="F23" s="27">
        <f t="shared" ref="F23:K23" si="1">E23+1</f>
        <v>16</v>
      </c>
      <c r="G23" s="27">
        <f t="shared" si="1"/>
        <v>17</v>
      </c>
      <c r="H23" s="27">
        <f t="shared" si="1"/>
        <v>18</v>
      </c>
      <c r="I23" s="27">
        <f t="shared" si="1"/>
        <v>19</v>
      </c>
      <c r="J23" s="27">
        <f t="shared" si="1"/>
        <v>20</v>
      </c>
      <c r="K23" s="52">
        <f t="shared" si="1"/>
        <v>21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14"/>
      <c r="F24" s="14"/>
      <c r="G24" s="190" t="s">
        <v>1696</v>
      </c>
      <c r="H24" s="190" t="s">
        <v>1697</v>
      </c>
      <c r="I24" s="190" t="s">
        <v>1698</v>
      </c>
      <c r="J24" s="14"/>
      <c r="K24" s="14"/>
    </row>
    <row r="25" spans="1:19" ht="24.6" customHeight="1">
      <c r="A25" s="84"/>
      <c r="B25" s="1467"/>
      <c r="C25" s="290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14"/>
      <c r="F28" s="1592" t="s">
        <v>1671</v>
      </c>
      <c r="G28" s="1593"/>
      <c r="H28" s="14"/>
      <c r="I28" s="1592" t="s">
        <v>1672</v>
      </c>
      <c r="J28" s="1593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14"/>
      <c r="F29" s="14"/>
      <c r="G29" s="14"/>
      <c r="H29" s="243" t="s">
        <v>1665</v>
      </c>
      <c r="I29" s="14"/>
      <c r="J29" s="14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14"/>
      <c r="F30" s="14"/>
      <c r="G30" s="14"/>
      <c r="H30" s="14"/>
      <c r="I30" s="14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68" t="s">
        <v>317</v>
      </c>
      <c r="C31" s="125" t="s">
        <v>228</v>
      </c>
      <c r="D31" s="13"/>
      <c r="E31" s="159" t="s">
        <v>379</v>
      </c>
      <c r="F31" s="159" t="s">
        <v>16</v>
      </c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22</v>
      </c>
      <c r="F32" s="304">
        <f t="shared" ref="F32:K32" si="2">E32+1</f>
        <v>23</v>
      </c>
      <c r="G32" s="304">
        <f t="shared" si="2"/>
        <v>24</v>
      </c>
      <c r="H32" s="65">
        <f t="shared" si="2"/>
        <v>25</v>
      </c>
      <c r="I32" s="304">
        <f t="shared" si="2"/>
        <v>26</v>
      </c>
      <c r="J32" s="304">
        <f t="shared" si="2"/>
        <v>27</v>
      </c>
      <c r="K32" s="23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13"/>
      <c r="E33" s="24"/>
      <c r="F33" s="282" t="s">
        <v>1699</v>
      </c>
      <c r="G33" s="282" t="s">
        <v>1700</v>
      </c>
      <c r="H33" s="282" t="s">
        <v>1701</v>
      </c>
      <c r="I33" s="282" t="s">
        <v>1702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24"/>
      <c r="F36" s="24"/>
      <c r="G36" s="24"/>
      <c r="H36" s="24"/>
      <c r="I36" s="325" t="s">
        <v>1724</v>
      </c>
      <c r="J36" s="325" t="s">
        <v>1724</v>
      </c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24"/>
      <c r="F38" s="24"/>
      <c r="G38" s="24"/>
      <c r="H38" s="24"/>
      <c r="I38" s="24"/>
      <c r="J38" s="24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24"/>
      <c r="F39" s="24"/>
      <c r="G39" s="24"/>
      <c r="H39" s="24"/>
      <c r="I39" s="24"/>
      <c r="J39" s="24"/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68" t="s">
        <v>317</v>
      </c>
      <c r="C40" s="125" t="s">
        <v>228</v>
      </c>
      <c r="D40" s="13"/>
      <c r="E40" s="24"/>
      <c r="F40" s="24"/>
      <c r="G40" s="24"/>
      <c r="H40" s="24"/>
      <c r="I40" s="24"/>
      <c r="J40" s="24"/>
      <c r="K40" s="24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29</v>
      </c>
      <c r="F41" s="27">
        <f>E41+1</f>
        <v>30</v>
      </c>
      <c r="G41" s="27">
        <f>F41+1</f>
        <v>31</v>
      </c>
      <c r="H41" s="27"/>
      <c r="I41" s="27"/>
      <c r="J41" s="27"/>
      <c r="K41" s="27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14"/>
      <c r="F42" s="282" t="s">
        <v>1703</v>
      </c>
      <c r="G42" s="282" t="s">
        <v>1704</v>
      </c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14"/>
      <c r="F45" s="325" t="s">
        <v>1725</v>
      </c>
      <c r="G45" s="325" t="s">
        <v>1725</v>
      </c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14"/>
      <c r="F46" s="14"/>
      <c r="G46" s="282" t="s">
        <v>1708</v>
      </c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14"/>
      <c r="F47" s="14"/>
      <c r="G47" s="243" t="s">
        <v>1613</v>
      </c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14"/>
      <c r="F48" s="14"/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68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17">
    <mergeCell ref="G19:H19"/>
    <mergeCell ref="F28:G28"/>
    <mergeCell ref="B42:B45"/>
    <mergeCell ref="B46:B48"/>
    <mergeCell ref="B19:B21"/>
    <mergeCell ref="B37:B39"/>
    <mergeCell ref="M23:O23"/>
    <mergeCell ref="B24:B27"/>
    <mergeCell ref="B28:B30"/>
    <mergeCell ref="I28:J28"/>
    <mergeCell ref="B33:B36"/>
    <mergeCell ref="B15:B18"/>
    <mergeCell ref="E3:G3"/>
    <mergeCell ref="H3:K3"/>
    <mergeCell ref="B6:B9"/>
    <mergeCell ref="B10:B12"/>
    <mergeCell ref="E13:K13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9">
    <pageSetUpPr fitToPage="1"/>
  </sheetPr>
  <dimension ref="A1:S49"/>
  <sheetViews>
    <sheetView topLeftCell="A21" zoomScale="70" zoomScaleNormal="70" workbookViewId="0">
      <selection activeCell="F46" sqref="F46:G4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44440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>
        <v>1</v>
      </c>
      <c r="I5" s="60">
        <f>H5+1</f>
        <v>2</v>
      </c>
      <c r="J5" s="60">
        <f>I5+1</f>
        <v>3</v>
      </c>
      <c r="K5" s="60">
        <f>J5+1</f>
        <v>4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370"/>
      <c r="F6" s="370"/>
      <c r="G6" s="370"/>
      <c r="H6" s="372" t="s">
        <v>1705</v>
      </c>
      <c r="I6" s="353" t="s">
        <v>1718</v>
      </c>
      <c r="J6" s="370"/>
      <c r="K6" s="370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370"/>
      <c r="F7" s="370"/>
      <c r="G7" s="370"/>
      <c r="H7" s="370"/>
      <c r="I7" s="370"/>
      <c r="J7" s="370"/>
      <c r="K7" s="370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370"/>
      <c r="F8" s="370"/>
      <c r="G8" s="370"/>
      <c r="H8" s="370"/>
      <c r="I8" s="370"/>
      <c r="J8" s="370"/>
      <c r="K8" s="370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370"/>
      <c r="F9" s="370"/>
      <c r="G9" s="370"/>
      <c r="H9" s="373" t="s">
        <v>1737</v>
      </c>
      <c r="I9" s="373" t="s">
        <v>1737</v>
      </c>
      <c r="J9" s="373" t="s">
        <v>1738</v>
      </c>
      <c r="K9" s="370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370"/>
      <c r="F10" s="370"/>
      <c r="G10" s="370"/>
      <c r="H10" s="372" t="s">
        <v>1708</v>
      </c>
      <c r="I10" s="1594" t="s">
        <v>1709</v>
      </c>
      <c r="J10" s="1595"/>
      <c r="K10" s="370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370"/>
      <c r="F11" s="370"/>
      <c r="G11" s="1569" t="s">
        <v>1613</v>
      </c>
      <c r="H11" s="1568"/>
      <c r="I11" s="370"/>
      <c r="J11" s="370"/>
      <c r="K11" s="370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370"/>
      <c r="F12" s="370"/>
      <c r="G12" s="370"/>
      <c r="H12" s="373" t="s">
        <v>1735</v>
      </c>
      <c r="I12" s="373" t="s">
        <v>1736</v>
      </c>
      <c r="J12" s="373" t="s">
        <v>1735</v>
      </c>
      <c r="K12" s="370"/>
      <c r="L12" s="4"/>
      <c r="M12" s="4"/>
      <c r="N12" s="4"/>
      <c r="R12" s="11"/>
      <c r="S12" s="4"/>
    </row>
    <row r="13" spans="1:19" s="5" customFormat="1" ht="24.6" customHeight="1">
      <c r="B13" s="327" t="s">
        <v>317</v>
      </c>
      <c r="C13" s="125" t="s">
        <v>228</v>
      </c>
      <c r="D13" s="13"/>
      <c r="E13" s="370"/>
      <c r="F13" s="370"/>
      <c r="G13" s="142"/>
      <c r="H13" s="370"/>
      <c r="I13" s="370"/>
      <c r="J13" s="370"/>
      <c r="K13" s="370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374">
        <f>K5+1</f>
        <v>5</v>
      </c>
      <c r="F14" s="375">
        <f t="shared" ref="F14:K14" si="0">E14+1</f>
        <v>6</v>
      </c>
      <c r="G14" s="375">
        <f t="shared" si="0"/>
        <v>7</v>
      </c>
      <c r="H14" s="375">
        <f t="shared" si="0"/>
        <v>8</v>
      </c>
      <c r="I14" s="375">
        <f t="shared" si="0"/>
        <v>9</v>
      </c>
      <c r="J14" s="375">
        <f t="shared" si="0"/>
        <v>10</v>
      </c>
      <c r="K14" s="375">
        <f t="shared" si="0"/>
        <v>11</v>
      </c>
    </row>
    <row r="15" spans="1:19" ht="24.6" customHeight="1">
      <c r="A15" s="84"/>
      <c r="B15" s="1467" t="s">
        <v>286</v>
      </c>
      <c r="C15" s="324" t="s">
        <v>9</v>
      </c>
      <c r="D15" s="13"/>
      <c r="E15" s="369"/>
      <c r="F15" s="347" t="s">
        <v>1710</v>
      </c>
      <c r="G15" s="369"/>
      <c r="H15" s="347" t="s">
        <v>1711</v>
      </c>
      <c r="I15" s="369"/>
      <c r="J15" s="372" t="s">
        <v>1712</v>
      </c>
      <c r="K15" s="369"/>
    </row>
    <row r="16" spans="1:19" ht="24.6" customHeight="1">
      <c r="A16" s="84"/>
      <c r="B16" s="1467"/>
      <c r="C16" s="290" t="s">
        <v>7</v>
      </c>
      <c r="D16" s="13"/>
      <c r="E16" s="369"/>
      <c r="F16" s="369"/>
      <c r="G16" s="369"/>
      <c r="H16" s="369"/>
      <c r="I16" s="369"/>
      <c r="J16" s="369"/>
      <c r="K16" s="369"/>
    </row>
    <row r="17" spans="1:19" ht="24.6" customHeight="1">
      <c r="A17" s="84"/>
      <c r="B17" s="1467"/>
      <c r="C17" s="163" t="s">
        <v>389</v>
      </c>
      <c r="D17" s="13"/>
      <c r="E17" s="369"/>
      <c r="F17" s="369"/>
      <c r="G17" s="369"/>
      <c r="H17" s="369"/>
      <c r="I17" s="369"/>
      <c r="J17" s="369"/>
      <c r="K17" s="369"/>
    </row>
    <row r="18" spans="1:19" ht="24.6" customHeight="1">
      <c r="A18" s="84"/>
      <c r="B18" s="1467"/>
      <c r="C18" s="325" t="s">
        <v>316</v>
      </c>
      <c r="D18" s="13"/>
      <c r="E18" s="369"/>
      <c r="F18" s="373" t="s">
        <v>1739</v>
      </c>
      <c r="G18" s="373" t="s">
        <v>1739</v>
      </c>
      <c r="H18" s="373" t="s">
        <v>1740</v>
      </c>
      <c r="I18" s="373" t="s">
        <v>1740</v>
      </c>
      <c r="J18" s="373" t="s">
        <v>1741</v>
      </c>
      <c r="K18" s="369"/>
    </row>
    <row r="19" spans="1:19" ht="24.6" customHeight="1">
      <c r="A19" s="84"/>
      <c r="B19" s="1467" t="s">
        <v>287</v>
      </c>
      <c r="C19" s="324" t="s">
        <v>9</v>
      </c>
      <c r="D19" s="13"/>
      <c r="E19" s="369"/>
      <c r="F19" s="1594" t="s">
        <v>1719</v>
      </c>
      <c r="G19" s="1595"/>
      <c r="H19" s="369"/>
      <c r="I19" s="1594" t="s">
        <v>1728</v>
      </c>
      <c r="J19" s="1595"/>
      <c r="K19" s="369"/>
    </row>
    <row r="20" spans="1:19" ht="24" customHeight="1">
      <c r="A20" s="84"/>
      <c r="B20" s="1467"/>
      <c r="C20" s="290" t="s">
        <v>292</v>
      </c>
      <c r="D20" s="13"/>
      <c r="E20" s="369"/>
      <c r="F20" s="171" t="s">
        <v>1706</v>
      </c>
      <c r="G20" s="369"/>
      <c r="H20" s="171" t="s">
        <v>1707</v>
      </c>
      <c r="I20" s="171" t="s">
        <v>1714</v>
      </c>
      <c r="J20" s="369"/>
      <c r="K20" s="369"/>
    </row>
    <row r="21" spans="1:19" ht="24" customHeight="1">
      <c r="A21" s="84"/>
      <c r="B21" s="1467"/>
      <c r="C21" s="325" t="s">
        <v>316</v>
      </c>
      <c r="D21" s="13"/>
      <c r="E21" s="369"/>
      <c r="F21" s="373" t="s">
        <v>1726</v>
      </c>
      <c r="G21" s="373" t="s">
        <v>1726</v>
      </c>
      <c r="H21" s="373" t="s">
        <v>1727</v>
      </c>
      <c r="I21" s="373" t="s">
        <v>1727</v>
      </c>
      <c r="J21" s="373" t="s">
        <v>1727</v>
      </c>
      <c r="K21" s="369"/>
    </row>
    <row r="22" spans="1:19" ht="24.6" customHeight="1">
      <c r="A22" s="84"/>
      <c r="B22" s="327" t="s">
        <v>317</v>
      </c>
      <c r="C22" s="125" t="s">
        <v>228</v>
      </c>
      <c r="D22" s="13"/>
      <c r="E22" s="369"/>
      <c r="F22" s="369"/>
      <c r="G22" s="369"/>
      <c r="H22" s="369"/>
      <c r="I22" s="369"/>
      <c r="J22" s="369"/>
      <c r="K22" s="369"/>
    </row>
    <row r="23" spans="1:19" ht="24.6" customHeight="1">
      <c r="A23" s="84"/>
      <c r="B23" s="84"/>
      <c r="C23" s="5"/>
      <c r="D23" s="5"/>
      <c r="E23" s="376">
        <f>K14+1</f>
        <v>12</v>
      </c>
      <c r="F23" s="377">
        <f t="shared" ref="F23:K23" si="1">E23+1</f>
        <v>13</v>
      </c>
      <c r="G23" s="377">
        <f t="shared" si="1"/>
        <v>14</v>
      </c>
      <c r="H23" s="377">
        <f t="shared" si="1"/>
        <v>15</v>
      </c>
      <c r="I23" s="377">
        <f t="shared" si="1"/>
        <v>16</v>
      </c>
      <c r="J23" s="377">
        <f t="shared" si="1"/>
        <v>17</v>
      </c>
      <c r="K23" s="377">
        <f t="shared" si="1"/>
        <v>18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370"/>
      <c r="F24" s="347" t="s">
        <v>1716</v>
      </c>
      <c r="G24" s="371"/>
      <c r="H24" s="380"/>
      <c r="I24" s="347" t="s">
        <v>1717</v>
      </c>
      <c r="J24" s="381"/>
      <c r="K24" s="370"/>
    </row>
    <row r="25" spans="1:19" ht="24.6" customHeight="1">
      <c r="A25" s="84"/>
      <c r="B25" s="1467"/>
      <c r="C25" s="290" t="s">
        <v>7</v>
      </c>
      <c r="D25" s="13"/>
      <c r="E25" s="370"/>
      <c r="F25" s="370"/>
      <c r="G25" s="370"/>
      <c r="H25" s="370"/>
      <c r="I25" s="370"/>
      <c r="J25" s="370"/>
      <c r="K25" s="370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370"/>
      <c r="F26" s="370"/>
      <c r="G26" s="370"/>
      <c r="H26" s="370"/>
      <c r="I26" s="370"/>
      <c r="J26" s="370"/>
      <c r="K26" s="370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370"/>
      <c r="F27" s="373" t="s">
        <v>1741</v>
      </c>
      <c r="G27" s="373" t="s">
        <v>1741</v>
      </c>
      <c r="H27" s="373" t="s">
        <v>1742</v>
      </c>
      <c r="I27" s="373" t="s">
        <v>1742</v>
      </c>
      <c r="J27" s="370"/>
      <c r="K27" s="370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370"/>
      <c r="F28" s="1594" t="s">
        <v>1730</v>
      </c>
      <c r="G28" s="1595"/>
      <c r="H28" s="370"/>
      <c r="I28" s="1594" t="s">
        <v>1721</v>
      </c>
      <c r="J28" s="1595"/>
      <c r="K28" s="370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370"/>
      <c r="F29" s="1567" t="s">
        <v>1708</v>
      </c>
      <c r="G29" s="1568"/>
      <c r="H29" s="171" t="s">
        <v>1715</v>
      </c>
      <c r="I29" s="1567" t="s">
        <v>1713</v>
      </c>
      <c r="J29" s="1568"/>
      <c r="K29" s="370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370"/>
      <c r="F30" s="373" t="s">
        <v>1729</v>
      </c>
      <c r="G30" s="373" t="s">
        <v>1729</v>
      </c>
      <c r="H30" s="373" t="s">
        <v>1729</v>
      </c>
      <c r="I30" s="373" t="s">
        <v>1731</v>
      </c>
      <c r="J30" s="373" t="s">
        <v>1731</v>
      </c>
      <c r="K30" s="370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27" t="s">
        <v>317</v>
      </c>
      <c r="C31" s="125" t="s">
        <v>228</v>
      </c>
      <c r="D31" s="13"/>
      <c r="E31" s="370"/>
      <c r="F31" s="370"/>
      <c r="G31" s="370"/>
      <c r="H31" s="370"/>
      <c r="I31" s="370"/>
      <c r="J31" s="370"/>
      <c r="K31" s="370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374">
        <f>K23+1</f>
        <v>19</v>
      </c>
      <c r="F32" s="374">
        <f t="shared" ref="F32:K32" si="2">E32+1</f>
        <v>20</v>
      </c>
      <c r="G32" s="374">
        <f t="shared" si="2"/>
        <v>21</v>
      </c>
      <c r="H32" s="374">
        <f t="shared" si="2"/>
        <v>22</v>
      </c>
      <c r="I32" s="348">
        <f t="shared" si="2"/>
        <v>23</v>
      </c>
      <c r="J32" s="348">
        <f t="shared" si="2"/>
        <v>24</v>
      </c>
      <c r="K32" s="375">
        <f t="shared" si="2"/>
        <v>25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13"/>
      <c r="E33" s="369"/>
      <c r="F33" s="369"/>
      <c r="G33" s="369"/>
      <c r="H33" s="369"/>
      <c r="I33" s="369"/>
      <c r="J33" s="372" t="s">
        <v>1754</v>
      </c>
      <c r="K33" s="369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369"/>
      <c r="F34" s="369"/>
      <c r="G34" s="369"/>
      <c r="H34" s="369"/>
      <c r="I34" s="369"/>
      <c r="J34" s="369"/>
      <c r="K34" s="369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369"/>
      <c r="F35" s="369"/>
      <c r="G35" s="369"/>
      <c r="H35" s="369"/>
      <c r="I35" s="369"/>
      <c r="J35" s="369"/>
      <c r="K35" s="369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369"/>
      <c r="F36" s="369"/>
      <c r="G36" s="369"/>
      <c r="H36" s="369"/>
      <c r="I36" s="373" t="s">
        <v>1743</v>
      </c>
      <c r="J36" s="373" t="s">
        <v>1743</v>
      </c>
      <c r="K36" s="369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369"/>
      <c r="F37" s="369"/>
      <c r="G37" s="369"/>
      <c r="H37" s="369"/>
      <c r="I37" s="369"/>
      <c r="J37" s="369"/>
      <c r="K37" s="369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369"/>
      <c r="F38" s="369"/>
      <c r="G38" s="369"/>
      <c r="H38" s="369"/>
      <c r="I38" s="1567" t="s">
        <v>1720</v>
      </c>
      <c r="J38" s="1568"/>
      <c r="K38" s="369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369"/>
      <c r="F39" s="369"/>
      <c r="G39" s="369"/>
      <c r="H39" s="369"/>
      <c r="I39" s="373" t="s">
        <v>1731</v>
      </c>
      <c r="J39" s="373" t="s">
        <v>1731</v>
      </c>
      <c r="K39" s="369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27" t="s">
        <v>317</v>
      </c>
      <c r="C40" s="125" t="s">
        <v>228</v>
      </c>
      <c r="D40" s="13"/>
      <c r="E40" s="369"/>
      <c r="F40" s="216" t="s">
        <v>1253</v>
      </c>
      <c r="G40" s="216" t="s">
        <v>1253</v>
      </c>
      <c r="H40" s="216" t="s">
        <v>1253</v>
      </c>
      <c r="I40" s="369"/>
      <c r="J40" s="369"/>
      <c r="K40" s="369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78">
        <f>K32+1</f>
        <v>26</v>
      </c>
      <c r="F41" s="377">
        <f>E41+1</f>
        <v>27</v>
      </c>
      <c r="G41" s="377">
        <f>F41+1</f>
        <v>28</v>
      </c>
      <c r="H41" s="377">
        <f>G41+1</f>
        <v>29</v>
      </c>
      <c r="I41" s="377">
        <f>H41+1</f>
        <v>30</v>
      </c>
      <c r="J41" s="377"/>
      <c r="K41" s="377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370"/>
      <c r="F42" s="384" t="s">
        <v>1759</v>
      </c>
      <c r="G42" s="352" t="s">
        <v>1760</v>
      </c>
      <c r="H42" s="352" t="s">
        <v>1752</v>
      </c>
      <c r="I42" s="352" t="s">
        <v>1753</v>
      </c>
      <c r="J42" s="370"/>
      <c r="K42" s="370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370"/>
      <c r="F43" s="382" t="s">
        <v>1758</v>
      </c>
      <c r="G43" s="370"/>
      <c r="H43" s="370"/>
      <c r="I43" s="370"/>
      <c r="J43" s="370"/>
      <c r="K43" s="370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370"/>
      <c r="F44" s="370"/>
      <c r="G44" s="370"/>
      <c r="H44" s="370"/>
      <c r="I44" s="370"/>
      <c r="J44" s="370"/>
      <c r="K44" s="370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370"/>
      <c r="F45" s="373" t="s">
        <v>1744</v>
      </c>
      <c r="G45" s="373" t="s">
        <v>1744</v>
      </c>
      <c r="H45" s="373" t="s">
        <v>1745</v>
      </c>
      <c r="I45" s="373" t="s">
        <v>1745</v>
      </c>
      <c r="J45" s="370"/>
      <c r="K45" s="370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370"/>
      <c r="F46" s="1594" t="s">
        <v>1775</v>
      </c>
      <c r="G46" s="1595"/>
      <c r="H46" s="370"/>
      <c r="I46" s="385" t="s">
        <v>1773</v>
      </c>
      <c r="J46" s="370"/>
      <c r="K46" s="370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370"/>
      <c r="F47" s="370"/>
      <c r="G47" s="370"/>
      <c r="H47" s="1567" t="s">
        <v>1761</v>
      </c>
      <c r="I47" s="1568"/>
      <c r="J47" s="370"/>
      <c r="K47" s="370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370"/>
      <c r="F48" s="373" t="s">
        <v>1732</v>
      </c>
      <c r="G48" s="373" t="s">
        <v>1732</v>
      </c>
      <c r="H48" s="373" t="s">
        <v>1732</v>
      </c>
      <c r="I48" s="361" t="s">
        <v>1755</v>
      </c>
      <c r="J48" s="370"/>
      <c r="K48" s="370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27" t="s">
        <v>317</v>
      </c>
      <c r="C49" s="125" t="s">
        <v>228</v>
      </c>
      <c r="D49" s="13"/>
      <c r="E49" s="370"/>
      <c r="F49" s="370"/>
      <c r="G49" s="370"/>
      <c r="H49" s="370"/>
      <c r="I49" s="370"/>
      <c r="J49" s="370"/>
      <c r="K49" s="370"/>
      <c r="L49" s="84"/>
      <c r="M49" s="84"/>
      <c r="N49" s="84"/>
      <c r="O49" s="84"/>
      <c r="P49" s="84"/>
      <c r="Q49" s="84"/>
      <c r="R49" s="84"/>
      <c r="S49" s="84"/>
    </row>
  </sheetData>
  <mergeCells count="24">
    <mergeCell ref="B46:B48"/>
    <mergeCell ref="I10:J10"/>
    <mergeCell ref="F19:G19"/>
    <mergeCell ref="I19:J19"/>
    <mergeCell ref="F28:G28"/>
    <mergeCell ref="F46:G46"/>
    <mergeCell ref="B42:B45"/>
    <mergeCell ref="B19:B21"/>
    <mergeCell ref="F29:G29"/>
    <mergeCell ref="I29:J29"/>
    <mergeCell ref="H47:I47"/>
    <mergeCell ref="M23:O23"/>
    <mergeCell ref="B24:B27"/>
    <mergeCell ref="B28:B30"/>
    <mergeCell ref="B33:B36"/>
    <mergeCell ref="B37:B39"/>
    <mergeCell ref="I38:J38"/>
    <mergeCell ref="I28:J28"/>
    <mergeCell ref="E3:G3"/>
    <mergeCell ref="H3:K3"/>
    <mergeCell ref="B6:B9"/>
    <mergeCell ref="B10:B12"/>
    <mergeCell ref="B15:B18"/>
    <mergeCell ref="G11:H11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0">
    <pageSetUpPr fitToPage="1"/>
  </sheetPr>
  <dimension ref="A1:S58"/>
  <sheetViews>
    <sheetView topLeftCell="D24" zoomScaleNormal="100" workbookViewId="0">
      <selection activeCell="F46" sqref="F46:G4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44470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/>
      <c r="J5" s="60">
        <v>1</v>
      </c>
      <c r="K5" s="60">
        <f>J5+1</f>
        <v>2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370"/>
      <c r="F6" s="370"/>
      <c r="G6" s="370"/>
      <c r="H6" s="370"/>
      <c r="I6" s="370"/>
      <c r="J6" s="370"/>
      <c r="K6" s="370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370"/>
      <c r="F7" s="370"/>
      <c r="G7" s="370"/>
      <c r="H7" s="370"/>
      <c r="I7" s="370"/>
      <c r="J7" s="341" t="s">
        <v>1700</v>
      </c>
      <c r="K7" s="370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370"/>
      <c r="F8" s="370"/>
      <c r="G8" s="370"/>
      <c r="H8" s="370"/>
      <c r="I8" s="370"/>
      <c r="J8" s="370"/>
      <c r="K8" s="370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370"/>
      <c r="F9" s="370"/>
      <c r="G9" s="370"/>
      <c r="H9" s="370"/>
      <c r="I9" s="370"/>
      <c r="J9" s="370"/>
      <c r="K9" s="370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370"/>
      <c r="F10" s="370"/>
      <c r="G10" s="370"/>
      <c r="H10" s="370"/>
      <c r="I10" s="370"/>
      <c r="J10" s="1594" t="s">
        <v>1780</v>
      </c>
      <c r="K10" s="1595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370"/>
      <c r="F11" s="370"/>
      <c r="G11" s="370"/>
      <c r="H11" s="370"/>
      <c r="I11" s="370"/>
      <c r="J11" s="341" t="s">
        <v>1766</v>
      </c>
      <c r="K11" s="370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370"/>
      <c r="F12" s="370"/>
      <c r="G12" s="370"/>
      <c r="H12" s="370"/>
      <c r="I12" s="370"/>
      <c r="J12" s="361" t="s">
        <v>1765</v>
      </c>
      <c r="K12" s="370"/>
      <c r="L12" s="4"/>
      <c r="M12" s="4"/>
      <c r="N12" s="4"/>
      <c r="R12" s="11"/>
      <c r="S12" s="4"/>
    </row>
    <row r="13" spans="1:19" s="5" customFormat="1" ht="24.6" customHeight="1">
      <c r="B13" s="327" t="s">
        <v>317</v>
      </c>
      <c r="C13" s="125" t="s">
        <v>228</v>
      </c>
      <c r="D13" s="13"/>
      <c r="E13" s="370"/>
      <c r="F13" s="370"/>
      <c r="G13" s="142"/>
      <c r="H13" s="370"/>
      <c r="I13" s="142"/>
      <c r="J13" s="142"/>
      <c r="K13" s="370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374">
        <f>K5+1</f>
        <v>3</v>
      </c>
      <c r="F14" s="375">
        <f t="shared" ref="F14:K14" si="0">E14+1</f>
        <v>4</v>
      </c>
      <c r="G14" s="375">
        <f t="shared" si="0"/>
        <v>5</v>
      </c>
      <c r="H14" s="375">
        <f t="shared" si="0"/>
        <v>6</v>
      </c>
      <c r="I14" s="375">
        <f t="shared" si="0"/>
        <v>7</v>
      </c>
      <c r="J14" s="375">
        <f t="shared" si="0"/>
        <v>8</v>
      </c>
      <c r="K14" s="374">
        <f t="shared" si="0"/>
        <v>9</v>
      </c>
    </row>
    <row r="15" spans="1:19" ht="24.6" customHeight="1">
      <c r="A15" s="84"/>
      <c r="B15" s="1467" t="s">
        <v>286</v>
      </c>
      <c r="C15" s="324" t="s">
        <v>9</v>
      </c>
      <c r="D15" s="13"/>
      <c r="E15" s="369"/>
      <c r="F15" s="369"/>
      <c r="G15" s="383" t="s">
        <v>1784</v>
      </c>
      <c r="H15" s="383" t="s">
        <v>1785</v>
      </c>
      <c r="I15" s="383" t="s">
        <v>1786</v>
      </c>
      <c r="J15" s="369"/>
      <c r="K15" s="369"/>
    </row>
    <row r="16" spans="1:19" ht="24.6" customHeight="1">
      <c r="A16" s="84"/>
      <c r="B16" s="1467"/>
      <c r="C16" s="290" t="s">
        <v>7</v>
      </c>
      <c r="D16" s="13"/>
      <c r="E16" s="369"/>
      <c r="F16" s="379"/>
      <c r="G16" s="369"/>
      <c r="H16" s="369"/>
      <c r="I16" s="369"/>
      <c r="J16" s="341" t="s">
        <v>1700</v>
      </c>
      <c r="K16" s="369"/>
    </row>
    <row r="17" spans="1:19" ht="24.6" customHeight="1">
      <c r="A17" s="84"/>
      <c r="B17" s="1467"/>
      <c r="C17" s="163" t="s">
        <v>389</v>
      </c>
      <c r="D17" s="13"/>
      <c r="E17" s="369"/>
      <c r="F17" s="369"/>
      <c r="G17" s="369"/>
      <c r="H17" s="369"/>
      <c r="I17" s="369"/>
      <c r="J17" s="369"/>
      <c r="K17" s="369"/>
    </row>
    <row r="18" spans="1:19" ht="24.6" customHeight="1">
      <c r="A18" s="84"/>
      <c r="B18" s="1467"/>
      <c r="C18" s="325" t="s">
        <v>316</v>
      </c>
      <c r="D18" s="13"/>
      <c r="E18" s="369"/>
      <c r="F18" s="373" t="s">
        <v>1746</v>
      </c>
      <c r="G18" s="373" t="s">
        <v>1746</v>
      </c>
      <c r="H18" s="373" t="s">
        <v>1747</v>
      </c>
      <c r="I18" s="373" t="s">
        <v>1747</v>
      </c>
      <c r="J18" s="369"/>
      <c r="K18" s="369"/>
    </row>
    <row r="19" spans="1:19" ht="24.6" customHeight="1">
      <c r="A19" s="84"/>
      <c r="B19" s="1467" t="s">
        <v>287</v>
      </c>
      <c r="C19" s="324" t="s">
        <v>9</v>
      </c>
      <c r="D19" s="13"/>
      <c r="E19" s="369"/>
      <c r="F19" s="369"/>
      <c r="G19" s="1594" t="s">
        <v>1762</v>
      </c>
      <c r="H19" s="1595"/>
      <c r="I19" s="1594" t="s">
        <v>1763</v>
      </c>
      <c r="J19" s="1596"/>
      <c r="K19" s="369"/>
    </row>
    <row r="20" spans="1:19" ht="24" customHeight="1">
      <c r="A20" s="84"/>
      <c r="B20" s="1467"/>
      <c r="C20" s="290" t="s">
        <v>292</v>
      </c>
      <c r="D20" s="13"/>
      <c r="E20" s="369"/>
      <c r="F20" s="369"/>
      <c r="G20" s="1567" t="s">
        <v>1722</v>
      </c>
      <c r="H20" s="1568"/>
      <c r="I20" s="1567" t="s">
        <v>1776</v>
      </c>
      <c r="J20" s="1568"/>
      <c r="K20" s="369"/>
    </row>
    <row r="21" spans="1:19" ht="24" customHeight="1">
      <c r="A21" s="84"/>
      <c r="B21" s="1467"/>
      <c r="C21" s="325" t="s">
        <v>316</v>
      </c>
      <c r="D21" s="13"/>
      <c r="E21" s="369"/>
      <c r="F21" s="369"/>
      <c r="G21" s="361" t="s">
        <v>1757</v>
      </c>
      <c r="H21" s="361" t="s">
        <v>1756</v>
      </c>
      <c r="I21" s="361" t="s">
        <v>1756</v>
      </c>
      <c r="J21" s="361" t="s">
        <v>1770</v>
      </c>
      <c r="K21" s="369"/>
    </row>
    <row r="22" spans="1:19" ht="24.6" customHeight="1">
      <c r="A22" s="84"/>
      <c r="B22" s="327" t="s">
        <v>317</v>
      </c>
      <c r="C22" s="125" t="s">
        <v>228</v>
      </c>
      <c r="D22" s="13"/>
      <c r="E22" s="216" t="s">
        <v>1255</v>
      </c>
      <c r="F22" s="216" t="s">
        <v>1683</v>
      </c>
      <c r="G22" s="369"/>
      <c r="H22" s="369"/>
      <c r="I22" s="369"/>
      <c r="J22" s="369"/>
      <c r="K22" s="216" t="s">
        <v>1254</v>
      </c>
    </row>
    <row r="23" spans="1:19" ht="24.6" customHeight="1">
      <c r="A23" s="84"/>
      <c r="B23" s="84"/>
      <c r="C23" s="5"/>
      <c r="D23" s="5"/>
      <c r="E23" s="376">
        <f>K14+1</f>
        <v>10</v>
      </c>
      <c r="F23" s="377">
        <f t="shared" ref="F23:K23" si="1">E23+1</f>
        <v>11</v>
      </c>
      <c r="G23" s="377">
        <f t="shared" si="1"/>
        <v>12</v>
      </c>
      <c r="H23" s="377">
        <f t="shared" si="1"/>
        <v>13</v>
      </c>
      <c r="I23" s="377">
        <f t="shared" si="1"/>
        <v>14</v>
      </c>
      <c r="J23" s="377">
        <f t="shared" si="1"/>
        <v>15</v>
      </c>
      <c r="K23" s="183">
        <f t="shared" si="1"/>
        <v>16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370"/>
      <c r="F24" s="370"/>
      <c r="G24" s="390" t="s">
        <v>1781</v>
      </c>
      <c r="H24" s="390" t="s">
        <v>1782</v>
      </c>
      <c r="I24" s="390" t="s">
        <v>1783</v>
      </c>
      <c r="J24" s="370"/>
      <c r="K24" s="370"/>
    </row>
    <row r="25" spans="1:19" ht="24.6" customHeight="1">
      <c r="A25" s="84"/>
      <c r="B25" s="1467"/>
      <c r="C25" s="290" t="s">
        <v>7</v>
      </c>
      <c r="D25" s="13"/>
      <c r="E25" s="370"/>
      <c r="F25" s="370"/>
      <c r="G25" s="370"/>
      <c r="H25" s="370"/>
      <c r="I25" s="370"/>
      <c r="J25" s="370"/>
      <c r="K25" s="370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370"/>
      <c r="F26" s="370"/>
      <c r="G26" s="370"/>
      <c r="H26" s="370"/>
      <c r="I26" s="370"/>
      <c r="J26" s="370"/>
      <c r="K26" s="370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370"/>
      <c r="F27" s="373" t="s">
        <v>1748</v>
      </c>
      <c r="G27" s="373" t="s">
        <v>1748</v>
      </c>
      <c r="H27" s="373" t="s">
        <v>1749</v>
      </c>
      <c r="I27" s="373" t="s">
        <v>1749</v>
      </c>
      <c r="J27" s="370"/>
      <c r="K27" s="370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370"/>
      <c r="F28" s="1594" t="s">
        <v>1764</v>
      </c>
      <c r="G28" s="1595"/>
      <c r="H28" s="1594" t="s">
        <v>1842</v>
      </c>
      <c r="I28" s="1595"/>
      <c r="J28" s="1597" t="s">
        <v>1787</v>
      </c>
      <c r="K28" s="1598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370"/>
      <c r="F29" s="370"/>
      <c r="G29" s="388" t="s">
        <v>1767</v>
      </c>
      <c r="H29" s="388" t="s">
        <v>1788</v>
      </c>
      <c r="I29" s="1567" t="s">
        <v>1723</v>
      </c>
      <c r="J29" s="1568"/>
      <c r="K29" s="370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370"/>
      <c r="F30" s="370"/>
      <c r="G30" s="361" t="s">
        <v>1770</v>
      </c>
      <c r="H30" s="361" t="s">
        <v>1771</v>
      </c>
      <c r="I30" s="361" t="s">
        <v>1771</v>
      </c>
      <c r="J30" s="361" t="s">
        <v>1771</v>
      </c>
      <c r="K30" s="370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27" t="s">
        <v>317</v>
      </c>
      <c r="C31" s="125" t="s">
        <v>228</v>
      </c>
      <c r="D31" s="13"/>
      <c r="E31" s="370"/>
      <c r="F31" s="216" t="s">
        <v>1684</v>
      </c>
      <c r="G31" s="370"/>
      <c r="H31" s="370"/>
      <c r="I31" s="370"/>
      <c r="J31" s="370"/>
      <c r="K31" s="370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374">
        <f>K23+1</f>
        <v>17</v>
      </c>
      <c r="F32" s="348">
        <f t="shared" ref="F32:K32" si="2">E32+1</f>
        <v>18</v>
      </c>
      <c r="G32" s="348">
        <f t="shared" si="2"/>
        <v>19</v>
      </c>
      <c r="H32" s="348">
        <f t="shared" si="2"/>
        <v>20</v>
      </c>
      <c r="I32" s="348">
        <f t="shared" si="2"/>
        <v>21</v>
      </c>
      <c r="J32" s="348">
        <f t="shared" si="2"/>
        <v>22</v>
      </c>
      <c r="K32" s="374">
        <f t="shared" si="2"/>
        <v>23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13"/>
      <c r="E33" s="369"/>
      <c r="F33" s="369"/>
      <c r="G33" s="352" t="s">
        <v>1829</v>
      </c>
      <c r="H33" s="352" t="s">
        <v>1830</v>
      </c>
      <c r="I33" s="352" t="s">
        <v>1831</v>
      </c>
      <c r="J33" s="369"/>
      <c r="K33" s="369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369"/>
      <c r="F34" s="369"/>
      <c r="G34" s="369"/>
      <c r="H34" s="369"/>
      <c r="I34" s="369"/>
      <c r="J34" s="369"/>
      <c r="K34" s="369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369"/>
      <c r="F35" s="369"/>
      <c r="G35" s="369"/>
      <c r="H35" s="369"/>
      <c r="I35" s="369"/>
      <c r="J35" s="369"/>
      <c r="K35" s="369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369"/>
      <c r="F36" s="373" t="s">
        <v>1750</v>
      </c>
      <c r="G36" s="373" t="s">
        <v>1750</v>
      </c>
      <c r="H36" s="373" t="s">
        <v>1751</v>
      </c>
      <c r="I36" s="373" t="s">
        <v>1751</v>
      </c>
      <c r="J36" s="369"/>
      <c r="K36" s="369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369"/>
      <c r="F37" s="347" t="s">
        <v>1769</v>
      </c>
      <c r="G37" s="1596" t="s">
        <v>1838</v>
      </c>
      <c r="H37" s="1596"/>
      <c r="I37" s="1596" t="s">
        <v>1840</v>
      </c>
      <c r="J37" s="1596"/>
      <c r="K37" s="369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369"/>
      <c r="F38" s="1567" t="s">
        <v>1774</v>
      </c>
      <c r="G38" s="1569"/>
      <c r="H38" s="1600" t="s">
        <v>1768</v>
      </c>
      <c r="I38" s="1590"/>
      <c r="J38" s="369"/>
      <c r="K38" s="369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369"/>
      <c r="F39" s="361" t="s">
        <v>1772</v>
      </c>
      <c r="G39" s="361" t="s">
        <v>1772</v>
      </c>
      <c r="H39" s="361" t="s">
        <v>1772</v>
      </c>
      <c r="I39" s="373" t="s">
        <v>1685</v>
      </c>
      <c r="J39" s="373" t="s">
        <v>1685</v>
      </c>
      <c r="K39" s="369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27" t="s">
        <v>317</v>
      </c>
      <c r="C40" s="125" t="s">
        <v>228</v>
      </c>
      <c r="D40" s="13"/>
      <c r="E40" s="369"/>
      <c r="F40" s="369"/>
      <c r="G40" s="369"/>
      <c r="H40" s="369"/>
      <c r="I40" s="369"/>
      <c r="J40" s="369"/>
      <c r="K40" s="369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78">
        <f>K32+1</f>
        <v>24</v>
      </c>
      <c r="F41" s="377">
        <f t="shared" ref="F41:K41" si="3">E41+1</f>
        <v>25</v>
      </c>
      <c r="G41" s="377">
        <f t="shared" si="3"/>
        <v>26</v>
      </c>
      <c r="H41" s="377">
        <f t="shared" si="3"/>
        <v>27</v>
      </c>
      <c r="I41" s="377">
        <f t="shared" si="3"/>
        <v>28</v>
      </c>
      <c r="J41" s="377">
        <f t="shared" si="3"/>
        <v>29</v>
      </c>
      <c r="K41" s="377">
        <f t="shared" si="3"/>
        <v>30</v>
      </c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370"/>
      <c r="F42" s="370"/>
      <c r="G42" s="352" t="s">
        <v>1832</v>
      </c>
      <c r="H42" s="352" t="s">
        <v>1833</v>
      </c>
      <c r="I42" s="352" t="s">
        <v>1834</v>
      </c>
      <c r="J42" s="370"/>
      <c r="K42" s="370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370"/>
      <c r="F43" s="370"/>
      <c r="G43" s="370"/>
      <c r="H43" s="370"/>
      <c r="I43" s="370"/>
      <c r="J43" s="370"/>
      <c r="K43" s="370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370"/>
      <c r="F44" s="370"/>
      <c r="G44" s="370"/>
      <c r="H44" s="370"/>
      <c r="I44" s="370"/>
      <c r="J44" s="370"/>
      <c r="K44" s="370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370"/>
      <c r="F45" s="373" t="s">
        <v>1733</v>
      </c>
      <c r="G45" s="373" t="s">
        <v>1733</v>
      </c>
      <c r="H45" s="373" t="s">
        <v>1734</v>
      </c>
      <c r="I45" s="373" t="s">
        <v>1734</v>
      </c>
      <c r="J45" s="370"/>
      <c r="K45" s="370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370"/>
      <c r="F46" s="1594" t="s">
        <v>1889</v>
      </c>
      <c r="G46" s="1596"/>
      <c r="H46" s="1594" t="s">
        <v>1843</v>
      </c>
      <c r="I46" s="1596"/>
      <c r="J46" s="1594" t="s">
        <v>1855</v>
      </c>
      <c r="K46" s="15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370"/>
      <c r="F47" s="1599" t="s">
        <v>1777</v>
      </c>
      <c r="G47" s="1599"/>
      <c r="H47" s="389"/>
      <c r="I47" s="1599" t="s">
        <v>1778</v>
      </c>
      <c r="J47" s="1599"/>
      <c r="K47" s="370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370"/>
      <c r="F48" s="373" t="s">
        <v>1430</v>
      </c>
      <c r="G48" s="373" t="s">
        <v>1686</v>
      </c>
      <c r="H48" s="373" t="s">
        <v>1686</v>
      </c>
      <c r="I48" s="373" t="s">
        <v>1431</v>
      </c>
      <c r="J48" s="373" t="s">
        <v>1687</v>
      </c>
      <c r="K48" s="370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27" t="s">
        <v>317</v>
      </c>
      <c r="C49" s="125" t="s">
        <v>228</v>
      </c>
      <c r="D49" s="13"/>
      <c r="E49" s="370"/>
      <c r="F49" s="370"/>
      <c r="G49" s="370"/>
      <c r="H49" s="370"/>
      <c r="I49" s="370"/>
      <c r="J49" s="370"/>
      <c r="K49" s="370"/>
      <c r="L49" s="84"/>
      <c r="M49" s="84"/>
      <c r="N49" s="84"/>
      <c r="O49" s="84"/>
      <c r="P49" s="84"/>
      <c r="Q49" s="84"/>
      <c r="R49" s="84"/>
      <c r="S49" s="84"/>
    </row>
    <row r="50" spans="1:19" ht="19.149999999999999">
      <c r="A50" s="84"/>
      <c r="B50" s="84"/>
      <c r="C50" s="30"/>
      <c r="D50" s="13"/>
      <c r="E50" s="374">
        <f>K41+1</f>
        <v>31</v>
      </c>
      <c r="F50" s="348"/>
      <c r="G50" s="348"/>
      <c r="H50" s="348"/>
      <c r="I50" s="348"/>
      <c r="J50" s="348"/>
      <c r="K50" s="374"/>
    </row>
    <row r="51" spans="1:19" ht="19.149999999999999">
      <c r="A51" s="84"/>
      <c r="B51" s="1467" t="s">
        <v>286</v>
      </c>
      <c r="C51" s="324" t="s">
        <v>9</v>
      </c>
      <c r="D51" s="13"/>
      <c r="E51" s="369"/>
      <c r="F51" s="369"/>
      <c r="G51" s="369"/>
      <c r="H51" s="369"/>
      <c r="I51" s="369"/>
      <c r="J51" s="369"/>
      <c r="K51" s="369"/>
    </row>
    <row r="52" spans="1:19" ht="19.149999999999999">
      <c r="A52" s="84"/>
      <c r="B52" s="1467"/>
      <c r="C52" s="290" t="s">
        <v>7</v>
      </c>
      <c r="D52" s="13"/>
      <c r="E52" s="369"/>
      <c r="F52" s="369"/>
      <c r="G52" s="369"/>
      <c r="H52" s="369"/>
      <c r="I52" s="369"/>
      <c r="J52" s="369"/>
      <c r="K52" s="369"/>
    </row>
    <row r="53" spans="1:19" ht="19.149999999999999">
      <c r="A53" s="84"/>
      <c r="B53" s="1467"/>
      <c r="C53" s="163" t="s">
        <v>389</v>
      </c>
      <c r="D53" s="13"/>
      <c r="E53" s="369"/>
      <c r="F53" s="369"/>
      <c r="G53" s="369"/>
      <c r="H53" s="369"/>
      <c r="I53" s="369"/>
      <c r="J53" s="369"/>
      <c r="K53" s="369"/>
    </row>
    <row r="54" spans="1:19" ht="19.149999999999999">
      <c r="A54" s="84"/>
      <c r="B54" s="1467"/>
      <c r="C54" s="325" t="s">
        <v>316</v>
      </c>
      <c r="D54" s="13"/>
      <c r="E54" s="369"/>
      <c r="F54" s="369"/>
      <c r="G54" s="369"/>
      <c r="H54" s="369"/>
      <c r="I54" s="369"/>
      <c r="J54" s="369"/>
      <c r="K54" s="369"/>
    </row>
    <row r="55" spans="1:19" ht="19.149999999999999">
      <c r="A55" s="84"/>
      <c r="B55" s="1467" t="s">
        <v>287</v>
      </c>
      <c r="C55" s="324" t="s">
        <v>9</v>
      </c>
      <c r="D55" s="13"/>
      <c r="E55" s="369"/>
      <c r="F55" s="369" t="s">
        <v>193</v>
      </c>
      <c r="G55" s="369"/>
      <c r="H55" s="369"/>
      <c r="I55" s="369"/>
      <c r="J55" s="369"/>
      <c r="K55" s="369"/>
    </row>
    <row r="56" spans="1:19" ht="19.149999999999999">
      <c r="A56" s="84"/>
      <c r="B56" s="1467"/>
      <c r="C56" s="290" t="s">
        <v>292</v>
      </c>
      <c r="D56" s="13"/>
      <c r="E56" s="369"/>
      <c r="F56" s="369"/>
      <c r="G56" s="369"/>
      <c r="H56" s="369"/>
      <c r="I56" s="369"/>
      <c r="J56" s="369"/>
      <c r="K56" s="369"/>
    </row>
    <row r="57" spans="1:19" ht="19.149999999999999">
      <c r="A57" s="84"/>
      <c r="B57" s="1467"/>
      <c r="C57" s="325" t="s">
        <v>316</v>
      </c>
      <c r="D57" s="13"/>
      <c r="E57" s="369"/>
      <c r="F57" s="369"/>
      <c r="G57" s="369"/>
      <c r="H57" s="369"/>
      <c r="I57" s="369"/>
      <c r="J57" s="369"/>
      <c r="K57" s="369"/>
    </row>
    <row r="58" spans="1:19" ht="19.149999999999999">
      <c r="A58" s="84"/>
      <c r="B58" s="327" t="s">
        <v>317</v>
      </c>
      <c r="C58" s="125" t="s">
        <v>228</v>
      </c>
      <c r="D58" s="13"/>
      <c r="E58" s="369"/>
      <c r="F58" s="369"/>
      <c r="G58" s="369"/>
      <c r="H58" s="369"/>
      <c r="I58" s="369"/>
      <c r="J58" s="369"/>
      <c r="K58" s="369"/>
    </row>
  </sheetData>
  <mergeCells count="33">
    <mergeCell ref="H46:I46"/>
    <mergeCell ref="J46:K46"/>
    <mergeCell ref="B55:B57"/>
    <mergeCell ref="F28:G28"/>
    <mergeCell ref="F46:G46"/>
    <mergeCell ref="B42:B45"/>
    <mergeCell ref="B46:B48"/>
    <mergeCell ref="B33:B36"/>
    <mergeCell ref="F47:G47"/>
    <mergeCell ref="I47:J47"/>
    <mergeCell ref="B37:B39"/>
    <mergeCell ref="H28:I28"/>
    <mergeCell ref="B51:B54"/>
    <mergeCell ref="H38:I38"/>
    <mergeCell ref="F38:G38"/>
    <mergeCell ref="M23:O23"/>
    <mergeCell ref="B24:B27"/>
    <mergeCell ref="B28:B30"/>
    <mergeCell ref="J28:K28"/>
    <mergeCell ref="G37:H37"/>
    <mergeCell ref="I37:J37"/>
    <mergeCell ref="I20:J20"/>
    <mergeCell ref="I29:J29"/>
    <mergeCell ref="B19:B21"/>
    <mergeCell ref="G20:H20"/>
    <mergeCell ref="I19:J19"/>
    <mergeCell ref="G19:H19"/>
    <mergeCell ref="E3:G3"/>
    <mergeCell ref="H3:K3"/>
    <mergeCell ref="B6:B9"/>
    <mergeCell ref="B10:B12"/>
    <mergeCell ref="B15:B18"/>
    <mergeCell ref="J10:K10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1">
    <pageSetUpPr fitToPage="1"/>
  </sheetPr>
  <dimension ref="A1:S49"/>
  <sheetViews>
    <sheetView topLeftCell="C28" zoomScale="85" zoomScaleNormal="85" workbookViewId="0">
      <selection activeCell="F46" sqref="F46:G4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44501</v>
      </c>
      <c r="F3" s="1450"/>
      <c r="G3" s="1450"/>
      <c r="H3" s="1601" t="s">
        <v>1848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>
        <v>1</v>
      </c>
      <c r="G5" s="60">
        <v>2</v>
      </c>
      <c r="H5" s="60">
        <v>3</v>
      </c>
      <c r="I5" s="60">
        <v>4</v>
      </c>
      <c r="J5" s="60">
        <v>5</v>
      </c>
      <c r="K5" s="60">
        <f>J5+1</f>
        <v>6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358"/>
      <c r="F6" s="358"/>
      <c r="G6" s="384" t="s">
        <v>1871</v>
      </c>
      <c r="H6" s="352" t="s">
        <v>1872</v>
      </c>
      <c r="I6" s="358"/>
      <c r="J6" s="358"/>
      <c r="K6" s="358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358"/>
      <c r="F7" s="358"/>
      <c r="G7" s="358" t="s">
        <v>1854</v>
      </c>
      <c r="H7" s="358"/>
      <c r="I7" s="1589" t="s">
        <v>1847</v>
      </c>
      <c r="J7" s="1590"/>
      <c r="K7" s="358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358"/>
      <c r="F8" s="358"/>
      <c r="G8" s="358"/>
      <c r="H8" s="358"/>
      <c r="I8" s="358"/>
      <c r="J8" s="358"/>
      <c r="K8" s="358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358"/>
      <c r="F9" s="358"/>
      <c r="G9" s="358"/>
      <c r="H9" s="358"/>
      <c r="I9" s="358"/>
      <c r="J9" s="358"/>
      <c r="K9" s="358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358"/>
      <c r="F10" s="1592" t="s">
        <v>1849</v>
      </c>
      <c r="G10" s="1593"/>
      <c r="H10" s="358"/>
      <c r="I10" s="1592" t="s">
        <v>1865</v>
      </c>
      <c r="J10" s="1593"/>
      <c r="K10" s="358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358"/>
      <c r="F11" s="1589" t="s">
        <v>1779</v>
      </c>
      <c r="G11" s="1591"/>
      <c r="H11" s="391" t="s">
        <v>1836</v>
      </c>
      <c r="I11" s="391" t="s">
        <v>1835</v>
      </c>
      <c r="J11" s="391" t="s">
        <v>1846</v>
      </c>
      <c r="K11" s="358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358"/>
      <c r="F12" s="361" t="s">
        <v>1851</v>
      </c>
      <c r="G12" s="361" t="s">
        <v>1852</v>
      </c>
      <c r="H12" s="361" t="s">
        <v>1853</v>
      </c>
      <c r="I12" s="361" t="s">
        <v>1853</v>
      </c>
      <c r="J12" s="361" t="s">
        <v>1853</v>
      </c>
      <c r="K12" s="358"/>
      <c r="L12" s="4"/>
      <c r="M12" s="4"/>
      <c r="N12" s="4"/>
      <c r="R12" s="11"/>
      <c r="S12" s="4"/>
    </row>
    <row r="13" spans="1:19" s="5" customFormat="1" ht="24.6" customHeight="1">
      <c r="B13" s="327" t="s">
        <v>317</v>
      </c>
      <c r="C13" s="125" t="s">
        <v>228</v>
      </c>
      <c r="D13" s="13"/>
      <c r="E13" s="358"/>
      <c r="F13" s="358"/>
      <c r="G13" s="366"/>
      <c r="H13" s="358"/>
      <c r="I13" s="366"/>
      <c r="J13" s="366"/>
      <c r="K13" s="358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7</v>
      </c>
      <c r="F14" s="65">
        <f t="shared" ref="F14:K14" si="0">E14+1</f>
        <v>8</v>
      </c>
      <c r="G14" s="65">
        <f t="shared" si="0"/>
        <v>9</v>
      </c>
      <c r="H14" s="65">
        <f t="shared" si="0"/>
        <v>10</v>
      </c>
      <c r="I14" s="65">
        <f t="shared" si="0"/>
        <v>11</v>
      </c>
      <c r="J14" s="65">
        <f t="shared" si="0"/>
        <v>12</v>
      </c>
      <c r="K14" s="65">
        <f t="shared" si="0"/>
        <v>13</v>
      </c>
    </row>
    <row r="15" spans="1:19" ht="24.6" customHeight="1">
      <c r="A15" s="84"/>
      <c r="B15" s="1467" t="s">
        <v>286</v>
      </c>
      <c r="C15" s="324" t="s">
        <v>9</v>
      </c>
      <c r="D15" s="13"/>
      <c r="E15" s="363"/>
      <c r="F15" s="363"/>
      <c r="G15" s="384" t="s">
        <v>1868</v>
      </c>
      <c r="H15" s="352" t="s">
        <v>1869</v>
      </c>
      <c r="I15" s="352" t="s">
        <v>1870</v>
      </c>
      <c r="J15" s="363"/>
      <c r="K15" s="363"/>
    </row>
    <row r="16" spans="1:19" ht="24.6" customHeight="1">
      <c r="A16" s="84"/>
      <c r="B16" s="1467"/>
      <c r="C16" s="290" t="s">
        <v>7</v>
      </c>
      <c r="D16" s="13"/>
      <c r="E16" s="363"/>
      <c r="F16" s="363"/>
      <c r="G16" s="363"/>
      <c r="H16" s="363"/>
      <c r="I16" s="363"/>
      <c r="J16" s="363"/>
      <c r="K16" s="363"/>
    </row>
    <row r="17" spans="1:19" ht="24.6" customHeight="1">
      <c r="A17" s="84"/>
      <c r="B17" s="1467"/>
      <c r="C17" s="163" t="s">
        <v>389</v>
      </c>
      <c r="D17" s="13"/>
      <c r="E17" s="363"/>
      <c r="F17" s="363"/>
      <c r="G17" s="363"/>
      <c r="H17" s="363"/>
      <c r="I17" s="363"/>
      <c r="J17" s="363"/>
      <c r="K17" s="363"/>
    </row>
    <row r="18" spans="1:19" ht="24.6" customHeight="1">
      <c r="A18" s="84"/>
      <c r="B18" s="1467"/>
      <c r="C18" s="325" t="s">
        <v>316</v>
      </c>
      <c r="D18" s="13"/>
      <c r="E18" s="363"/>
      <c r="F18" s="363"/>
      <c r="G18" s="363"/>
      <c r="H18" s="363"/>
      <c r="I18" s="363"/>
      <c r="J18" s="363"/>
      <c r="K18" s="363"/>
    </row>
    <row r="19" spans="1:19" ht="24.6" customHeight="1">
      <c r="A19" s="84"/>
      <c r="B19" s="1467" t="s">
        <v>287</v>
      </c>
      <c r="C19" s="324" t="s">
        <v>9</v>
      </c>
      <c r="D19" s="13"/>
      <c r="E19" s="363"/>
      <c r="F19" s="1592" t="s">
        <v>1866</v>
      </c>
      <c r="G19" s="1593"/>
      <c r="H19" s="1592" t="s">
        <v>1867</v>
      </c>
      <c r="I19" s="1602"/>
      <c r="J19" s="1592" t="s">
        <v>1888</v>
      </c>
      <c r="K19" s="1593"/>
    </row>
    <row r="20" spans="1:19" ht="24" customHeight="1">
      <c r="A20" s="84"/>
      <c r="B20" s="1467"/>
      <c r="C20" s="290" t="s">
        <v>292</v>
      </c>
      <c r="D20" s="13"/>
      <c r="E20" s="363"/>
      <c r="F20" s="391" t="s">
        <v>1879</v>
      </c>
      <c r="G20" s="1589" t="s">
        <v>1837</v>
      </c>
      <c r="H20" s="1591"/>
      <c r="I20" s="1589" t="s">
        <v>1839</v>
      </c>
      <c r="J20" s="1591"/>
      <c r="K20" s="363"/>
    </row>
    <row r="21" spans="1:19" ht="24" customHeight="1">
      <c r="A21" s="84"/>
      <c r="B21" s="1467"/>
      <c r="C21" s="325" t="s">
        <v>316</v>
      </c>
      <c r="D21" s="13"/>
      <c r="E21" s="363"/>
      <c r="F21" s="361" t="s">
        <v>1856</v>
      </c>
      <c r="G21" s="361" t="s">
        <v>1857</v>
      </c>
      <c r="H21" s="361" t="s">
        <v>1858</v>
      </c>
      <c r="I21" s="361" t="s">
        <v>1857</v>
      </c>
      <c r="J21" s="361" t="s">
        <v>1859</v>
      </c>
      <c r="K21" s="363"/>
    </row>
    <row r="22" spans="1:19" ht="24.6" customHeight="1">
      <c r="A22" s="84"/>
      <c r="B22" s="327" t="s">
        <v>317</v>
      </c>
      <c r="C22" s="125" t="s">
        <v>228</v>
      </c>
      <c r="D22" s="13"/>
      <c r="E22" s="363"/>
      <c r="F22" s="363"/>
      <c r="G22" s="363"/>
      <c r="H22" s="363"/>
      <c r="I22" s="363"/>
      <c r="J22" s="363"/>
      <c r="K22" s="363"/>
    </row>
    <row r="23" spans="1:19" ht="24.6" customHeight="1">
      <c r="A23" s="84"/>
      <c r="B23" s="84"/>
      <c r="C23" s="5"/>
      <c r="D23" s="5"/>
      <c r="E23" s="26">
        <f>K14+1</f>
        <v>14</v>
      </c>
      <c r="F23" s="27">
        <f t="shared" ref="F23:K23" si="1">E23+1</f>
        <v>15</v>
      </c>
      <c r="G23" s="27">
        <f t="shared" si="1"/>
        <v>16</v>
      </c>
      <c r="H23" s="27">
        <f t="shared" si="1"/>
        <v>17</v>
      </c>
      <c r="I23" s="27">
        <f t="shared" si="1"/>
        <v>18</v>
      </c>
      <c r="J23" s="27">
        <f t="shared" si="1"/>
        <v>19</v>
      </c>
      <c r="K23" s="27">
        <f t="shared" si="1"/>
        <v>20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358"/>
      <c r="F24" s="358"/>
      <c r="G24" s="384" t="s">
        <v>1876</v>
      </c>
      <c r="H24" s="352" t="s">
        <v>1877</v>
      </c>
      <c r="I24" s="352" t="s">
        <v>1878</v>
      </c>
      <c r="J24" s="358"/>
      <c r="K24" s="358"/>
    </row>
    <row r="25" spans="1:19" ht="24.6" customHeight="1">
      <c r="A25" s="84"/>
      <c r="B25" s="1467"/>
      <c r="C25" s="290" t="s">
        <v>7</v>
      </c>
      <c r="D25" s="13"/>
      <c r="E25" s="358"/>
      <c r="F25" s="342" t="s">
        <v>1861</v>
      </c>
      <c r="G25" s="358"/>
      <c r="H25" s="358"/>
      <c r="I25" s="358"/>
      <c r="J25" s="358"/>
      <c r="K25" s="358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358"/>
      <c r="F26" s="358"/>
      <c r="G26" s="358"/>
      <c r="H26" s="358"/>
      <c r="I26" s="358"/>
      <c r="J26" s="358"/>
      <c r="K26" s="358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358"/>
      <c r="F27" s="358"/>
      <c r="G27" s="358"/>
      <c r="H27" s="358"/>
      <c r="I27" s="358"/>
      <c r="J27" s="358"/>
      <c r="K27" s="358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358"/>
      <c r="F28" s="1592" t="s">
        <v>1874</v>
      </c>
      <c r="G28" s="1593"/>
      <c r="H28" s="1592" t="s">
        <v>1875</v>
      </c>
      <c r="I28" s="1602"/>
      <c r="J28" s="1592" t="s">
        <v>1884</v>
      </c>
      <c r="K28" s="1593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358"/>
      <c r="F29" s="391" t="s">
        <v>1880</v>
      </c>
      <c r="G29" s="1589" t="s">
        <v>1841</v>
      </c>
      <c r="H29" s="1590"/>
      <c r="I29" s="1589" t="s">
        <v>1891</v>
      </c>
      <c r="J29" s="1590"/>
      <c r="K29" s="358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358"/>
      <c r="F30" s="361" t="s">
        <v>1859</v>
      </c>
      <c r="G30" s="361" t="s">
        <v>1860</v>
      </c>
      <c r="H30" s="361" t="s">
        <v>1789</v>
      </c>
      <c r="I30" s="361" t="s">
        <v>1790</v>
      </c>
      <c r="J30" s="361" t="s">
        <v>1791</v>
      </c>
      <c r="K30" s="358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27" t="s">
        <v>317</v>
      </c>
      <c r="C31" s="125" t="s">
        <v>228</v>
      </c>
      <c r="D31" s="13"/>
      <c r="E31" s="358"/>
      <c r="F31" s="358"/>
      <c r="G31" s="358"/>
      <c r="H31" s="358"/>
      <c r="I31" s="358"/>
      <c r="J31" s="358"/>
      <c r="K31" s="358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21</v>
      </c>
      <c r="F32" s="304">
        <f t="shared" ref="F32:K32" si="2">E32+1</f>
        <v>22</v>
      </c>
      <c r="G32" s="304">
        <f t="shared" si="2"/>
        <v>23</v>
      </c>
      <c r="H32" s="304">
        <f t="shared" si="2"/>
        <v>24</v>
      </c>
      <c r="I32" s="304">
        <f t="shared" si="2"/>
        <v>25</v>
      </c>
      <c r="J32" s="304">
        <f t="shared" si="2"/>
        <v>26</v>
      </c>
      <c r="K32" s="65">
        <f t="shared" si="2"/>
        <v>27</v>
      </c>
      <c r="L32" s="84"/>
      <c r="M32" s="84"/>
      <c r="N32" s="84"/>
      <c r="O32" s="84"/>
      <c r="P32" s="84"/>
      <c r="Q32" s="84"/>
      <c r="R32" s="84"/>
      <c r="S32" s="84"/>
    </row>
    <row r="33" spans="1:19" ht="25.15" customHeight="1">
      <c r="A33" s="84"/>
      <c r="B33" s="1467" t="s">
        <v>286</v>
      </c>
      <c r="C33" s="324" t="s">
        <v>9</v>
      </c>
      <c r="D33" s="13"/>
      <c r="E33" s="363"/>
      <c r="F33" s="363"/>
      <c r="G33" s="392" t="s">
        <v>1895</v>
      </c>
      <c r="H33" s="363"/>
      <c r="I33" s="363"/>
      <c r="J33" s="392" t="s">
        <v>1896</v>
      </c>
      <c r="K33" s="363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363"/>
      <c r="F34" s="363"/>
      <c r="G34" s="363"/>
      <c r="H34" s="363"/>
      <c r="I34" s="363"/>
      <c r="J34" s="363"/>
      <c r="K34" s="363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363"/>
      <c r="F35" s="363"/>
      <c r="G35" s="363"/>
      <c r="H35" s="363"/>
      <c r="I35" s="363"/>
      <c r="J35" s="363"/>
      <c r="K35" s="363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363"/>
      <c r="F36" s="363"/>
      <c r="G36" s="363"/>
      <c r="H36" s="363"/>
      <c r="I36" s="363"/>
      <c r="J36" s="363"/>
      <c r="K36" s="363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363"/>
      <c r="F37" s="1592" t="s">
        <v>1898</v>
      </c>
      <c r="G37" s="1593"/>
      <c r="H37" s="1592" t="s">
        <v>1899</v>
      </c>
      <c r="I37" s="1602"/>
      <c r="J37" s="1592" t="s">
        <v>1902</v>
      </c>
      <c r="K37" s="1602"/>
      <c r="L37" s="84"/>
      <c r="M37" s="84"/>
      <c r="N37" s="84"/>
      <c r="O37" s="84"/>
      <c r="P37" s="84"/>
      <c r="Q37" s="84"/>
      <c r="R37" s="84"/>
      <c r="S37" s="84"/>
    </row>
    <row r="38" spans="1:19" ht="21.6" customHeight="1">
      <c r="A38" s="84"/>
      <c r="B38" s="1467"/>
      <c r="C38" s="290" t="s">
        <v>292</v>
      </c>
      <c r="D38" s="13"/>
      <c r="E38" s="363"/>
      <c r="F38" s="391" t="s">
        <v>1850</v>
      </c>
      <c r="G38" s="1589" t="s">
        <v>1873</v>
      </c>
      <c r="H38" s="1591"/>
      <c r="I38" s="1591" t="s">
        <v>1844</v>
      </c>
      <c r="J38" s="1590"/>
      <c r="K38" s="363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363"/>
      <c r="F39" s="361" t="s">
        <v>1791</v>
      </c>
      <c r="G39" s="361" t="s">
        <v>1688</v>
      </c>
      <c r="H39" s="361" t="s">
        <v>1689</v>
      </c>
      <c r="I39" s="361" t="s">
        <v>1432</v>
      </c>
      <c r="J39" s="361" t="s">
        <v>1792</v>
      </c>
      <c r="K39" s="363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27" t="s">
        <v>317</v>
      </c>
      <c r="C40" s="125" t="s">
        <v>228</v>
      </c>
      <c r="D40" s="13"/>
      <c r="E40" s="363"/>
      <c r="F40" s="363"/>
      <c r="G40" s="363"/>
      <c r="H40" s="363"/>
      <c r="I40" s="363"/>
      <c r="J40" s="363"/>
      <c r="K40" s="363"/>
      <c r="L40" s="84"/>
      <c r="M40" s="84"/>
      <c r="N40" s="84"/>
      <c r="O40" s="84"/>
      <c r="P40" s="84"/>
      <c r="Q40" s="84"/>
      <c r="R40" s="84"/>
      <c r="S40" s="84"/>
    </row>
    <row r="41" spans="1:19" ht="24" customHeight="1">
      <c r="A41" s="84"/>
      <c r="B41" s="84"/>
      <c r="C41" s="30"/>
      <c r="D41" s="13"/>
      <c r="E41" s="31">
        <f>K32+1</f>
        <v>28</v>
      </c>
      <c r="F41" s="27">
        <f>E41+1</f>
        <v>29</v>
      </c>
      <c r="G41" s="27">
        <f>F41+1</f>
        <v>30</v>
      </c>
      <c r="H41" s="27"/>
      <c r="I41" s="27"/>
      <c r="J41" s="27"/>
      <c r="K41" s="31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358"/>
      <c r="F42" s="392" t="s">
        <v>1897</v>
      </c>
      <c r="G42" s="358"/>
      <c r="H42" s="358"/>
      <c r="I42" s="358"/>
      <c r="J42" s="358"/>
      <c r="K42" s="358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358"/>
      <c r="F43" s="358"/>
      <c r="G43" s="358"/>
      <c r="H43" s="358"/>
      <c r="I43" s="358"/>
      <c r="J43" s="358"/>
      <c r="K43" s="358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358"/>
      <c r="F44" s="358"/>
      <c r="G44" s="358"/>
      <c r="H44" s="358"/>
      <c r="I44" s="358"/>
      <c r="J44" s="358"/>
      <c r="K44" s="358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358"/>
      <c r="F45" s="358"/>
      <c r="G45" s="358"/>
      <c r="H45" s="358"/>
      <c r="I45" s="358"/>
      <c r="J45" s="358"/>
      <c r="K45" s="358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358"/>
      <c r="F46" s="1592" t="s">
        <v>1904</v>
      </c>
      <c r="G46" s="1593"/>
      <c r="H46" s="358"/>
      <c r="I46" s="358"/>
      <c r="J46" s="358"/>
      <c r="K46" s="358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358"/>
      <c r="F47" s="1589" t="s">
        <v>1845</v>
      </c>
      <c r="G47" s="1590"/>
      <c r="H47" s="358"/>
      <c r="I47" s="358"/>
      <c r="J47" s="358"/>
      <c r="K47" s="358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358"/>
      <c r="F48" s="361" t="s">
        <v>1793</v>
      </c>
      <c r="G48" s="361" t="s">
        <v>1794</v>
      </c>
      <c r="H48" s="358"/>
      <c r="I48" s="358"/>
      <c r="J48" s="358"/>
      <c r="K48" s="358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27" t="s">
        <v>317</v>
      </c>
      <c r="C49" s="125" t="s">
        <v>228</v>
      </c>
      <c r="D49" s="13"/>
      <c r="E49" s="358"/>
      <c r="F49" s="358"/>
      <c r="G49" s="358"/>
      <c r="H49" s="358"/>
      <c r="I49" s="358"/>
      <c r="J49" s="358"/>
      <c r="K49" s="358"/>
      <c r="L49" s="84"/>
      <c r="M49" s="84"/>
      <c r="N49" s="84"/>
      <c r="O49" s="84"/>
      <c r="P49" s="84"/>
      <c r="Q49" s="84"/>
      <c r="R49" s="84"/>
      <c r="S49" s="84"/>
    </row>
  </sheetData>
  <mergeCells count="34">
    <mergeCell ref="F46:G46"/>
    <mergeCell ref="B46:B48"/>
    <mergeCell ref="F10:G10"/>
    <mergeCell ref="F19:G19"/>
    <mergeCell ref="F28:G28"/>
    <mergeCell ref="F37:G37"/>
    <mergeCell ref="B42:B45"/>
    <mergeCell ref="B19:B21"/>
    <mergeCell ref="F11:G11"/>
    <mergeCell ref="F47:G47"/>
    <mergeCell ref="M23:O23"/>
    <mergeCell ref="B24:B27"/>
    <mergeCell ref="B28:B30"/>
    <mergeCell ref="B33:B36"/>
    <mergeCell ref="B37:B39"/>
    <mergeCell ref="I29:J29"/>
    <mergeCell ref="J37:K37"/>
    <mergeCell ref="H28:I28"/>
    <mergeCell ref="J28:K28"/>
    <mergeCell ref="H37:I37"/>
    <mergeCell ref="I38:J38"/>
    <mergeCell ref="G38:H38"/>
    <mergeCell ref="G29:H29"/>
    <mergeCell ref="B6:B9"/>
    <mergeCell ref="B10:B12"/>
    <mergeCell ref="B15:B18"/>
    <mergeCell ref="I10:J10"/>
    <mergeCell ref="J19:K19"/>
    <mergeCell ref="I7:J7"/>
    <mergeCell ref="E3:G3"/>
    <mergeCell ref="H3:K3"/>
    <mergeCell ref="H19:I19"/>
    <mergeCell ref="G20:H20"/>
    <mergeCell ref="I20:J20"/>
  </mergeCells>
  <phoneticPr fontId="6" type="noConversion"/>
  <pageMargins left="0.7" right="0.7" top="0.75" bottom="0.75" header="0.3" footer="0.3"/>
  <pageSetup paperSize="9" scale="42" orientation="landscape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2">
    <pageSetUpPr fitToPage="1"/>
  </sheetPr>
  <dimension ref="A1:S49"/>
  <sheetViews>
    <sheetView topLeftCell="A16" zoomScale="70" zoomScaleNormal="70" workbookViewId="0">
      <selection activeCell="F46" sqref="F46:G4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44531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>
        <v>1</v>
      </c>
      <c r="I5" s="60">
        <v>2</v>
      </c>
      <c r="J5" s="60">
        <v>3</v>
      </c>
      <c r="K5" s="60">
        <f>J5+1</f>
        <v>4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14"/>
      <c r="F6" s="14"/>
      <c r="G6" s="14"/>
      <c r="H6" s="347" t="s">
        <v>1907</v>
      </c>
      <c r="I6" s="14"/>
      <c r="J6" s="347" t="s">
        <v>1908</v>
      </c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14"/>
      <c r="F10" s="14"/>
      <c r="G10" s="14"/>
      <c r="H10" s="1556" t="s">
        <v>1905</v>
      </c>
      <c r="I10" s="1574"/>
      <c r="J10" s="1556" t="s">
        <v>1906</v>
      </c>
      <c r="K10" s="157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14"/>
      <c r="F11" s="14"/>
      <c r="G11" s="14"/>
      <c r="H11" s="1522" t="s">
        <v>1885</v>
      </c>
      <c r="I11" s="1523"/>
      <c r="J11" s="391" t="s">
        <v>1862</v>
      </c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14"/>
      <c r="F12" s="14"/>
      <c r="G12" s="14"/>
      <c r="H12" s="325" t="s">
        <v>1795</v>
      </c>
      <c r="I12" s="325" t="s">
        <v>1796</v>
      </c>
      <c r="J12" s="325" t="s">
        <v>1690</v>
      </c>
      <c r="K12" s="14"/>
      <c r="L12" s="4"/>
      <c r="M12" s="4"/>
      <c r="N12" s="4"/>
      <c r="R12" s="11"/>
      <c r="S12" s="4"/>
    </row>
    <row r="13" spans="1:19" s="5" customFormat="1" ht="24.6" customHeight="1">
      <c r="B13" s="327" t="s">
        <v>317</v>
      </c>
      <c r="C13" s="125" t="s">
        <v>228</v>
      </c>
      <c r="D13" s="13"/>
      <c r="E13" s="14"/>
      <c r="F13" s="14"/>
      <c r="G13" s="326"/>
      <c r="H13" s="14"/>
      <c r="I13" s="142"/>
      <c r="J13" s="326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5</v>
      </c>
      <c r="F14" s="65">
        <f t="shared" ref="F14:K14" si="0">E14+1</f>
        <v>6</v>
      </c>
      <c r="G14" s="65">
        <f t="shared" si="0"/>
        <v>7</v>
      </c>
      <c r="H14" s="65">
        <f t="shared" si="0"/>
        <v>8</v>
      </c>
      <c r="I14" s="65">
        <f t="shared" si="0"/>
        <v>9</v>
      </c>
      <c r="J14" s="65">
        <f t="shared" si="0"/>
        <v>10</v>
      </c>
      <c r="K14" s="65">
        <f t="shared" si="0"/>
        <v>11</v>
      </c>
    </row>
    <row r="15" spans="1:19" ht="24.6" customHeight="1">
      <c r="A15" s="84"/>
      <c r="B15" s="1467" t="s">
        <v>286</v>
      </c>
      <c r="C15" s="324" t="s">
        <v>9</v>
      </c>
      <c r="D15" s="13"/>
      <c r="E15" s="24"/>
      <c r="F15" s="354" t="s">
        <v>1915</v>
      </c>
      <c r="G15" s="363"/>
      <c r="H15" s="354" t="s">
        <v>1920</v>
      </c>
      <c r="I15" s="354" t="s">
        <v>1921</v>
      </c>
      <c r="J15" s="354" t="s">
        <v>1922</v>
      </c>
      <c r="K15" s="24"/>
    </row>
    <row r="16" spans="1:19" ht="24.6" customHeight="1">
      <c r="A16" s="84"/>
      <c r="B16" s="1467"/>
      <c r="C16" s="290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325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324" t="s">
        <v>9</v>
      </c>
      <c r="D19" s="13"/>
      <c r="E19" s="24"/>
      <c r="F19" s="1556" t="s">
        <v>1912</v>
      </c>
      <c r="G19" s="1557"/>
      <c r="H19" s="1556" t="s">
        <v>1913</v>
      </c>
      <c r="I19" s="1557"/>
      <c r="J19" s="1556" t="s">
        <v>1914</v>
      </c>
      <c r="K19" s="1557"/>
    </row>
    <row r="20" spans="1:19" ht="24" customHeight="1">
      <c r="A20" s="84"/>
      <c r="B20" s="1467"/>
      <c r="C20" s="290" t="s">
        <v>292</v>
      </c>
      <c r="D20" s="13"/>
      <c r="E20" s="24"/>
      <c r="F20" s="1522" t="s">
        <v>1887</v>
      </c>
      <c r="G20" s="1523"/>
      <c r="H20" s="391" t="s">
        <v>1863</v>
      </c>
      <c r="I20" s="1522" t="s">
        <v>1892</v>
      </c>
      <c r="J20" s="1523"/>
      <c r="K20" s="24"/>
    </row>
    <row r="21" spans="1:19" ht="24" customHeight="1">
      <c r="A21" s="84"/>
      <c r="B21" s="1467"/>
      <c r="C21" s="325" t="s">
        <v>316</v>
      </c>
      <c r="D21" s="13"/>
      <c r="E21" s="24"/>
      <c r="F21" s="325" t="s">
        <v>1690</v>
      </c>
      <c r="G21" s="325" t="s">
        <v>1797</v>
      </c>
      <c r="H21" s="325" t="s">
        <v>1798</v>
      </c>
      <c r="I21" s="325" t="s">
        <v>1680</v>
      </c>
      <c r="J21" s="325" t="s">
        <v>1799</v>
      </c>
      <c r="K21" s="24"/>
    </row>
    <row r="22" spans="1:19" ht="24.6" customHeight="1">
      <c r="A22" s="84"/>
      <c r="B22" s="327" t="s">
        <v>317</v>
      </c>
      <c r="C22" s="125" t="s">
        <v>228</v>
      </c>
      <c r="D22" s="13"/>
      <c r="E22" s="301"/>
      <c r="F22" s="24"/>
      <c r="G22" s="24"/>
      <c r="H22" s="24"/>
      <c r="I22" s="24"/>
      <c r="J22" s="24"/>
      <c r="K22" s="301"/>
    </row>
    <row r="23" spans="1:19" ht="24.6" customHeight="1">
      <c r="A23" s="84"/>
      <c r="B23" s="84"/>
      <c r="C23" s="5"/>
      <c r="D23" s="5"/>
      <c r="E23" s="26">
        <f>K14+1</f>
        <v>12</v>
      </c>
      <c r="F23" s="27">
        <f t="shared" ref="F23:K23" si="1">E23+1</f>
        <v>13</v>
      </c>
      <c r="G23" s="27">
        <f t="shared" si="1"/>
        <v>14</v>
      </c>
      <c r="H23" s="27">
        <f t="shared" si="1"/>
        <v>15</v>
      </c>
      <c r="I23" s="27">
        <f t="shared" si="1"/>
        <v>16</v>
      </c>
      <c r="J23" s="27">
        <f t="shared" si="1"/>
        <v>17</v>
      </c>
      <c r="K23" s="27">
        <f t="shared" si="1"/>
        <v>18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14"/>
      <c r="F24" s="354" t="s">
        <v>1928</v>
      </c>
      <c r="G24" s="366"/>
      <c r="H24" s="354" t="s">
        <v>1923</v>
      </c>
      <c r="I24" s="354" t="s">
        <v>1929</v>
      </c>
      <c r="J24" s="354" t="s">
        <v>1930</v>
      </c>
      <c r="K24" s="14"/>
    </row>
    <row r="25" spans="1:19" ht="24.6" customHeight="1">
      <c r="A25" s="84"/>
      <c r="B25" s="1467"/>
      <c r="C25" s="290" t="s">
        <v>7</v>
      </c>
      <c r="D25" s="13"/>
      <c r="E25" s="14"/>
      <c r="F25" s="366"/>
      <c r="G25" s="366"/>
      <c r="H25" s="14"/>
      <c r="I25" s="14"/>
      <c r="J25" s="366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14"/>
      <c r="F28" s="1556" t="s">
        <v>1939</v>
      </c>
      <c r="G28" s="1557"/>
      <c r="H28" s="1556" t="s">
        <v>1931</v>
      </c>
      <c r="I28" s="1557"/>
      <c r="J28" s="1556" t="s">
        <v>1932</v>
      </c>
      <c r="K28" s="1557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14"/>
      <c r="F29" s="391" t="s">
        <v>1864</v>
      </c>
      <c r="G29" s="1522" t="s">
        <v>1893</v>
      </c>
      <c r="H29" s="1523"/>
      <c r="I29" s="1522" t="s">
        <v>1890</v>
      </c>
      <c r="J29" s="1523"/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14"/>
      <c r="F30" s="325" t="s">
        <v>1800</v>
      </c>
      <c r="G30" s="325" t="s">
        <v>1801</v>
      </c>
      <c r="H30" s="325" t="s">
        <v>1802</v>
      </c>
      <c r="I30" s="325" t="s">
        <v>1681</v>
      </c>
      <c r="J30" s="325" t="s">
        <v>1691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27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19</v>
      </c>
      <c r="F32" s="304">
        <f t="shared" ref="F32:K32" si="2">E32+1</f>
        <v>20</v>
      </c>
      <c r="G32" s="304">
        <f t="shared" si="2"/>
        <v>21</v>
      </c>
      <c r="H32" s="304">
        <f t="shared" si="2"/>
        <v>22</v>
      </c>
      <c r="I32" s="304">
        <f t="shared" si="2"/>
        <v>23</v>
      </c>
      <c r="J32" s="304">
        <f t="shared" si="2"/>
        <v>24</v>
      </c>
      <c r="K32" s="65">
        <f t="shared" si="2"/>
        <v>25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13"/>
      <c r="E33" s="24"/>
      <c r="F33" s="24"/>
      <c r="G33" s="24"/>
      <c r="H33" s="24"/>
      <c r="I33" s="24"/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24"/>
      <c r="F34" s="24"/>
      <c r="G34" s="24"/>
      <c r="H34" s="24"/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24"/>
      <c r="F38" s="1522" t="s">
        <v>1901</v>
      </c>
      <c r="G38" s="1523"/>
      <c r="H38" s="391" t="s">
        <v>1881</v>
      </c>
      <c r="I38" s="1522" t="s">
        <v>1894</v>
      </c>
      <c r="J38" s="1523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24"/>
      <c r="F39" s="325" t="s">
        <v>1803</v>
      </c>
      <c r="G39" s="325" t="s">
        <v>1804</v>
      </c>
      <c r="H39" s="325" t="s">
        <v>1805</v>
      </c>
      <c r="I39" s="325" t="s">
        <v>1806</v>
      </c>
      <c r="J39" s="325" t="s">
        <v>1807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27" t="s">
        <v>317</v>
      </c>
      <c r="C40" s="125" t="s">
        <v>228</v>
      </c>
      <c r="D40" s="13"/>
      <c r="E40" s="24"/>
      <c r="F40" s="1586" t="s">
        <v>1421</v>
      </c>
      <c r="G40" s="1587"/>
      <c r="H40" s="1587"/>
      <c r="I40" s="1587"/>
      <c r="J40" s="1588"/>
      <c r="K40" s="159" t="s">
        <v>1256</v>
      </c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26</v>
      </c>
      <c r="F41" s="27">
        <f>E41+1</f>
        <v>27</v>
      </c>
      <c r="G41" s="27">
        <f>F41+1</f>
        <v>28</v>
      </c>
      <c r="H41" s="27">
        <f>G41+1</f>
        <v>29</v>
      </c>
      <c r="I41" s="27">
        <f>H41+1</f>
        <v>30</v>
      </c>
      <c r="J41" s="27">
        <f>I41+1</f>
        <v>31</v>
      </c>
      <c r="K41" s="31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14"/>
      <c r="F43" s="14"/>
      <c r="G43" s="1603" t="s">
        <v>1910</v>
      </c>
      <c r="H43" s="1604"/>
      <c r="I43" s="1603" t="s">
        <v>1911</v>
      </c>
      <c r="J43" s="160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14"/>
      <c r="F46" s="326" t="s">
        <v>193</v>
      </c>
      <c r="G46" s="14"/>
      <c r="H46" s="14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14"/>
      <c r="F47" s="1522" t="s">
        <v>1900</v>
      </c>
      <c r="G47" s="1523"/>
      <c r="H47" s="391" t="s">
        <v>1882</v>
      </c>
      <c r="I47" s="1522" t="s">
        <v>1886</v>
      </c>
      <c r="J47" s="1545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14"/>
      <c r="F48" s="325" t="s">
        <v>1808</v>
      </c>
      <c r="G48" s="325" t="s">
        <v>1809</v>
      </c>
      <c r="H48" s="325" t="s">
        <v>1810</v>
      </c>
      <c r="I48" s="325" t="s">
        <v>1811</v>
      </c>
      <c r="J48" s="325" t="s">
        <v>1812</v>
      </c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27" t="s">
        <v>317</v>
      </c>
      <c r="C49" s="125" t="s">
        <v>228</v>
      </c>
      <c r="D49" s="13"/>
      <c r="E49" s="14"/>
      <c r="F49" s="14"/>
      <c r="G49" s="14"/>
      <c r="H49" s="14"/>
      <c r="I49" s="14"/>
      <c r="J49" s="14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33">
    <mergeCell ref="F19:G19"/>
    <mergeCell ref="F28:G28"/>
    <mergeCell ref="B42:B45"/>
    <mergeCell ref="B19:B21"/>
    <mergeCell ref="F40:J40"/>
    <mergeCell ref="I38:J38"/>
    <mergeCell ref="H28:I28"/>
    <mergeCell ref="F38:G38"/>
    <mergeCell ref="I29:J29"/>
    <mergeCell ref="H19:I19"/>
    <mergeCell ref="J19:K19"/>
    <mergeCell ref="G29:H29"/>
    <mergeCell ref="F20:G20"/>
    <mergeCell ref="I20:J20"/>
    <mergeCell ref="I43:J43"/>
    <mergeCell ref="G43:H43"/>
    <mergeCell ref="F47:G47"/>
    <mergeCell ref="M23:O23"/>
    <mergeCell ref="B24:B27"/>
    <mergeCell ref="B28:B30"/>
    <mergeCell ref="B33:B36"/>
    <mergeCell ref="B37:B39"/>
    <mergeCell ref="J28:K28"/>
    <mergeCell ref="I47:J47"/>
    <mergeCell ref="B46:B48"/>
    <mergeCell ref="E3:G3"/>
    <mergeCell ref="H3:K3"/>
    <mergeCell ref="B6:B9"/>
    <mergeCell ref="B10:B12"/>
    <mergeCell ref="B15:B18"/>
    <mergeCell ref="H11:I11"/>
    <mergeCell ref="H10:I10"/>
    <mergeCell ref="J10:K10"/>
  </mergeCells>
  <phoneticPr fontId="6" type="noConversion"/>
  <pageMargins left="0.7" right="0.7" top="0.75" bottom="0.75" header="0.3" footer="0.3"/>
  <pageSetup paperSize="9" scale="40" orientation="landscape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3">
    <pageSetUpPr fitToPage="1"/>
  </sheetPr>
  <dimension ref="A1:S58"/>
  <sheetViews>
    <sheetView zoomScale="70" zoomScaleNormal="70" workbookViewId="0">
      <selection activeCell="F46" sqref="F46:G4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44562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9"/>
      <c r="F5" s="60"/>
      <c r="G5" s="60"/>
      <c r="H5" s="60"/>
      <c r="I5" s="60"/>
      <c r="J5" s="60"/>
      <c r="K5" s="60">
        <v>1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14"/>
      <c r="F6" s="14"/>
      <c r="G6" s="14"/>
      <c r="H6" s="14"/>
      <c r="I6" s="14"/>
      <c r="J6" s="14"/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14"/>
      <c r="G7" s="14"/>
      <c r="H7" s="14"/>
      <c r="I7" s="14"/>
      <c r="J7" s="14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14"/>
      <c r="F12" s="14"/>
      <c r="G12" s="14"/>
      <c r="H12" s="14"/>
      <c r="I12" s="14"/>
      <c r="J12" s="14"/>
      <c r="K12" s="14"/>
      <c r="L12" s="4"/>
      <c r="M12" s="4"/>
      <c r="N12" s="4"/>
      <c r="R12" s="11"/>
      <c r="S12" s="4"/>
    </row>
    <row r="13" spans="1:19" s="5" customFormat="1" ht="24.6" customHeight="1">
      <c r="B13" s="344" t="s">
        <v>317</v>
      </c>
      <c r="C13" s="125" t="s">
        <v>228</v>
      </c>
      <c r="D13" s="13"/>
      <c r="E13" s="14"/>
      <c r="F13" s="14"/>
      <c r="G13" s="343"/>
      <c r="H13" s="343"/>
      <c r="I13" s="343"/>
      <c r="J13" s="343"/>
      <c r="K13" s="125" t="s">
        <v>1433</v>
      </c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2</v>
      </c>
      <c r="F14" s="65">
        <f t="shared" ref="F14:K14" si="0">E14+1</f>
        <v>3</v>
      </c>
      <c r="G14" s="65">
        <f t="shared" si="0"/>
        <v>4</v>
      </c>
      <c r="H14" s="65">
        <f t="shared" si="0"/>
        <v>5</v>
      </c>
      <c r="I14" s="65">
        <f t="shared" si="0"/>
        <v>6</v>
      </c>
      <c r="J14" s="65">
        <f t="shared" si="0"/>
        <v>7</v>
      </c>
      <c r="K14" s="65">
        <f t="shared" si="0"/>
        <v>8</v>
      </c>
    </row>
    <row r="15" spans="1:19" ht="24.6" customHeight="1">
      <c r="A15" s="84"/>
      <c r="B15" s="1467" t="s">
        <v>286</v>
      </c>
      <c r="C15" s="324" t="s">
        <v>9</v>
      </c>
      <c r="D15" s="13"/>
      <c r="E15" s="24"/>
      <c r="F15" s="24"/>
      <c r="G15" s="24"/>
      <c r="H15" s="324" t="s">
        <v>1925</v>
      </c>
      <c r="I15" s="24"/>
      <c r="J15" s="24"/>
      <c r="K15" s="24"/>
    </row>
    <row r="16" spans="1:19" ht="24.6" customHeight="1">
      <c r="A16" s="84"/>
      <c r="B16" s="1467"/>
      <c r="C16" s="290" t="s">
        <v>7</v>
      </c>
      <c r="D16" s="13"/>
      <c r="E16" s="24"/>
      <c r="F16" s="24"/>
      <c r="G16" s="24"/>
      <c r="H16" s="24"/>
      <c r="I16" s="24"/>
      <c r="J16" s="392" t="s">
        <v>1909</v>
      </c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325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324" t="s">
        <v>9</v>
      </c>
      <c r="D19" s="13"/>
      <c r="E19" s="24"/>
      <c r="F19" s="24"/>
      <c r="G19" s="24"/>
      <c r="H19" s="24"/>
      <c r="I19" s="24"/>
      <c r="J19" s="24"/>
      <c r="K19" s="24"/>
    </row>
    <row r="20" spans="1:19" ht="24" customHeight="1">
      <c r="A20" s="84"/>
      <c r="B20" s="1467"/>
      <c r="C20" s="290" t="s">
        <v>292</v>
      </c>
      <c r="D20" s="13"/>
      <c r="E20" s="24"/>
      <c r="F20" s="1522" t="s">
        <v>1903</v>
      </c>
      <c r="G20" s="1545"/>
      <c r="H20" s="391" t="s">
        <v>1883</v>
      </c>
      <c r="I20" s="1522" t="s">
        <v>1917</v>
      </c>
      <c r="J20" s="1545"/>
      <c r="K20" s="24"/>
    </row>
    <row r="21" spans="1:19" ht="24" customHeight="1">
      <c r="A21" s="84"/>
      <c r="B21" s="1467"/>
      <c r="C21" s="325" t="s">
        <v>316</v>
      </c>
      <c r="D21" s="13"/>
      <c r="E21" s="24"/>
      <c r="F21" s="325" t="s">
        <v>1813</v>
      </c>
      <c r="G21" s="325" t="s">
        <v>1814</v>
      </c>
      <c r="H21" s="325" t="s">
        <v>1815</v>
      </c>
      <c r="I21" s="325" t="s">
        <v>1816</v>
      </c>
      <c r="J21" s="325" t="s">
        <v>1817</v>
      </c>
      <c r="K21" s="24"/>
    </row>
    <row r="22" spans="1:19" ht="24.6" customHeight="1">
      <c r="A22" s="84"/>
      <c r="B22" s="344" t="s">
        <v>317</v>
      </c>
      <c r="C22" s="125" t="s">
        <v>228</v>
      </c>
      <c r="D22" s="13"/>
      <c r="E22" s="301"/>
      <c r="F22" s="301"/>
      <c r="G22" s="301"/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9</v>
      </c>
      <c r="F23" s="27">
        <f t="shared" ref="F23:K23" si="1">E23+1</f>
        <v>10</v>
      </c>
      <c r="G23" s="27">
        <f t="shared" si="1"/>
        <v>11</v>
      </c>
      <c r="H23" s="27">
        <f t="shared" si="1"/>
        <v>12</v>
      </c>
      <c r="I23" s="27">
        <f t="shared" si="1"/>
        <v>13</v>
      </c>
      <c r="J23" s="27">
        <f t="shared" si="1"/>
        <v>14</v>
      </c>
      <c r="K23" s="27">
        <f t="shared" si="1"/>
        <v>15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14"/>
      <c r="F24" s="324" t="s">
        <v>1926</v>
      </c>
      <c r="G24" s="14"/>
      <c r="H24" s="324" t="s">
        <v>1927</v>
      </c>
      <c r="I24" s="14"/>
      <c r="J24" s="14"/>
      <c r="K24" s="14"/>
    </row>
    <row r="25" spans="1:19" ht="24.6" customHeight="1">
      <c r="A25" s="84"/>
      <c r="B25" s="1467"/>
      <c r="C25" s="290" t="s">
        <v>7</v>
      </c>
      <c r="D25" s="13"/>
      <c r="E25" s="14"/>
      <c r="F25" s="14"/>
      <c r="G25" s="14"/>
      <c r="H25" s="14"/>
      <c r="I25" s="14"/>
      <c r="J25" s="354" t="s">
        <v>1999</v>
      </c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14"/>
      <c r="F28" s="14"/>
      <c r="G28" s="14"/>
      <c r="H28" s="14"/>
      <c r="I28" s="14"/>
      <c r="J28" s="14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14"/>
      <c r="F29" s="360" t="s">
        <v>1916</v>
      </c>
      <c r="G29" s="394" t="s">
        <v>1933</v>
      </c>
      <c r="H29" s="1522" t="s">
        <v>1918</v>
      </c>
      <c r="I29" s="1523"/>
      <c r="J29" s="243" t="s">
        <v>1919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14"/>
      <c r="F30" s="325" t="s">
        <v>1818</v>
      </c>
      <c r="G30" s="325" t="s">
        <v>1819</v>
      </c>
      <c r="H30" s="325" t="s">
        <v>1820</v>
      </c>
      <c r="I30" s="325" t="s">
        <v>1821</v>
      </c>
      <c r="J30" s="325" t="s">
        <v>1822</v>
      </c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44" t="s">
        <v>317</v>
      </c>
      <c r="C31" s="125" t="s">
        <v>228</v>
      </c>
      <c r="D31" s="13"/>
      <c r="E31" s="14"/>
      <c r="F31" s="14"/>
      <c r="G31" s="343"/>
      <c r="H31" s="343"/>
      <c r="I31" s="343"/>
      <c r="J31" s="343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16</v>
      </c>
      <c r="F32" s="304">
        <f t="shared" ref="F32:K32" si="2">E32+1</f>
        <v>17</v>
      </c>
      <c r="G32" s="304">
        <f t="shared" si="2"/>
        <v>18</v>
      </c>
      <c r="H32" s="304">
        <f t="shared" si="2"/>
        <v>19</v>
      </c>
      <c r="I32" s="304">
        <f t="shared" si="2"/>
        <v>20</v>
      </c>
      <c r="J32" s="304">
        <f t="shared" si="2"/>
        <v>21</v>
      </c>
      <c r="K32" s="65">
        <f t="shared" si="2"/>
        <v>22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13"/>
      <c r="E33" s="24"/>
      <c r="F33" s="24"/>
      <c r="G33" s="347" t="s">
        <v>2003</v>
      </c>
      <c r="H33" s="24"/>
      <c r="I33" s="347" t="s">
        <v>2004</v>
      </c>
      <c r="J33" s="24"/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24"/>
      <c r="F34" s="354" t="s">
        <v>1934</v>
      </c>
      <c r="G34" s="354" t="s">
        <v>1935</v>
      </c>
      <c r="H34" s="354" t="s">
        <v>1936</v>
      </c>
      <c r="I34" s="354" t="s">
        <v>1937</v>
      </c>
      <c r="J34" s="354" t="s">
        <v>1924</v>
      </c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24"/>
      <c r="F37" s="24"/>
      <c r="G37" s="24"/>
      <c r="H37" s="24"/>
      <c r="I37" s="24"/>
      <c r="J37" s="24"/>
      <c r="K37" s="2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24"/>
      <c r="F38" s="1578" t="s">
        <v>2002</v>
      </c>
      <c r="G38" s="1578"/>
      <c r="H38" s="391" t="s">
        <v>2005</v>
      </c>
      <c r="I38" s="1522" t="s">
        <v>2006</v>
      </c>
      <c r="J38" s="1545"/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24"/>
      <c r="F39" s="325" t="s">
        <v>1823</v>
      </c>
      <c r="G39" s="325" t="s">
        <v>1692</v>
      </c>
      <c r="H39" s="325" t="s">
        <v>1693</v>
      </c>
      <c r="I39" s="325" t="s">
        <v>1694</v>
      </c>
      <c r="J39" s="325" t="s">
        <v>1997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44" t="s">
        <v>317</v>
      </c>
      <c r="C40" s="125" t="s">
        <v>228</v>
      </c>
      <c r="D40" s="13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23</v>
      </c>
      <c r="F41" s="27">
        <f t="shared" ref="F41:K41" si="3">E41+1</f>
        <v>24</v>
      </c>
      <c r="G41" s="27">
        <f t="shared" si="3"/>
        <v>25</v>
      </c>
      <c r="H41" s="27">
        <f t="shared" si="3"/>
        <v>26</v>
      </c>
      <c r="I41" s="27">
        <f t="shared" si="3"/>
        <v>27</v>
      </c>
      <c r="J41" s="27">
        <f t="shared" si="3"/>
        <v>28</v>
      </c>
      <c r="K41" s="27">
        <f t="shared" si="3"/>
        <v>29</v>
      </c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14"/>
      <c r="F42" s="14"/>
      <c r="G42" s="347" t="s">
        <v>2007</v>
      </c>
      <c r="H42" s="14"/>
      <c r="I42" s="347" t="s">
        <v>2008</v>
      </c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14"/>
      <c r="F43" s="14"/>
      <c r="G43" s="398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14"/>
      <c r="F46" s="14"/>
      <c r="G46" s="1566" t="s">
        <v>2010</v>
      </c>
      <c r="H46" s="1541"/>
      <c r="I46" s="14"/>
      <c r="J46" s="14"/>
      <c r="K46" s="1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14"/>
      <c r="F47" s="1589" t="s">
        <v>2009</v>
      </c>
      <c r="G47" s="1590"/>
      <c r="H47" s="1589" t="s">
        <v>2000</v>
      </c>
      <c r="I47" s="1591"/>
      <c r="J47" s="360" t="s">
        <v>2016</v>
      </c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14"/>
      <c r="F48" s="325" t="s">
        <v>1824</v>
      </c>
      <c r="G48" s="325" t="s">
        <v>1825</v>
      </c>
      <c r="H48" s="325" t="s">
        <v>1826</v>
      </c>
      <c r="I48" s="325" t="s">
        <v>1827</v>
      </c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44" t="s">
        <v>317</v>
      </c>
      <c r="C49" s="125" t="s">
        <v>228</v>
      </c>
      <c r="D49" s="13"/>
      <c r="E49" s="14"/>
      <c r="F49" s="14"/>
      <c r="G49" s="343"/>
      <c r="H49" s="343"/>
      <c r="I49" s="343"/>
      <c r="J49" s="343"/>
      <c r="K49" s="14"/>
      <c r="L49" s="84"/>
      <c r="M49" s="84"/>
      <c r="N49" s="84"/>
      <c r="O49" s="84"/>
      <c r="P49" s="84"/>
      <c r="Q49" s="84"/>
      <c r="R49" s="84"/>
      <c r="S49" s="84"/>
    </row>
    <row r="50" spans="1:19" ht="19.149999999999999">
      <c r="B50" s="84"/>
      <c r="C50" s="30"/>
      <c r="D50" s="13"/>
      <c r="E50" s="23">
        <f>K41+1</f>
        <v>30</v>
      </c>
      <c r="F50" s="304">
        <f>E50+1</f>
        <v>31</v>
      </c>
      <c r="G50" s="304"/>
      <c r="H50" s="304"/>
      <c r="I50" s="304"/>
      <c r="J50" s="304"/>
      <c r="K50" s="65"/>
    </row>
    <row r="51" spans="1:19" ht="19.149999999999999">
      <c r="B51" s="1467" t="s">
        <v>286</v>
      </c>
      <c r="C51" s="324" t="s">
        <v>9</v>
      </c>
      <c r="D51" s="13"/>
      <c r="E51" s="24"/>
      <c r="F51" s="24"/>
      <c r="G51" s="24"/>
      <c r="H51" s="24"/>
      <c r="I51" s="24"/>
      <c r="J51" s="24"/>
      <c r="K51" s="24"/>
    </row>
    <row r="52" spans="1:19" ht="19.149999999999999">
      <c r="B52" s="1467"/>
      <c r="C52" s="290" t="s">
        <v>7</v>
      </c>
      <c r="D52" s="13"/>
      <c r="E52" s="24"/>
      <c r="F52" s="24"/>
      <c r="G52" s="24"/>
      <c r="H52" s="24"/>
      <c r="I52" s="24"/>
      <c r="J52" s="24"/>
      <c r="K52" s="24"/>
    </row>
    <row r="53" spans="1:19" ht="19.149999999999999">
      <c r="B53" s="1467"/>
      <c r="C53" s="163" t="s">
        <v>389</v>
      </c>
      <c r="D53" s="13"/>
      <c r="E53" s="24"/>
      <c r="F53" s="24"/>
      <c r="G53" s="24"/>
      <c r="H53" s="24"/>
      <c r="I53" s="24"/>
      <c r="J53" s="24"/>
      <c r="K53" s="24"/>
    </row>
    <row r="54" spans="1:19" ht="19.149999999999999">
      <c r="B54" s="1467"/>
      <c r="C54" s="325" t="s">
        <v>316</v>
      </c>
      <c r="D54" s="13"/>
      <c r="E54" s="24"/>
      <c r="F54" s="24"/>
      <c r="G54" s="24"/>
      <c r="H54" s="24"/>
      <c r="I54" s="24"/>
      <c r="J54" s="24"/>
      <c r="K54" s="24"/>
    </row>
    <row r="55" spans="1:19" ht="19.149999999999999">
      <c r="B55" s="1467" t="s">
        <v>287</v>
      </c>
      <c r="C55" s="324" t="s">
        <v>9</v>
      </c>
      <c r="D55" s="13"/>
      <c r="E55" s="24"/>
      <c r="F55" s="24"/>
      <c r="G55" s="24"/>
      <c r="H55" s="24"/>
      <c r="I55" s="24"/>
      <c r="J55" s="24"/>
      <c r="K55" s="24"/>
    </row>
    <row r="56" spans="1:19" ht="19.149999999999999">
      <c r="B56" s="1467"/>
      <c r="C56" s="290" t="s">
        <v>292</v>
      </c>
      <c r="D56" s="13"/>
      <c r="E56" s="24"/>
      <c r="F56" s="24"/>
      <c r="G56" s="24"/>
      <c r="H56" s="24"/>
      <c r="I56" s="24"/>
      <c r="J56" s="24"/>
      <c r="K56" s="24"/>
    </row>
    <row r="57" spans="1:19" ht="19.149999999999999">
      <c r="B57" s="1467"/>
      <c r="C57" s="325" t="s">
        <v>316</v>
      </c>
      <c r="D57" s="13"/>
      <c r="E57" s="24"/>
      <c r="F57" s="24"/>
      <c r="G57" s="24"/>
      <c r="H57" s="24"/>
      <c r="I57" s="24"/>
      <c r="J57" s="24"/>
      <c r="K57" s="24"/>
    </row>
    <row r="58" spans="1:19" ht="19.149999999999999">
      <c r="B58" s="344" t="s">
        <v>317</v>
      </c>
      <c r="C58" s="125" t="s">
        <v>228</v>
      </c>
      <c r="D58" s="13"/>
      <c r="E58" s="345"/>
      <c r="F58" s="125" t="s">
        <v>1434</v>
      </c>
      <c r="G58" s="345"/>
      <c r="H58" s="345"/>
      <c r="I58" s="345"/>
      <c r="J58" s="345"/>
      <c r="K58" s="345"/>
    </row>
  </sheetData>
  <mergeCells count="23">
    <mergeCell ref="F38:G38"/>
    <mergeCell ref="I38:J38"/>
    <mergeCell ref="B55:B57"/>
    <mergeCell ref="B33:B36"/>
    <mergeCell ref="B37:B39"/>
    <mergeCell ref="B42:B45"/>
    <mergeCell ref="B46:B48"/>
    <mergeCell ref="B51:B54"/>
    <mergeCell ref="G46:H46"/>
    <mergeCell ref="F47:G47"/>
    <mergeCell ref="H47:I47"/>
    <mergeCell ref="B19:B21"/>
    <mergeCell ref="M23:O23"/>
    <mergeCell ref="B24:B27"/>
    <mergeCell ref="B28:B30"/>
    <mergeCell ref="E3:G3"/>
    <mergeCell ref="H3:K3"/>
    <mergeCell ref="B6:B9"/>
    <mergeCell ref="B10:B12"/>
    <mergeCell ref="B15:B18"/>
    <mergeCell ref="F20:G20"/>
    <mergeCell ref="I20:J20"/>
    <mergeCell ref="H29:I29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4">
    <pageSetUpPr fitToPage="1"/>
  </sheetPr>
  <dimension ref="A1:S49"/>
  <sheetViews>
    <sheetView topLeftCell="A16" zoomScale="70" zoomScaleNormal="70" workbookViewId="0">
      <selection activeCell="F46" sqref="F46:G46"/>
    </sheetView>
  </sheetViews>
  <sheetFormatPr defaultColWidth="8.88671875" defaultRowHeight="16.899999999999999"/>
  <cols>
    <col min="1" max="1" width="1.6640625" style="4" customWidth="1"/>
    <col min="2" max="2" width="11.21875" style="4" customWidth="1"/>
    <col min="3" max="3" width="15.77734375" style="4" customWidth="1"/>
    <col min="4" max="4" width="0.88671875" style="4" customWidth="1"/>
    <col min="5" max="8" width="25.77734375" style="4" customWidth="1"/>
    <col min="9" max="9" width="26.77734375" style="4" customWidth="1"/>
    <col min="10" max="11" width="25.77734375" style="4" customWidth="1"/>
    <col min="12" max="12" width="2.109375" style="4" customWidth="1"/>
    <col min="13" max="13" width="11.77734375" style="4" customWidth="1"/>
    <col min="14" max="14" width="11.33203125" style="4" customWidth="1"/>
    <col min="15" max="19" width="6.6640625" style="4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7"/>
      <c r="F2" s="7"/>
      <c r="G2" s="7"/>
      <c r="H2" s="7"/>
      <c r="I2" s="7"/>
      <c r="J2" s="7"/>
      <c r="K2" s="7"/>
    </row>
    <row r="3" spans="1:19" ht="57">
      <c r="A3" s="84"/>
      <c r="B3" s="84"/>
      <c r="C3" s="5"/>
      <c r="D3" s="5"/>
      <c r="E3" s="1450">
        <v>44593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3" t="s">
        <v>6</v>
      </c>
      <c r="M4" s="4"/>
      <c r="N4" s="8"/>
      <c r="R4" s="4"/>
      <c r="S4" s="4"/>
    </row>
    <row r="5" spans="1:19" s="5" customFormat="1" ht="24.6" customHeight="1">
      <c r="E5" s="26"/>
      <c r="F5" s="27"/>
      <c r="G5" s="27">
        <v>1</v>
      </c>
      <c r="H5" s="27">
        <f>G5+1</f>
        <v>2</v>
      </c>
      <c r="I5" s="27">
        <f>H5+1</f>
        <v>3</v>
      </c>
      <c r="J5" s="27">
        <f>I5+1</f>
        <v>4</v>
      </c>
      <c r="K5" s="27">
        <f>J5+1</f>
        <v>5</v>
      </c>
      <c r="L5" s="4"/>
      <c r="M5" s="4"/>
      <c r="N5" s="4"/>
      <c r="R5" s="11"/>
      <c r="S5" s="4"/>
    </row>
    <row r="6" spans="1:19" s="5" customFormat="1" ht="24.6" customHeight="1">
      <c r="B6" s="1467" t="s">
        <v>286</v>
      </c>
      <c r="C6" s="324" t="s">
        <v>9</v>
      </c>
      <c r="D6" s="13"/>
      <c r="E6" s="14"/>
      <c r="F6" s="14"/>
      <c r="G6" s="14"/>
      <c r="H6" s="14"/>
      <c r="I6" s="14"/>
      <c r="J6" s="354" t="s">
        <v>2011</v>
      </c>
      <c r="K6" s="14"/>
      <c r="L6" s="4"/>
      <c r="M6" s="4"/>
      <c r="N6" s="4"/>
      <c r="R6" s="11"/>
      <c r="S6" s="4"/>
    </row>
    <row r="7" spans="1:19" s="5" customFormat="1" ht="24.6" customHeight="1">
      <c r="B7" s="1467"/>
      <c r="C7" s="290" t="s">
        <v>7</v>
      </c>
      <c r="D7" s="13"/>
      <c r="E7" s="14"/>
      <c r="F7" s="14"/>
      <c r="G7" s="14"/>
      <c r="H7" s="14"/>
      <c r="I7" s="1592" t="s">
        <v>1938</v>
      </c>
      <c r="J7" s="1593"/>
      <c r="K7" s="14"/>
      <c r="L7" s="4"/>
      <c r="M7" s="4"/>
      <c r="N7" s="4"/>
      <c r="R7" s="11"/>
      <c r="S7" s="4"/>
    </row>
    <row r="8" spans="1:19" s="5" customFormat="1" ht="24.6" customHeight="1">
      <c r="B8" s="1467"/>
      <c r="C8" s="163" t="s">
        <v>389</v>
      </c>
      <c r="D8" s="13"/>
      <c r="E8" s="14"/>
      <c r="F8" s="14"/>
      <c r="G8" s="14"/>
      <c r="H8" s="14"/>
      <c r="I8" s="14"/>
      <c r="J8" s="14"/>
      <c r="K8" s="14"/>
      <c r="L8" s="4"/>
      <c r="M8" s="4"/>
      <c r="N8" s="4"/>
      <c r="R8" s="11"/>
      <c r="S8" s="4"/>
    </row>
    <row r="9" spans="1:19" s="5" customFormat="1" ht="24.6" customHeight="1">
      <c r="B9" s="1467"/>
      <c r="C9" s="325" t="s">
        <v>316</v>
      </c>
      <c r="D9" s="13"/>
      <c r="E9" s="14"/>
      <c r="F9" s="14"/>
      <c r="G9" s="14"/>
      <c r="H9" s="14"/>
      <c r="I9" s="14"/>
      <c r="J9" s="14"/>
      <c r="K9" s="14"/>
      <c r="L9" s="4"/>
      <c r="M9" s="4"/>
      <c r="N9" s="4"/>
      <c r="R9" s="11"/>
      <c r="S9" s="4"/>
    </row>
    <row r="10" spans="1:19" s="5" customFormat="1" ht="24.6" customHeight="1">
      <c r="B10" s="1467" t="s">
        <v>287</v>
      </c>
      <c r="C10" s="324" t="s">
        <v>9</v>
      </c>
      <c r="D10" s="13"/>
      <c r="E10" s="14"/>
      <c r="F10" s="14"/>
      <c r="G10" s="14"/>
      <c r="H10" s="14"/>
      <c r="I10" s="14"/>
      <c r="J10" s="14"/>
      <c r="K10" s="14"/>
      <c r="L10" s="4"/>
      <c r="M10" s="4"/>
      <c r="N10" s="4"/>
      <c r="R10" s="11"/>
      <c r="S10" s="4"/>
    </row>
    <row r="11" spans="1:19" s="5" customFormat="1" ht="24.6" customHeight="1">
      <c r="B11" s="1467"/>
      <c r="C11" s="290" t="s">
        <v>292</v>
      </c>
      <c r="D11" s="13"/>
      <c r="E11" s="14"/>
      <c r="F11" s="14"/>
      <c r="G11" s="14"/>
      <c r="H11" s="14"/>
      <c r="I11" s="14"/>
      <c r="J11" s="14"/>
      <c r="K11" s="14"/>
      <c r="L11" s="4"/>
      <c r="M11" s="4"/>
      <c r="N11" s="4"/>
      <c r="R11" s="11"/>
      <c r="S11" s="4"/>
    </row>
    <row r="12" spans="1:19" s="5" customFormat="1" ht="24.6" customHeight="1">
      <c r="B12" s="1467"/>
      <c r="C12" s="325" t="s">
        <v>316</v>
      </c>
      <c r="D12" s="13"/>
      <c r="E12" s="14"/>
      <c r="F12" s="14"/>
      <c r="G12" s="14"/>
      <c r="H12" s="14"/>
      <c r="I12" s="395"/>
      <c r="J12" s="395"/>
      <c r="K12" s="14"/>
      <c r="L12" s="4"/>
      <c r="M12" s="4"/>
      <c r="N12" s="4"/>
      <c r="R12" s="11"/>
      <c r="S12" s="4"/>
    </row>
    <row r="13" spans="1:19" s="5" customFormat="1" ht="24.6" customHeight="1">
      <c r="B13" s="344" t="s">
        <v>317</v>
      </c>
      <c r="C13" s="125" t="s">
        <v>228</v>
      </c>
      <c r="D13" s="13"/>
      <c r="E13" s="14"/>
      <c r="F13" s="14"/>
      <c r="G13" s="125" t="s">
        <v>1064</v>
      </c>
      <c r="H13" s="125" t="s">
        <v>1064</v>
      </c>
      <c r="I13" s="343"/>
      <c r="J13" s="343"/>
      <c r="K13" s="14"/>
      <c r="L13" s="4"/>
      <c r="M13" s="4"/>
      <c r="N13" s="4"/>
      <c r="R13" s="11"/>
      <c r="S13" s="4"/>
    </row>
    <row r="14" spans="1:19" ht="24.6" customHeight="1">
      <c r="A14" s="84"/>
      <c r="B14" s="84"/>
      <c r="C14" s="5"/>
      <c r="D14" s="5"/>
      <c r="E14" s="23">
        <f>K5+1</f>
        <v>6</v>
      </c>
      <c r="F14" s="65">
        <f t="shared" ref="F14:K14" si="0">E14+1</f>
        <v>7</v>
      </c>
      <c r="G14" s="65">
        <f t="shared" si="0"/>
        <v>8</v>
      </c>
      <c r="H14" s="65">
        <f t="shared" si="0"/>
        <v>9</v>
      </c>
      <c r="I14" s="65">
        <f t="shared" si="0"/>
        <v>10</v>
      </c>
      <c r="J14" s="65">
        <f t="shared" si="0"/>
        <v>11</v>
      </c>
      <c r="K14" s="65">
        <f t="shared" si="0"/>
        <v>12</v>
      </c>
    </row>
    <row r="15" spans="1:19" ht="24.6" customHeight="1">
      <c r="A15" s="84"/>
      <c r="B15" s="1467" t="s">
        <v>286</v>
      </c>
      <c r="C15" s="324" t="s">
        <v>9</v>
      </c>
      <c r="D15" s="13"/>
      <c r="E15" s="24"/>
      <c r="F15" s="390" t="s">
        <v>2014</v>
      </c>
      <c r="G15" s="400" t="s">
        <v>2013</v>
      </c>
      <c r="H15" s="390" t="s">
        <v>2012</v>
      </c>
      <c r="I15" s="354" t="s">
        <v>2067</v>
      </c>
      <c r="J15" s="24"/>
      <c r="K15" s="24"/>
    </row>
    <row r="16" spans="1:19" ht="24.6" customHeight="1">
      <c r="A16" s="84"/>
      <c r="B16" s="1467"/>
      <c r="C16" s="290" t="s">
        <v>7</v>
      </c>
      <c r="D16" s="13"/>
      <c r="E16" s="24"/>
      <c r="F16" s="24"/>
      <c r="G16" s="24"/>
      <c r="H16" s="24"/>
      <c r="I16" s="24"/>
      <c r="J16" s="24"/>
      <c r="K16" s="24"/>
    </row>
    <row r="17" spans="1:19" ht="24.6" customHeight="1">
      <c r="A17" s="84"/>
      <c r="B17" s="1467"/>
      <c r="C17" s="163" t="s">
        <v>389</v>
      </c>
      <c r="D17" s="13"/>
      <c r="E17" s="24"/>
      <c r="F17" s="24"/>
      <c r="G17" s="24"/>
      <c r="H17" s="24"/>
      <c r="I17" s="24"/>
      <c r="J17" s="24"/>
      <c r="K17" s="24"/>
    </row>
    <row r="18" spans="1:19" ht="24.6" customHeight="1">
      <c r="A18" s="84"/>
      <c r="B18" s="1467"/>
      <c r="C18" s="325" t="s">
        <v>316</v>
      </c>
      <c r="D18" s="13"/>
      <c r="E18" s="24"/>
      <c r="F18" s="24"/>
      <c r="G18" s="24"/>
      <c r="H18" s="24"/>
      <c r="I18" s="24"/>
      <c r="J18" s="24"/>
      <c r="K18" s="24"/>
    </row>
    <row r="19" spans="1:19" ht="24.6" customHeight="1">
      <c r="A19" s="84"/>
      <c r="B19" s="1467" t="s">
        <v>287</v>
      </c>
      <c r="C19" s="324" t="s">
        <v>9</v>
      </c>
      <c r="D19" s="13"/>
      <c r="E19" s="24"/>
      <c r="F19" s="24"/>
      <c r="G19" s="24"/>
      <c r="H19" s="301"/>
      <c r="I19" s="1506" t="s">
        <v>1925</v>
      </c>
      <c r="J19" s="1507"/>
      <c r="K19" s="24"/>
    </row>
    <row r="20" spans="1:19" ht="24" customHeight="1">
      <c r="A20" s="84"/>
      <c r="B20" s="1467"/>
      <c r="C20" s="290" t="s">
        <v>292</v>
      </c>
      <c r="D20" s="13"/>
      <c r="E20" s="24"/>
      <c r="F20" s="24"/>
      <c r="G20" s="333" t="s">
        <v>2001</v>
      </c>
      <c r="H20" s="301"/>
      <c r="I20" s="24"/>
      <c r="J20" s="24"/>
      <c r="K20" s="24"/>
    </row>
    <row r="21" spans="1:19" ht="24" customHeight="1">
      <c r="A21" s="84"/>
      <c r="B21" s="1467"/>
      <c r="C21" s="325" t="s">
        <v>316</v>
      </c>
      <c r="D21" s="13"/>
      <c r="E21" s="24"/>
      <c r="F21" s="24"/>
      <c r="G21" s="24"/>
      <c r="H21" s="24"/>
      <c r="I21" s="24"/>
      <c r="J21" s="24"/>
      <c r="K21" s="24"/>
    </row>
    <row r="22" spans="1:19" ht="24.6" customHeight="1">
      <c r="A22" s="84"/>
      <c r="B22" s="344" t="s">
        <v>317</v>
      </c>
      <c r="C22" s="125" t="s">
        <v>228</v>
      </c>
      <c r="D22" s="13"/>
      <c r="E22" s="301"/>
      <c r="F22" s="301"/>
      <c r="G22" s="301"/>
      <c r="H22" s="301"/>
      <c r="I22" s="24"/>
      <c r="J22" s="24"/>
      <c r="K22" s="301"/>
    </row>
    <row r="23" spans="1:19" ht="24.6" customHeight="1">
      <c r="A23" s="84"/>
      <c r="B23" s="84"/>
      <c r="C23" s="5"/>
      <c r="D23" s="5"/>
      <c r="E23" s="26">
        <f>K14+1</f>
        <v>13</v>
      </c>
      <c r="F23" s="27">
        <f t="shared" ref="F23:K23" si="1">E23+1</f>
        <v>14</v>
      </c>
      <c r="G23" s="27">
        <f t="shared" si="1"/>
        <v>15</v>
      </c>
      <c r="H23" s="27">
        <f t="shared" si="1"/>
        <v>16</v>
      </c>
      <c r="I23" s="27">
        <f t="shared" si="1"/>
        <v>17</v>
      </c>
      <c r="J23" s="27">
        <f t="shared" si="1"/>
        <v>18</v>
      </c>
      <c r="K23" s="27">
        <f t="shared" si="1"/>
        <v>19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13"/>
      <c r="E24" s="14"/>
      <c r="F24" s="354" t="s">
        <v>2065</v>
      </c>
      <c r="G24" s="354" t="s">
        <v>2064</v>
      </c>
      <c r="H24" s="354" t="s">
        <v>2066</v>
      </c>
      <c r="I24" s="354" t="s">
        <v>2068</v>
      </c>
      <c r="J24" s="14"/>
      <c r="K24" s="14"/>
    </row>
    <row r="25" spans="1:19" ht="24.6" customHeight="1">
      <c r="A25" s="84"/>
      <c r="B25" s="1467"/>
      <c r="C25" s="290" t="s">
        <v>7</v>
      </c>
      <c r="D25" s="13"/>
      <c r="E25" s="14"/>
      <c r="F25" s="14"/>
      <c r="G25" s="14"/>
      <c r="H25" s="14"/>
      <c r="I25" s="14"/>
      <c r="J25" s="14"/>
      <c r="K25" s="14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13"/>
      <c r="E26" s="14"/>
      <c r="F26" s="14"/>
      <c r="G26" s="14"/>
      <c r="H26" s="14"/>
      <c r="I26" s="14"/>
      <c r="J26" s="14"/>
      <c r="K26" s="14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13"/>
      <c r="E27" s="14"/>
      <c r="F27" s="14"/>
      <c r="G27" s="14"/>
      <c r="H27" s="14"/>
      <c r="I27" s="14"/>
      <c r="J27" s="14"/>
      <c r="K27" s="14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324" t="s">
        <v>9</v>
      </c>
      <c r="D28" s="13"/>
      <c r="E28" s="14"/>
      <c r="F28" s="1506" t="s">
        <v>2018</v>
      </c>
      <c r="G28" s="1521"/>
      <c r="H28" s="14"/>
      <c r="I28" s="1506" t="s">
        <v>2015</v>
      </c>
      <c r="J28" s="1521"/>
      <c r="K28" s="1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13"/>
      <c r="E29" s="14"/>
      <c r="F29" s="14"/>
      <c r="G29" s="14"/>
      <c r="H29" s="14"/>
      <c r="I29" s="14"/>
      <c r="J29" s="357" t="s">
        <v>2063</v>
      </c>
      <c r="K29" s="14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13"/>
      <c r="E30" s="14"/>
      <c r="F30" s="14"/>
      <c r="G30" s="14"/>
      <c r="H30" s="14"/>
      <c r="I30" s="14"/>
      <c r="J30" s="14"/>
      <c r="K30" s="1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44" t="s">
        <v>317</v>
      </c>
      <c r="C31" s="125" t="s">
        <v>228</v>
      </c>
      <c r="D31" s="13"/>
      <c r="E31" s="14"/>
      <c r="F31" s="14"/>
      <c r="G31" s="14"/>
      <c r="H31" s="14"/>
      <c r="I31" s="14"/>
      <c r="J31" s="14"/>
      <c r="K31" s="14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3">
        <f>K23+1</f>
        <v>20</v>
      </c>
      <c r="F32" s="304">
        <f t="shared" ref="F32:K32" si="2">E32+1</f>
        <v>21</v>
      </c>
      <c r="G32" s="304">
        <f t="shared" si="2"/>
        <v>22</v>
      </c>
      <c r="H32" s="304">
        <f t="shared" si="2"/>
        <v>23</v>
      </c>
      <c r="I32" s="304">
        <f t="shared" si="2"/>
        <v>24</v>
      </c>
      <c r="J32" s="304">
        <f t="shared" si="2"/>
        <v>25</v>
      </c>
      <c r="K32" s="65">
        <f t="shared" si="2"/>
        <v>26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13"/>
      <c r="E33" s="24"/>
      <c r="F33" s="354" t="s">
        <v>2074</v>
      </c>
      <c r="H33" s="354" t="s">
        <v>2075</v>
      </c>
      <c r="I33" s="354" t="s">
        <v>3216</v>
      </c>
      <c r="J33" s="354" t="s">
        <v>2076</v>
      </c>
      <c r="K33" s="2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13"/>
      <c r="E34" s="24"/>
      <c r="F34" s="24"/>
      <c r="G34" s="24"/>
      <c r="H34" s="290" t="s">
        <v>2069</v>
      </c>
      <c r="I34" s="24"/>
      <c r="J34" s="24"/>
      <c r="K34" s="24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13"/>
      <c r="E35" s="24"/>
      <c r="F35" s="24"/>
      <c r="G35" s="24"/>
      <c r="H35" s="24"/>
      <c r="I35" s="24"/>
      <c r="J35" s="24"/>
      <c r="K35" s="24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13"/>
      <c r="E36" s="24"/>
      <c r="F36" s="24"/>
      <c r="G36" s="24"/>
      <c r="H36" s="24"/>
      <c r="I36" s="24"/>
      <c r="J36" s="24"/>
      <c r="K36" s="24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13"/>
      <c r="E37" s="24"/>
      <c r="F37" s="1556" t="s">
        <v>2086</v>
      </c>
      <c r="G37" s="1557"/>
      <c r="H37" s="1556" t="s">
        <v>2088</v>
      </c>
      <c r="I37" s="1557"/>
      <c r="J37" s="1556" t="s">
        <v>2077</v>
      </c>
      <c r="K37" s="1557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13"/>
      <c r="E38" s="24"/>
      <c r="F38" s="24"/>
      <c r="G38" s="24"/>
      <c r="H38" s="24"/>
      <c r="I38" s="290" t="s">
        <v>2073</v>
      </c>
      <c r="J38" s="290" t="s">
        <v>2078</v>
      </c>
      <c r="K38" s="2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13"/>
      <c r="E39" s="24"/>
      <c r="F39" s="24"/>
      <c r="G39" s="24"/>
      <c r="H39" s="325" t="s">
        <v>2017</v>
      </c>
      <c r="I39" s="325" t="s">
        <v>2017</v>
      </c>
      <c r="J39" s="325" t="s">
        <v>2021</v>
      </c>
      <c r="K39" s="24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44" t="s">
        <v>317</v>
      </c>
      <c r="C40" s="125" t="s">
        <v>228</v>
      </c>
      <c r="D40" s="13"/>
      <c r="E40" s="301"/>
      <c r="F40" s="24"/>
      <c r="G40" s="24"/>
      <c r="H40" s="24"/>
      <c r="I40" s="24"/>
      <c r="J40" s="24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30"/>
      <c r="D41" s="13"/>
      <c r="E41" s="31">
        <f>K32+1</f>
        <v>27</v>
      </c>
      <c r="F41" s="27">
        <f>E41+1</f>
        <v>28</v>
      </c>
      <c r="G41" s="387" t="s">
        <v>1828</v>
      </c>
      <c r="H41" s="27"/>
      <c r="I41" s="27"/>
      <c r="J41" s="27"/>
      <c r="K41" s="27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13"/>
      <c r="E42" s="14"/>
      <c r="F42" s="14"/>
      <c r="G42" s="14"/>
      <c r="H42" s="14"/>
      <c r="I42" s="14"/>
      <c r="J42" s="14"/>
      <c r="K42" s="14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13"/>
      <c r="E43" s="14"/>
      <c r="F43" s="14"/>
      <c r="G43" s="14"/>
      <c r="H43" s="14"/>
      <c r="I43" s="14"/>
      <c r="J43" s="14"/>
      <c r="K43" s="1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13"/>
      <c r="E44" s="14"/>
      <c r="F44" s="14"/>
      <c r="G44" s="14"/>
      <c r="H44" s="14"/>
      <c r="I44" s="14"/>
      <c r="J44" s="14"/>
      <c r="K44" s="1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13"/>
      <c r="E45" s="14"/>
      <c r="F45" s="14"/>
      <c r="G45" s="14"/>
      <c r="H45" s="14"/>
      <c r="I45" s="14"/>
      <c r="J45" s="14"/>
      <c r="K45" s="14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324" t="s">
        <v>9</v>
      </c>
      <c r="D46" s="13"/>
      <c r="E46" s="14"/>
      <c r="F46" s="1556" t="s">
        <v>2081</v>
      </c>
      <c r="G46" s="1557"/>
      <c r="H46" s="393"/>
      <c r="I46" s="393"/>
      <c r="J46" s="393"/>
      <c r="K46" s="393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13"/>
      <c r="E47" s="14"/>
      <c r="F47" s="14"/>
      <c r="G47" s="14"/>
      <c r="H47" s="14"/>
      <c r="I47" s="14"/>
      <c r="J47" s="14"/>
      <c r="K47" s="1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13"/>
      <c r="E48" s="14"/>
      <c r="F48" s="325" t="s">
        <v>2022</v>
      </c>
      <c r="G48" s="14"/>
      <c r="H48" s="14"/>
      <c r="I48" s="14"/>
      <c r="J48" s="14"/>
      <c r="K48" s="14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44" t="s">
        <v>317</v>
      </c>
      <c r="C49" s="125" t="s">
        <v>228</v>
      </c>
      <c r="D49" s="13"/>
      <c r="E49" s="14"/>
      <c r="F49" s="125" t="s">
        <v>1950</v>
      </c>
      <c r="G49" s="125" t="s">
        <v>1435</v>
      </c>
      <c r="H49" s="343"/>
      <c r="I49" s="343"/>
      <c r="J49" s="343"/>
      <c r="K49" s="14"/>
      <c r="L49" s="84"/>
      <c r="M49" s="84"/>
      <c r="N49" s="84"/>
      <c r="O49" s="84"/>
      <c r="P49" s="84"/>
      <c r="Q49" s="84"/>
      <c r="R49" s="84"/>
      <c r="S49" s="84"/>
    </row>
  </sheetData>
  <mergeCells count="21">
    <mergeCell ref="B46:B48"/>
    <mergeCell ref="B42:B45"/>
    <mergeCell ref="F46:G46"/>
    <mergeCell ref="B19:B21"/>
    <mergeCell ref="I19:J19"/>
    <mergeCell ref="M23:O23"/>
    <mergeCell ref="B24:B27"/>
    <mergeCell ref="B28:B30"/>
    <mergeCell ref="B33:B36"/>
    <mergeCell ref="B37:B39"/>
    <mergeCell ref="J37:K37"/>
    <mergeCell ref="F28:G28"/>
    <mergeCell ref="I28:J28"/>
    <mergeCell ref="F37:G37"/>
    <mergeCell ref="H37:I37"/>
    <mergeCell ref="E3:G3"/>
    <mergeCell ref="H3:K3"/>
    <mergeCell ref="B6:B9"/>
    <mergeCell ref="B10:B12"/>
    <mergeCell ref="B15:B18"/>
    <mergeCell ref="I7:J7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5">
    <pageSetUpPr fitToPage="1"/>
  </sheetPr>
  <dimension ref="A1:S49"/>
  <sheetViews>
    <sheetView topLeftCell="C19" zoomScale="70" zoomScaleNormal="70" workbookViewId="0">
      <selection activeCell="F46" sqref="F46:G4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44621</v>
      </c>
      <c r="F3" s="1450"/>
      <c r="G3" s="1450"/>
      <c r="H3" s="1451" t="s">
        <v>1940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>
        <v>1</v>
      </c>
      <c r="H5" s="175">
        <f>G5+1</f>
        <v>2</v>
      </c>
      <c r="I5" s="175">
        <f>H5+1</f>
        <v>3</v>
      </c>
      <c r="J5" s="175">
        <f>I5+1</f>
        <v>4</v>
      </c>
      <c r="K5" s="175">
        <f>J5+1</f>
        <v>5</v>
      </c>
      <c r="L5" s="90"/>
      <c r="M5" s="90"/>
      <c r="N5" s="90"/>
      <c r="R5" s="11"/>
      <c r="S5" s="90"/>
    </row>
    <row r="6" spans="1:19" s="5" customFormat="1" ht="24.6" customHeight="1">
      <c r="B6" s="1467" t="s">
        <v>1941</v>
      </c>
      <c r="C6" s="324" t="s">
        <v>1942</v>
      </c>
      <c r="D6" s="265"/>
      <c r="E6" s="396"/>
      <c r="F6" s="396"/>
      <c r="G6" s="396"/>
      <c r="H6" s="396"/>
      <c r="I6" s="324" t="s">
        <v>2085</v>
      </c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290" t="s">
        <v>2070</v>
      </c>
      <c r="J7" s="290" t="s">
        <v>2071</v>
      </c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1943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1944</v>
      </c>
      <c r="D9" s="265"/>
      <c r="E9" s="396"/>
      <c r="F9" s="396"/>
      <c r="G9" s="396"/>
      <c r="H9" s="396"/>
      <c r="I9" s="396"/>
      <c r="J9" s="404"/>
      <c r="K9" s="404"/>
      <c r="L9" s="90"/>
      <c r="M9" s="90"/>
      <c r="N9" s="90"/>
      <c r="R9" s="11"/>
      <c r="S9" s="90"/>
    </row>
    <row r="10" spans="1:19" s="5" customFormat="1" ht="24.6" customHeight="1">
      <c r="B10" s="1467" t="s">
        <v>1945</v>
      </c>
      <c r="C10" s="324" t="s">
        <v>1946</v>
      </c>
      <c r="D10" s="265"/>
      <c r="E10" s="396"/>
      <c r="F10" s="1556" t="s">
        <v>2082</v>
      </c>
      <c r="G10" s="1557"/>
      <c r="H10" s="1556" t="s">
        <v>2090</v>
      </c>
      <c r="I10" s="1557"/>
      <c r="J10" s="1556" t="s">
        <v>2100</v>
      </c>
      <c r="K10" s="1557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1947</v>
      </c>
      <c r="D11" s="265"/>
      <c r="E11" s="396"/>
      <c r="F11" s="396"/>
      <c r="G11" s="399"/>
      <c r="H11" s="290" t="s">
        <v>2078</v>
      </c>
      <c r="I11" s="396"/>
      <c r="J11" s="396"/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1944</v>
      </c>
      <c r="D12" s="265"/>
      <c r="E12" s="396"/>
      <c r="F12" s="396"/>
      <c r="G12" s="396"/>
      <c r="H12" s="325" t="s">
        <v>2023</v>
      </c>
      <c r="I12" s="325" t="s">
        <v>2024</v>
      </c>
      <c r="J12" s="325" t="s">
        <v>2024</v>
      </c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1948</v>
      </c>
      <c r="C13" s="125" t="s">
        <v>1949</v>
      </c>
      <c r="D13" s="265"/>
      <c r="E13" s="396"/>
      <c r="F13" s="396"/>
      <c r="G13" s="125" t="s">
        <v>1950</v>
      </c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6</v>
      </c>
      <c r="F14" s="65">
        <f t="shared" ref="F14:K14" si="0">E14+1</f>
        <v>7</v>
      </c>
      <c r="G14" s="65">
        <f t="shared" si="0"/>
        <v>8</v>
      </c>
      <c r="H14" s="65">
        <f t="shared" si="0"/>
        <v>9</v>
      </c>
      <c r="I14" s="65">
        <f t="shared" si="0"/>
        <v>10</v>
      </c>
      <c r="J14" s="65">
        <f t="shared" si="0"/>
        <v>11</v>
      </c>
      <c r="K14" s="65">
        <f t="shared" si="0"/>
        <v>12</v>
      </c>
    </row>
    <row r="15" spans="1:19" ht="24.6" customHeight="1">
      <c r="A15" s="84"/>
      <c r="B15" s="1467" t="s">
        <v>1951</v>
      </c>
      <c r="C15" s="324" t="s">
        <v>1946</v>
      </c>
      <c r="D15" s="265"/>
      <c r="E15" s="301"/>
      <c r="F15" s="354" t="s">
        <v>2092</v>
      </c>
      <c r="G15" s="352" t="s">
        <v>2095</v>
      </c>
      <c r="H15" s="408"/>
      <c r="I15" s="352" t="s">
        <v>2096</v>
      </c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290" t="s">
        <v>2072</v>
      </c>
      <c r="G16" s="301"/>
      <c r="H16" s="301"/>
      <c r="I16" s="301"/>
      <c r="J16" s="403" t="s">
        <v>2007</v>
      </c>
      <c r="K16" s="301"/>
    </row>
    <row r="17" spans="1:19" ht="24.6" customHeight="1">
      <c r="A17" s="84"/>
      <c r="B17" s="1467"/>
      <c r="C17" s="163" t="s">
        <v>1943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1944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1952</v>
      </c>
      <c r="C19" s="324" t="s">
        <v>1946</v>
      </c>
      <c r="D19" s="265"/>
      <c r="E19" s="301"/>
      <c r="F19" s="1556" t="s">
        <v>2101</v>
      </c>
      <c r="G19" s="1557"/>
      <c r="H19" s="301"/>
      <c r="I19" s="1556" t="s">
        <v>2098</v>
      </c>
      <c r="J19" s="1557"/>
      <c r="K19" s="301"/>
    </row>
    <row r="20" spans="1:19" ht="24" customHeight="1">
      <c r="A20" s="84"/>
      <c r="B20" s="1467"/>
      <c r="C20" s="290" t="s">
        <v>1947</v>
      </c>
      <c r="D20" s="265"/>
      <c r="E20" s="301"/>
      <c r="F20" s="301"/>
      <c r="G20" s="290" t="s">
        <v>2079</v>
      </c>
      <c r="H20" s="301"/>
      <c r="I20" s="1522" t="s">
        <v>2087</v>
      </c>
      <c r="J20" s="1545"/>
      <c r="K20" s="301"/>
    </row>
    <row r="21" spans="1:19" ht="24" customHeight="1">
      <c r="A21" s="84"/>
      <c r="B21" s="1467"/>
      <c r="C21" s="325" t="s">
        <v>1944</v>
      </c>
      <c r="D21" s="265"/>
      <c r="E21" s="301"/>
      <c r="F21" s="325" t="s">
        <v>2025</v>
      </c>
      <c r="G21" s="325" t="s">
        <v>2026</v>
      </c>
      <c r="H21" s="301"/>
      <c r="I21" s="325" t="s">
        <v>2027</v>
      </c>
      <c r="J21" s="325" t="s">
        <v>2028</v>
      </c>
      <c r="K21" s="301"/>
    </row>
    <row r="22" spans="1:19" ht="24.6" customHeight="1">
      <c r="A22" s="84"/>
      <c r="B22" s="397" t="s">
        <v>1953</v>
      </c>
      <c r="C22" s="125" t="s">
        <v>1954</v>
      </c>
      <c r="D22" s="265"/>
      <c r="E22" s="301"/>
      <c r="F22" s="301"/>
      <c r="G22" s="301"/>
      <c r="H22" s="125" t="s">
        <v>1955</v>
      </c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13</v>
      </c>
      <c r="F23" s="175">
        <f t="shared" ref="F23:K23" si="1">E23+1</f>
        <v>14</v>
      </c>
      <c r="G23" s="175">
        <f t="shared" si="1"/>
        <v>15</v>
      </c>
      <c r="H23" s="175">
        <f t="shared" si="1"/>
        <v>16</v>
      </c>
      <c r="I23" s="175">
        <f t="shared" si="1"/>
        <v>17</v>
      </c>
      <c r="J23" s="175">
        <f t="shared" si="1"/>
        <v>18</v>
      </c>
      <c r="K23" s="175">
        <f t="shared" si="1"/>
        <v>19</v>
      </c>
      <c r="M23" s="1453"/>
      <c r="N23" s="1453"/>
      <c r="O23" s="1453"/>
    </row>
    <row r="24" spans="1:19" ht="24.6" customHeight="1">
      <c r="A24" s="84"/>
      <c r="B24" s="1467" t="s">
        <v>1951</v>
      </c>
      <c r="C24" s="324" t="s">
        <v>1956</v>
      </c>
      <c r="D24" s="265"/>
      <c r="E24" s="396"/>
      <c r="F24" s="407"/>
      <c r="G24" s="354" t="s">
        <v>2103</v>
      </c>
      <c r="H24" s="390" t="s">
        <v>2093</v>
      </c>
      <c r="I24" s="352" t="s">
        <v>2094</v>
      </c>
      <c r="J24" s="396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357" t="s">
        <v>2008</v>
      </c>
      <c r="G25" s="396"/>
      <c r="H25" s="396"/>
      <c r="I25" s="396"/>
      <c r="J25" s="290" t="s">
        <v>2012</v>
      </c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1943</v>
      </c>
      <c r="D26" s="265"/>
      <c r="E26" s="396"/>
      <c r="F26" s="396"/>
      <c r="G26" s="396"/>
      <c r="H26" s="396"/>
      <c r="I26" s="396"/>
      <c r="J26" s="409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1957</v>
      </c>
      <c r="D27" s="265"/>
      <c r="E27" s="396"/>
      <c r="F27" s="396"/>
      <c r="G27" s="396"/>
      <c r="H27" s="396"/>
      <c r="I27" s="396"/>
      <c r="J27" s="396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1958</v>
      </c>
      <c r="C28" s="324" t="s">
        <v>1946</v>
      </c>
      <c r="D28" s="265"/>
      <c r="E28" s="396"/>
      <c r="F28" s="1556" t="s">
        <v>2102</v>
      </c>
      <c r="G28" s="1557"/>
      <c r="H28" s="1556" t="s">
        <v>2105</v>
      </c>
      <c r="I28" s="1574"/>
      <c r="J28" s="1556" t="s">
        <v>2106</v>
      </c>
      <c r="K28" s="157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1947</v>
      </c>
      <c r="D29" s="265"/>
      <c r="E29" s="396"/>
      <c r="F29" s="1522" t="s">
        <v>2089</v>
      </c>
      <c r="G29" s="1545"/>
      <c r="H29" s="357" t="s">
        <v>2080</v>
      </c>
      <c r="I29" s="360" t="s">
        <v>2083</v>
      </c>
      <c r="J29" s="290" t="s">
        <v>2097</v>
      </c>
      <c r="K29" s="39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1944</v>
      </c>
      <c r="D30" s="265"/>
      <c r="E30" s="396"/>
      <c r="F30" s="325" t="s">
        <v>2028</v>
      </c>
      <c r="G30" s="325" t="s">
        <v>2029</v>
      </c>
      <c r="H30" s="325" t="s">
        <v>2030</v>
      </c>
      <c r="I30" s="325" t="s">
        <v>2031</v>
      </c>
      <c r="J30" s="325" t="s">
        <v>2032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1953</v>
      </c>
      <c r="C31" s="125" t="s">
        <v>1954</v>
      </c>
      <c r="D31" s="265"/>
      <c r="E31" s="396"/>
      <c r="F31" s="396"/>
      <c r="G31" s="396"/>
      <c r="H31" s="396"/>
      <c r="I31" s="396"/>
      <c r="J31" s="396"/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20</v>
      </c>
      <c r="F32" s="304">
        <f t="shared" ref="F32:K32" si="2">E32+1</f>
        <v>21</v>
      </c>
      <c r="G32" s="304">
        <f t="shared" si="2"/>
        <v>22</v>
      </c>
      <c r="H32" s="304">
        <f t="shared" si="2"/>
        <v>23</v>
      </c>
      <c r="I32" s="304">
        <f t="shared" si="2"/>
        <v>24</v>
      </c>
      <c r="J32" s="304">
        <f t="shared" si="2"/>
        <v>25</v>
      </c>
      <c r="K32" s="65">
        <f t="shared" si="2"/>
        <v>26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1951</v>
      </c>
      <c r="C33" s="324" t="s">
        <v>1942</v>
      </c>
      <c r="D33" s="265"/>
      <c r="E33" s="301"/>
      <c r="F33" s="301"/>
      <c r="G33" s="354" t="s">
        <v>2108</v>
      </c>
      <c r="H33" s="354" t="s">
        <v>2109</v>
      </c>
      <c r="I33" s="354" t="s">
        <v>2110</v>
      </c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290" t="s">
        <v>2084</v>
      </c>
      <c r="G34" s="301"/>
      <c r="H34" s="301"/>
      <c r="I34" s="301"/>
      <c r="J34" s="357" t="s">
        <v>2067</v>
      </c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1943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1957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1952</v>
      </c>
      <c r="C37" s="324" t="s">
        <v>1946</v>
      </c>
      <c r="D37" s="265"/>
      <c r="E37" s="301"/>
      <c r="F37" s="1556" t="s">
        <v>2107</v>
      </c>
      <c r="G37" s="1574"/>
      <c r="H37" s="1556" t="s">
        <v>2111</v>
      </c>
      <c r="I37" s="1574"/>
      <c r="J37" s="1556" t="s">
        <v>2151</v>
      </c>
      <c r="K37" s="1574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265"/>
      <c r="E38" s="301"/>
      <c r="F38" s="1522" t="s">
        <v>2091</v>
      </c>
      <c r="G38" s="1545"/>
      <c r="H38" s="357" t="s">
        <v>2104</v>
      </c>
      <c r="I38" s="1522" t="s">
        <v>2099</v>
      </c>
      <c r="J38" s="1545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1957</v>
      </c>
      <c r="D39" s="265"/>
      <c r="E39" s="301"/>
      <c r="F39" s="325" t="s">
        <v>2032</v>
      </c>
      <c r="G39" s="325" t="s">
        <v>2033</v>
      </c>
      <c r="H39" s="325" t="s">
        <v>2034</v>
      </c>
      <c r="I39" s="325" t="s">
        <v>2035</v>
      </c>
      <c r="J39" s="325" t="s">
        <v>2036</v>
      </c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97" t="s">
        <v>1953</v>
      </c>
      <c r="C40" s="125" t="s">
        <v>1954</v>
      </c>
      <c r="D40" s="265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70">
        <f>K32+1</f>
        <v>27</v>
      </c>
      <c r="F41" s="175">
        <f>E41+1</f>
        <v>28</v>
      </c>
      <c r="G41" s="175">
        <f>F41+1</f>
        <v>29</v>
      </c>
      <c r="H41" s="175">
        <f>G41+1</f>
        <v>30</v>
      </c>
      <c r="I41" s="175">
        <f>H41+1</f>
        <v>31</v>
      </c>
      <c r="J41" s="175"/>
      <c r="K41" s="175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1941</v>
      </c>
      <c r="C42" s="324" t="s">
        <v>1946</v>
      </c>
      <c r="D42" s="265"/>
      <c r="E42" s="396"/>
      <c r="F42" s="396"/>
      <c r="G42" s="354" t="s">
        <v>2112</v>
      </c>
      <c r="H42" s="354" t="s">
        <v>2113</v>
      </c>
      <c r="I42" s="420" t="s">
        <v>2114</v>
      </c>
      <c r="J42" s="396"/>
      <c r="K42" s="396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265"/>
      <c r="E43" s="396"/>
      <c r="F43" s="357" t="s">
        <v>2064</v>
      </c>
      <c r="G43" s="396"/>
      <c r="H43" s="396"/>
      <c r="I43" s="396"/>
      <c r="J43" s="396"/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1959</v>
      </c>
      <c r="D44" s="265"/>
      <c r="E44" s="396"/>
      <c r="F44" s="396"/>
      <c r="G44" s="410"/>
      <c r="H44" s="396"/>
      <c r="I44" s="396"/>
      <c r="J44" s="396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1944</v>
      </c>
      <c r="D45" s="265"/>
      <c r="E45" s="396"/>
      <c r="F45" s="396"/>
      <c r="G45" s="396"/>
      <c r="H45" s="396"/>
      <c r="I45" s="396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1958</v>
      </c>
      <c r="C46" s="324" t="s">
        <v>1942</v>
      </c>
      <c r="D46" s="265"/>
      <c r="E46" s="396"/>
      <c r="F46" s="1556" t="s">
        <v>2150</v>
      </c>
      <c r="G46" s="1574"/>
      <c r="H46" s="1556" t="s">
        <v>2115</v>
      </c>
      <c r="I46" s="1574"/>
      <c r="J46" s="396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1960</v>
      </c>
      <c r="D47" s="265"/>
      <c r="E47" s="396"/>
      <c r="F47" s="412" t="s">
        <v>2117</v>
      </c>
      <c r="G47" s="413" t="s">
        <v>2118</v>
      </c>
      <c r="H47" s="411" t="s">
        <v>2119</v>
      </c>
      <c r="I47" s="243" t="s">
        <v>2120</v>
      </c>
      <c r="J47" s="243" t="s">
        <v>2121</v>
      </c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1961</v>
      </c>
      <c r="D48" s="265"/>
      <c r="E48" s="396"/>
      <c r="F48" s="325" t="s">
        <v>2036</v>
      </c>
      <c r="G48" s="325" t="s">
        <v>2037</v>
      </c>
      <c r="H48" s="325" t="s">
        <v>2038</v>
      </c>
      <c r="I48" s="325" t="s">
        <v>2039</v>
      </c>
      <c r="J48" s="396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97" t="s">
        <v>1953</v>
      </c>
      <c r="C49" s="125" t="s">
        <v>1954</v>
      </c>
      <c r="D49" s="265"/>
      <c r="E49" s="396"/>
      <c r="F49" s="396"/>
      <c r="G49" s="396"/>
      <c r="H49" s="396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</sheetData>
  <mergeCells count="30">
    <mergeCell ref="J28:K28"/>
    <mergeCell ref="M23:O23"/>
    <mergeCell ref="E3:G3"/>
    <mergeCell ref="H3:K3"/>
    <mergeCell ref="B6:B9"/>
    <mergeCell ref="B10:B12"/>
    <mergeCell ref="B15:B18"/>
    <mergeCell ref="B19:B21"/>
    <mergeCell ref="F19:G19"/>
    <mergeCell ref="I19:J19"/>
    <mergeCell ref="H10:I10"/>
    <mergeCell ref="J10:K10"/>
    <mergeCell ref="F10:G10"/>
    <mergeCell ref="I20:J20"/>
    <mergeCell ref="B24:B27"/>
    <mergeCell ref="B28:B30"/>
    <mergeCell ref="F28:G28"/>
    <mergeCell ref="F29:G29"/>
    <mergeCell ref="H28:I28"/>
    <mergeCell ref="B33:B36"/>
    <mergeCell ref="B37:B39"/>
    <mergeCell ref="F37:G37"/>
    <mergeCell ref="H37:I37"/>
    <mergeCell ref="J37:K37"/>
    <mergeCell ref="F38:G38"/>
    <mergeCell ref="I38:J38"/>
    <mergeCell ref="B42:B45"/>
    <mergeCell ref="B46:B48"/>
    <mergeCell ref="F46:G46"/>
    <mergeCell ref="H46:I46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S49"/>
  <sheetViews>
    <sheetView topLeftCell="A28" zoomScale="60" zoomScaleNormal="60" workbookViewId="0">
      <selection activeCell="F46" sqref="F46:G4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44652</v>
      </c>
      <c r="F3" s="1450"/>
      <c r="G3" s="1450"/>
      <c r="H3" s="1451" t="s">
        <v>1940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/>
      <c r="J5" s="175">
        <v>1</v>
      </c>
      <c r="K5" s="175">
        <f>J5+1</f>
        <v>2</v>
      </c>
      <c r="L5" s="90"/>
      <c r="M5" s="90"/>
      <c r="N5" s="90"/>
      <c r="R5" s="11"/>
      <c r="S5" s="90"/>
    </row>
    <row r="6" spans="1:19" s="5" customFormat="1" ht="24.6" customHeight="1">
      <c r="B6" s="1467" t="s">
        <v>1951</v>
      </c>
      <c r="C6" s="324" t="s">
        <v>1956</v>
      </c>
      <c r="D6" s="265"/>
      <c r="E6" s="396"/>
      <c r="F6" s="396"/>
      <c r="G6" s="396"/>
      <c r="H6" s="396"/>
      <c r="I6" s="396"/>
      <c r="J6" s="354" t="s">
        <v>2114</v>
      </c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396"/>
      <c r="J7" s="418"/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1962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1944</v>
      </c>
      <c r="D9" s="265"/>
      <c r="E9" s="396"/>
      <c r="F9" s="396"/>
      <c r="G9" s="396"/>
      <c r="H9" s="396"/>
      <c r="I9" s="396"/>
      <c r="J9" s="396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1952</v>
      </c>
      <c r="C10" s="324" t="s">
        <v>1946</v>
      </c>
      <c r="D10" s="265"/>
      <c r="E10" s="396"/>
      <c r="F10" s="396"/>
      <c r="G10" s="396"/>
      <c r="H10" s="396"/>
      <c r="I10" s="396"/>
      <c r="J10" s="1556" t="s">
        <v>2148</v>
      </c>
      <c r="K10" s="1574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1947</v>
      </c>
      <c r="D11" s="265"/>
      <c r="E11" s="396"/>
      <c r="F11" s="396"/>
      <c r="G11" s="396"/>
      <c r="H11" s="396"/>
      <c r="I11" s="396"/>
      <c r="J11" s="243" t="s">
        <v>2121</v>
      </c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1961</v>
      </c>
      <c r="D12" s="265"/>
      <c r="E12" s="396"/>
      <c r="F12" s="396"/>
      <c r="G12" s="396"/>
      <c r="H12" s="396"/>
      <c r="I12" s="396"/>
      <c r="J12" s="325" t="s">
        <v>2040</v>
      </c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1953</v>
      </c>
      <c r="C13" s="125" t="s">
        <v>1954</v>
      </c>
      <c r="D13" s="265"/>
      <c r="E13" s="396"/>
      <c r="F13" s="396"/>
      <c r="G13" s="396"/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65">
        <f t="shared" si="0"/>
        <v>9</v>
      </c>
    </row>
    <row r="15" spans="1:19" ht="24.6" customHeight="1">
      <c r="A15" s="84"/>
      <c r="B15" s="1467" t="s">
        <v>1951</v>
      </c>
      <c r="C15" s="324" t="s">
        <v>1946</v>
      </c>
      <c r="D15" s="265"/>
      <c r="E15" s="301"/>
      <c r="F15" s="301"/>
      <c r="G15" s="419" t="s">
        <v>2139</v>
      </c>
      <c r="H15" s="419" t="s">
        <v>2140</v>
      </c>
      <c r="I15" s="419" t="s">
        <v>2141</v>
      </c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357" t="s">
        <v>2128</v>
      </c>
      <c r="G16" s="301"/>
      <c r="H16" s="301"/>
      <c r="I16" s="301"/>
      <c r="J16" s="357" t="s">
        <v>2133</v>
      </c>
      <c r="K16" s="301"/>
    </row>
    <row r="17" spans="1:19" ht="24.6" customHeight="1">
      <c r="A17" s="84"/>
      <c r="B17" s="1467"/>
      <c r="C17" s="163" t="s">
        <v>1943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1944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1952</v>
      </c>
      <c r="C19" s="324" t="s">
        <v>1946</v>
      </c>
      <c r="D19" s="265"/>
      <c r="E19" s="301"/>
      <c r="F19" s="1556" t="s">
        <v>2116</v>
      </c>
      <c r="G19" s="1574"/>
      <c r="H19" s="1556" t="s">
        <v>2149</v>
      </c>
      <c r="I19" s="1574"/>
      <c r="J19" s="1556" t="s">
        <v>2164</v>
      </c>
      <c r="K19" s="1574"/>
    </row>
    <row r="20" spans="1:19" ht="24.6" customHeight="1">
      <c r="A20" s="84"/>
      <c r="B20" s="1467"/>
      <c r="C20" s="290" t="s">
        <v>1947</v>
      </c>
      <c r="D20" s="265"/>
      <c r="E20" s="301"/>
      <c r="F20" s="301"/>
      <c r="G20" s="301"/>
      <c r="H20" s="416" t="s">
        <v>2123</v>
      </c>
      <c r="I20" s="333" t="s">
        <v>2122</v>
      </c>
      <c r="J20" s="416" t="s">
        <v>2136</v>
      </c>
      <c r="K20" s="301"/>
    </row>
    <row r="21" spans="1:19" ht="24" customHeight="1">
      <c r="A21" s="84"/>
      <c r="B21" s="1467"/>
      <c r="C21" s="325" t="s">
        <v>1944</v>
      </c>
      <c r="D21" s="265"/>
      <c r="E21" s="301"/>
      <c r="F21" s="325" t="s">
        <v>2041</v>
      </c>
      <c r="G21" s="325" t="s">
        <v>2041</v>
      </c>
      <c r="H21" s="325" t="s">
        <v>2042</v>
      </c>
      <c r="I21" s="325" t="s">
        <v>2043</v>
      </c>
      <c r="J21" s="325" t="s">
        <v>2044</v>
      </c>
      <c r="K21" s="301"/>
    </row>
    <row r="22" spans="1:19" ht="24.6" customHeight="1">
      <c r="A22" s="84"/>
      <c r="B22" s="397" t="s">
        <v>1953</v>
      </c>
      <c r="C22" s="125" t="s">
        <v>1954</v>
      </c>
      <c r="D22" s="265"/>
      <c r="E22" s="301"/>
      <c r="F22" s="125" t="s">
        <v>2137</v>
      </c>
      <c r="G22" s="125" t="s">
        <v>2138</v>
      </c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10</v>
      </c>
      <c r="F23" s="175">
        <f t="shared" ref="F23:K23" si="1">E23+1</f>
        <v>11</v>
      </c>
      <c r="G23" s="175">
        <f t="shared" si="1"/>
        <v>12</v>
      </c>
      <c r="H23" s="175">
        <f t="shared" si="1"/>
        <v>13</v>
      </c>
      <c r="I23" s="175">
        <f t="shared" si="1"/>
        <v>14</v>
      </c>
      <c r="J23" s="175">
        <f t="shared" si="1"/>
        <v>15</v>
      </c>
      <c r="K23" s="175">
        <f t="shared" si="1"/>
        <v>16</v>
      </c>
      <c r="M23" s="1453"/>
      <c r="N23" s="1453"/>
      <c r="O23" s="1453"/>
    </row>
    <row r="24" spans="1:19" ht="24.6" customHeight="1">
      <c r="A24" s="84"/>
      <c r="B24" s="1467" t="s">
        <v>1951</v>
      </c>
      <c r="C24" s="324" t="s">
        <v>1946</v>
      </c>
      <c r="D24" s="265"/>
      <c r="E24" s="396"/>
      <c r="F24" s="396"/>
      <c r="G24" s="419" t="s">
        <v>2162</v>
      </c>
      <c r="H24" s="354" t="s">
        <v>2142</v>
      </c>
      <c r="I24" s="354" t="s">
        <v>2143</v>
      </c>
      <c r="J24" s="396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357" t="s">
        <v>2132</v>
      </c>
      <c r="G25" s="396"/>
      <c r="H25" s="396"/>
      <c r="I25" s="406"/>
      <c r="J25" s="357" t="s">
        <v>2135</v>
      </c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1943</v>
      </c>
      <c r="D26" s="265"/>
      <c r="E26" s="396"/>
      <c r="F26" s="396"/>
      <c r="G26" s="396"/>
      <c r="H26" s="396"/>
      <c r="I26" s="396"/>
      <c r="J26" s="396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1944</v>
      </c>
      <c r="D27" s="265"/>
      <c r="E27" s="396"/>
      <c r="F27" s="396"/>
      <c r="G27" s="396"/>
      <c r="H27" s="396"/>
      <c r="I27" s="396"/>
      <c r="J27" s="396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1952</v>
      </c>
      <c r="C28" s="324" t="s">
        <v>1946</v>
      </c>
      <c r="D28" s="265"/>
      <c r="E28" s="396"/>
      <c r="F28" s="1556" t="s">
        <v>2165</v>
      </c>
      <c r="G28" s="1574"/>
      <c r="H28" s="1556" t="s">
        <v>2166</v>
      </c>
      <c r="I28" s="1574"/>
      <c r="J28" s="1556" t="s">
        <v>2144</v>
      </c>
      <c r="K28" s="1574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1947</v>
      </c>
      <c r="D29" s="265"/>
      <c r="E29" s="396"/>
      <c r="F29" s="1522" t="s">
        <v>2124</v>
      </c>
      <c r="G29" s="1545"/>
      <c r="H29" s="342" t="s">
        <v>2125</v>
      </c>
      <c r="I29" s="1522" t="s">
        <v>2126</v>
      </c>
      <c r="J29" s="1545"/>
      <c r="K29" s="39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1944</v>
      </c>
      <c r="D30" s="265"/>
      <c r="E30" s="396"/>
      <c r="F30" s="325" t="s">
        <v>2045</v>
      </c>
      <c r="G30" s="325" t="s">
        <v>2155</v>
      </c>
      <c r="H30" s="325" t="s">
        <v>2156</v>
      </c>
      <c r="I30" s="325" t="s">
        <v>2046</v>
      </c>
      <c r="J30" s="325" t="s">
        <v>2157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1953</v>
      </c>
      <c r="C31" s="125" t="s">
        <v>1954</v>
      </c>
      <c r="D31" s="265"/>
      <c r="E31" s="396"/>
      <c r="F31" s="396"/>
      <c r="G31" s="396"/>
      <c r="H31" s="396"/>
      <c r="I31" s="396"/>
      <c r="J31" s="396"/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17</v>
      </c>
      <c r="F32" s="304">
        <f t="shared" ref="F32:K32" si="2">E32+1</f>
        <v>18</v>
      </c>
      <c r="G32" s="304">
        <f t="shared" si="2"/>
        <v>19</v>
      </c>
      <c r="H32" s="304">
        <f t="shared" si="2"/>
        <v>20</v>
      </c>
      <c r="I32" s="304">
        <f t="shared" si="2"/>
        <v>21</v>
      </c>
      <c r="J32" s="304">
        <f t="shared" si="2"/>
        <v>22</v>
      </c>
      <c r="K32" s="65">
        <f t="shared" si="2"/>
        <v>23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1951</v>
      </c>
      <c r="C33" s="324" t="s">
        <v>1946</v>
      </c>
      <c r="D33" s="265"/>
      <c r="E33" s="301"/>
      <c r="F33" s="301"/>
      <c r="G33" s="419" t="s">
        <v>2152</v>
      </c>
      <c r="H33" s="419" t="s">
        <v>2243</v>
      </c>
      <c r="I33" s="419" t="s">
        <v>2163</v>
      </c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357" t="s">
        <v>2131</v>
      </c>
      <c r="G34" s="301"/>
      <c r="H34" s="301"/>
      <c r="I34" s="301"/>
      <c r="J34" s="357" t="s">
        <v>2130</v>
      </c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1943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1944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1946</v>
      </c>
      <c r="D37" s="265"/>
      <c r="E37" s="301"/>
      <c r="F37" s="1556" t="s">
        <v>2145</v>
      </c>
      <c r="G37" s="1574"/>
      <c r="H37" s="1605" t="s">
        <v>2168</v>
      </c>
      <c r="I37" s="1606"/>
      <c r="J37" s="1556" t="s">
        <v>2246</v>
      </c>
      <c r="K37" s="1557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1947</v>
      </c>
      <c r="D38" s="265"/>
      <c r="E38" s="301"/>
      <c r="F38" s="1522" t="s">
        <v>2127</v>
      </c>
      <c r="G38" s="1545"/>
      <c r="H38" s="415" t="s">
        <v>2169</v>
      </c>
      <c r="I38" s="1522" t="s">
        <v>2146</v>
      </c>
      <c r="J38" s="1545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1944</v>
      </c>
      <c r="D39" s="265"/>
      <c r="E39" s="301"/>
      <c r="F39" s="325" t="s">
        <v>1963</v>
      </c>
      <c r="G39" s="325" t="s">
        <v>2158</v>
      </c>
      <c r="H39" s="325" t="s">
        <v>2159</v>
      </c>
      <c r="I39" s="325" t="s">
        <v>2215</v>
      </c>
      <c r="J39" s="325" t="s">
        <v>2215</v>
      </c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97" t="s">
        <v>1953</v>
      </c>
      <c r="C40" s="125" t="s">
        <v>1954</v>
      </c>
      <c r="D40" s="265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70">
        <f>K32+1</f>
        <v>24</v>
      </c>
      <c r="F41" s="175">
        <f t="shared" ref="F41:K41" si="3">E41+1</f>
        <v>25</v>
      </c>
      <c r="G41" s="175">
        <f t="shared" si="3"/>
        <v>26</v>
      </c>
      <c r="H41" s="175">
        <f t="shared" si="3"/>
        <v>27</v>
      </c>
      <c r="I41" s="175">
        <f t="shared" si="3"/>
        <v>28</v>
      </c>
      <c r="J41" s="175">
        <f t="shared" si="3"/>
        <v>29</v>
      </c>
      <c r="K41" s="175">
        <f t="shared" si="3"/>
        <v>30</v>
      </c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1951</v>
      </c>
      <c r="C42" s="324" t="s">
        <v>1946</v>
      </c>
      <c r="D42" s="265"/>
      <c r="E42" s="396"/>
      <c r="F42" s="396"/>
      <c r="G42" s="354" t="s">
        <v>2170</v>
      </c>
      <c r="H42" s="354" t="s">
        <v>2171</v>
      </c>
      <c r="I42" s="354" t="s">
        <v>2172</v>
      </c>
      <c r="J42" s="396"/>
      <c r="K42" s="396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265"/>
      <c r="E43" s="396"/>
      <c r="F43" s="357" t="s">
        <v>2129</v>
      </c>
      <c r="G43" s="396"/>
      <c r="H43" s="396"/>
      <c r="I43" s="396"/>
      <c r="J43" s="417" t="s">
        <v>2134</v>
      </c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1943</v>
      </c>
      <c r="D44" s="265"/>
      <c r="E44" s="396"/>
      <c r="F44" s="396"/>
      <c r="G44" s="396"/>
      <c r="H44" s="396"/>
      <c r="I44" s="422"/>
      <c r="J44" s="422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1944</v>
      </c>
      <c r="D45" s="265"/>
      <c r="E45" s="396"/>
      <c r="F45" s="396"/>
      <c r="G45" s="396"/>
      <c r="H45" s="396"/>
      <c r="I45" s="396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1958</v>
      </c>
      <c r="C46" s="324" t="s">
        <v>1956</v>
      </c>
      <c r="D46" s="265"/>
      <c r="E46" s="396"/>
      <c r="F46" s="1556" t="s">
        <v>2183</v>
      </c>
      <c r="G46" s="1557"/>
      <c r="H46" s="1556" t="s">
        <v>2225</v>
      </c>
      <c r="I46" s="1557"/>
      <c r="J46" s="1556" t="s">
        <v>2216</v>
      </c>
      <c r="K46" s="1557"/>
      <c r="L46" s="84"/>
      <c r="M46" s="84"/>
      <c r="N46" s="84"/>
      <c r="O46" s="84"/>
      <c r="P46" s="84"/>
      <c r="Q46" s="84"/>
      <c r="R46" s="84"/>
      <c r="S46" s="84"/>
    </row>
    <row r="47" spans="1:19" ht="35.450000000000003" customHeight="1">
      <c r="A47" s="84"/>
      <c r="B47" s="1467"/>
      <c r="C47" s="290" t="s">
        <v>1947</v>
      </c>
      <c r="D47" s="265"/>
      <c r="E47" s="396"/>
      <c r="F47" s="243" t="s">
        <v>2154</v>
      </c>
      <c r="G47" s="423"/>
      <c r="H47" s="1522" t="s">
        <v>2173</v>
      </c>
      <c r="I47" s="1545"/>
      <c r="J47" s="412" t="s">
        <v>2174</v>
      </c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1961</v>
      </c>
      <c r="D48" s="265"/>
      <c r="E48" s="396"/>
      <c r="F48" s="325" t="s">
        <v>2214</v>
      </c>
      <c r="G48" s="325" t="s">
        <v>2214</v>
      </c>
      <c r="H48" s="325" t="s">
        <v>2212</v>
      </c>
      <c r="I48" s="325" t="s">
        <v>2212</v>
      </c>
      <c r="J48" s="325" t="s">
        <v>2213</v>
      </c>
      <c r="K48" s="325" t="s">
        <v>2213</v>
      </c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97" t="s">
        <v>1953</v>
      </c>
      <c r="C49" s="125" t="s">
        <v>1954</v>
      </c>
      <c r="D49" s="265"/>
      <c r="E49" s="396"/>
      <c r="F49" s="396"/>
      <c r="G49" s="396"/>
      <c r="H49" s="396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</sheetData>
  <mergeCells count="31">
    <mergeCell ref="E3:G3"/>
    <mergeCell ref="H3:K3"/>
    <mergeCell ref="B6:B9"/>
    <mergeCell ref="B10:B12"/>
    <mergeCell ref="J10:K10"/>
    <mergeCell ref="B19:B21"/>
    <mergeCell ref="F19:G19"/>
    <mergeCell ref="H19:I19"/>
    <mergeCell ref="J19:K19"/>
    <mergeCell ref="B15:B18"/>
    <mergeCell ref="M23:O23"/>
    <mergeCell ref="B24:B27"/>
    <mergeCell ref="B28:B30"/>
    <mergeCell ref="F28:G28"/>
    <mergeCell ref="H28:I28"/>
    <mergeCell ref="J28:K28"/>
    <mergeCell ref="F29:G29"/>
    <mergeCell ref="I29:J29"/>
    <mergeCell ref="B33:B36"/>
    <mergeCell ref="B37:B39"/>
    <mergeCell ref="F37:G37"/>
    <mergeCell ref="H37:I37"/>
    <mergeCell ref="J37:K37"/>
    <mergeCell ref="F38:G38"/>
    <mergeCell ref="I38:J38"/>
    <mergeCell ref="B42:B45"/>
    <mergeCell ref="B46:B48"/>
    <mergeCell ref="F46:G46"/>
    <mergeCell ref="H46:I46"/>
    <mergeCell ref="J46:K46"/>
    <mergeCell ref="H47:I47"/>
  </mergeCells>
  <phoneticPr fontId="6" type="noConversion"/>
  <pageMargins left="0.7" right="0.7" top="0.75" bottom="0.75" header="0.3" footer="0.3"/>
  <pageSetup paperSize="9" scale="39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7">
    <pageSetUpPr fitToPage="1"/>
  </sheetPr>
  <dimension ref="A1:S49"/>
  <sheetViews>
    <sheetView topLeftCell="A28" zoomScale="70" zoomScaleNormal="70" workbookViewId="0">
      <selection activeCell="F46" sqref="F46:G4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44682</v>
      </c>
      <c r="F3" s="1450"/>
      <c r="G3" s="1450"/>
      <c r="H3" s="1451" t="s">
        <v>984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>
        <v>1</v>
      </c>
      <c r="F5" s="175">
        <v>2</v>
      </c>
      <c r="G5" s="175">
        <v>3</v>
      </c>
      <c r="H5" s="175">
        <f>G5+1</f>
        <v>4</v>
      </c>
      <c r="I5" s="175">
        <f>H5+1</f>
        <v>5</v>
      </c>
      <c r="J5" s="175">
        <f>I5+1</f>
        <v>6</v>
      </c>
      <c r="K5" s="175">
        <f>J5+1</f>
        <v>7</v>
      </c>
      <c r="L5" s="90"/>
      <c r="M5" s="90"/>
      <c r="N5" s="90"/>
      <c r="R5" s="11"/>
      <c r="S5" s="90"/>
    </row>
    <row r="6" spans="1:19" s="5" customFormat="1" ht="24.6" customHeight="1">
      <c r="B6" s="1467" t="s">
        <v>286</v>
      </c>
      <c r="C6" s="324" t="s">
        <v>9</v>
      </c>
      <c r="D6" s="265"/>
      <c r="E6" s="396"/>
      <c r="F6" s="354" t="s">
        <v>2178</v>
      </c>
      <c r="G6" s="354" t="s">
        <v>2179</v>
      </c>
      <c r="H6" s="421"/>
      <c r="I6" s="396"/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414"/>
      <c r="G7" s="396"/>
      <c r="H7" s="417" t="s">
        <v>3217</v>
      </c>
      <c r="I7" s="396"/>
      <c r="J7" s="414"/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389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316</v>
      </c>
      <c r="D9" s="265"/>
      <c r="E9" s="396"/>
      <c r="F9" s="422"/>
      <c r="G9" s="422"/>
      <c r="H9" s="396"/>
      <c r="I9" s="396"/>
      <c r="J9" s="396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287</v>
      </c>
      <c r="C10" s="425" t="s">
        <v>9</v>
      </c>
      <c r="D10" s="265"/>
      <c r="E10" s="396"/>
      <c r="F10" s="1556" t="s">
        <v>2188</v>
      </c>
      <c r="G10" s="1557"/>
      <c r="H10" s="1556" t="s">
        <v>2226</v>
      </c>
      <c r="I10" s="1557"/>
      <c r="J10" s="401"/>
      <c r="K10" s="401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292</v>
      </c>
      <c r="D11" s="265"/>
      <c r="E11" s="396"/>
      <c r="F11" s="412" t="s">
        <v>2175</v>
      </c>
      <c r="G11" s="1522" t="s">
        <v>2176</v>
      </c>
      <c r="H11" s="1545"/>
      <c r="I11" s="396"/>
      <c r="J11" s="396"/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316</v>
      </c>
      <c r="D12" s="265"/>
      <c r="E12" s="396"/>
      <c r="F12" s="325" t="s">
        <v>2181</v>
      </c>
      <c r="G12" s="325" t="s">
        <v>2182</v>
      </c>
      <c r="H12" s="325" t="s">
        <v>2184</v>
      </c>
      <c r="I12" s="325" t="s">
        <v>2184</v>
      </c>
      <c r="J12" s="426"/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317</v>
      </c>
      <c r="C13" s="125" t="s">
        <v>228</v>
      </c>
      <c r="D13" s="265"/>
      <c r="E13" s="125" t="s">
        <v>331</v>
      </c>
      <c r="F13" s="396"/>
      <c r="G13" s="396"/>
      <c r="H13" s="396"/>
      <c r="I13" s="125" t="s">
        <v>540</v>
      </c>
      <c r="J13" s="125" t="s">
        <v>2062</v>
      </c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65">
        <f t="shared" si="0"/>
        <v>14</v>
      </c>
      <c r="P14" s="5"/>
    </row>
    <row r="15" spans="1:19" ht="24.6" customHeight="1">
      <c r="A15" s="84"/>
      <c r="B15" s="1467" t="s">
        <v>286</v>
      </c>
      <c r="C15" s="324" t="s">
        <v>9</v>
      </c>
      <c r="D15" s="265"/>
      <c r="E15" s="301"/>
      <c r="F15" s="301"/>
      <c r="G15" s="419" t="s">
        <v>2227</v>
      </c>
      <c r="H15" s="419" t="s">
        <v>2265</v>
      </c>
      <c r="I15" s="419" t="s">
        <v>2263</v>
      </c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417" t="s">
        <v>2161</v>
      </c>
      <c r="G16" s="301"/>
      <c r="H16" s="301"/>
      <c r="I16" s="301"/>
      <c r="J16" s="301"/>
      <c r="K16" s="301"/>
    </row>
    <row r="17" spans="1:19" ht="24.6" customHeight="1">
      <c r="A17" s="84"/>
      <c r="B17" s="1467"/>
      <c r="C17" s="163" t="s">
        <v>389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316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287</v>
      </c>
      <c r="C19" s="425" t="s">
        <v>9</v>
      </c>
      <c r="D19" s="265"/>
      <c r="E19" s="301"/>
      <c r="F19" s="1556" t="s">
        <v>2180</v>
      </c>
      <c r="G19" s="1557"/>
      <c r="H19" s="1556" t="s">
        <v>2224</v>
      </c>
      <c r="I19" s="1557"/>
      <c r="J19" s="1556" t="s">
        <v>2228</v>
      </c>
      <c r="K19" s="1574"/>
    </row>
    <row r="20" spans="1:19" ht="24" customHeight="1">
      <c r="A20" s="84"/>
      <c r="B20" s="1467"/>
      <c r="C20" s="290" t="s">
        <v>292</v>
      </c>
      <c r="D20" s="265"/>
      <c r="E20" s="301"/>
      <c r="F20" s="342" t="s">
        <v>2185</v>
      </c>
      <c r="G20" s="1522" t="s">
        <v>2177</v>
      </c>
      <c r="H20" s="1545"/>
      <c r="I20" s="1522" t="s">
        <v>2147</v>
      </c>
      <c r="J20" s="1545"/>
      <c r="K20" s="301"/>
    </row>
    <row r="21" spans="1:19" ht="24" customHeight="1">
      <c r="A21" s="84"/>
      <c r="B21" s="1467"/>
      <c r="C21" s="325" t="s">
        <v>316</v>
      </c>
      <c r="D21" s="265"/>
      <c r="E21" s="301"/>
      <c r="F21" s="325" t="s">
        <v>2186</v>
      </c>
      <c r="G21" s="325" t="s">
        <v>2187</v>
      </c>
      <c r="H21" s="325" t="s">
        <v>2190</v>
      </c>
      <c r="I21" s="325" t="s">
        <v>2189</v>
      </c>
      <c r="J21" s="325" t="s">
        <v>2191</v>
      </c>
      <c r="K21" s="301"/>
    </row>
    <row r="22" spans="1:19" ht="24.6" customHeight="1">
      <c r="A22" s="84"/>
      <c r="B22" s="397" t="s">
        <v>317</v>
      </c>
      <c r="C22" s="125" t="s">
        <v>228</v>
      </c>
      <c r="D22" s="265"/>
      <c r="E22" s="125" t="s">
        <v>616</v>
      </c>
      <c r="F22" s="301"/>
      <c r="G22" s="301"/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15</v>
      </c>
      <c r="F23" s="175">
        <f t="shared" ref="F23:K23" si="1">E23+1</f>
        <v>16</v>
      </c>
      <c r="G23" s="175">
        <f t="shared" si="1"/>
        <v>17</v>
      </c>
      <c r="H23" s="175">
        <f t="shared" si="1"/>
        <v>18</v>
      </c>
      <c r="I23" s="175">
        <f t="shared" si="1"/>
        <v>19</v>
      </c>
      <c r="J23" s="175">
        <f t="shared" si="1"/>
        <v>20</v>
      </c>
      <c r="K23" s="175">
        <f t="shared" si="1"/>
        <v>21</v>
      </c>
      <c r="M23" s="1453"/>
      <c r="N23" s="1453"/>
      <c r="O23" s="1453"/>
    </row>
    <row r="24" spans="1:19" ht="24.6" customHeight="1">
      <c r="A24" s="84"/>
      <c r="B24" s="1467" t="s">
        <v>286</v>
      </c>
      <c r="C24" s="324" t="s">
        <v>9</v>
      </c>
      <c r="D24" s="265"/>
      <c r="E24" s="396"/>
      <c r="F24" s="396"/>
      <c r="G24" s="437"/>
      <c r="H24" s="419" t="s">
        <v>2286</v>
      </c>
      <c r="I24" s="354" t="s">
        <v>2232</v>
      </c>
      <c r="J24" s="396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417" t="s">
        <v>2160</v>
      </c>
      <c r="G25" s="406"/>
      <c r="H25" s="437"/>
      <c r="I25" s="437"/>
      <c r="J25" s="417" t="s">
        <v>2152</v>
      </c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389</v>
      </c>
      <c r="D26" s="265"/>
      <c r="E26" s="396"/>
      <c r="F26" s="429"/>
      <c r="G26" s="396"/>
      <c r="H26" s="396"/>
      <c r="I26" s="430"/>
      <c r="J26" s="435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316</v>
      </c>
      <c r="D27" s="265"/>
      <c r="E27" s="396"/>
      <c r="F27" s="430"/>
      <c r="G27" s="430"/>
      <c r="H27" s="396"/>
      <c r="I27" s="436"/>
      <c r="J27" s="436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287</v>
      </c>
      <c r="C28" s="425" t="s">
        <v>9</v>
      </c>
      <c r="D28" s="265"/>
      <c r="E28" s="396"/>
      <c r="F28" s="1556" t="s">
        <v>2229</v>
      </c>
      <c r="G28" s="1557"/>
      <c r="H28" s="1556" t="s">
        <v>2230</v>
      </c>
      <c r="I28" s="1557"/>
      <c r="J28" s="1556" t="s">
        <v>2231</v>
      </c>
      <c r="K28" s="1557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292</v>
      </c>
      <c r="D29" s="265"/>
      <c r="E29" s="396"/>
      <c r="F29" s="433"/>
      <c r="G29" s="436"/>
      <c r="H29" s="436"/>
      <c r="I29" s="436"/>
      <c r="J29" s="436"/>
      <c r="K29" s="39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265"/>
      <c r="E30" s="396"/>
      <c r="F30" s="325" t="s">
        <v>2192</v>
      </c>
      <c r="G30" s="325" t="s">
        <v>2194</v>
      </c>
      <c r="H30" s="325" t="s">
        <v>2193</v>
      </c>
      <c r="I30" s="325" t="s">
        <v>2196</v>
      </c>
      <c r="J30" s="325" t="s">
        <v>2196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317</v>
      </c>
      <c r="C31" s="125" t="s">
        <v>228</v>
      </c>
      <c r="D31" s="265"/>
      <c r="E31" s="396"/>
      <c r="F31" s="396"/>
      <c r="G31" s="396"/>
      <c r="H31" s="396"/>
      <c r="I31" s="396"/>
      <c r="J31" s="396"/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22</v>
      </c>
      <c r="F32" s="304">
        <f t="shared" ref="F32:K32" si="2">E32+1</f>
        <v>23</v>
      </c>
      <c r="G32" s="304">
        <f t="shared" si="2"/>
        <v>24</v>
      </c>
      <c r="H32" s="304">
        <f t="shared" si="2"/>
        <v>25</v>
      </c>
      <c r="I32" s="304">
        <f t="shared" si="2"/>
        <v>26</v>
      </c>
      <c r="J32" s="304">
        <f t="shared" si="2"/>
        <v>27</v>
      </c>
      <c r="K32" s="65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265"/>
      <c r="E33" s="301"/>
      <c r="F33" s="354" t="s">
        <v>2274</v>
      </c>
      <c r="G33" s="301"/>
      <c r="H33" s="354" t="s">
        <v>2240</v>
      </c>
      <c r="I33" s="354" t="s">
        <v>2241</v>
      </c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417" t="s">
        <v>2244</v>
      </c>
      <c r="G34" s="301"/>
      <c r="H34" s="301"/>
      <c r="I34" s="301"/>
      <c r="J34" s="417" t="s">
        <v>2153</v>
      </c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1964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425" t="s">
        <v>9</v>
      </c>
      <c r="D37" s="265"/>
      <c r="E37" s="301"/>
      <c r="F37" s="1607" t="s">
        <v>2252</v>
      </c>
      <c r="G37" s="1608"/>
      <c r="H37" s="1556" t="s">
        <v>2277</v>
      </c>
      <c r="I37" s="1557"/>
      <c r="J37" s="1607" t="s">
        <v>2239</v>
      </c>
      <c r="K37" s="1608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265"/>
      <c r="E38" s="301"/>
      <c r="F38" s="1578" t="s">
        <v>2195</v>
      </c>
      <c r="G38" s="1578"/>
      <c r="H38" s="164" t="s">
        <v>2248</v>
      </c>
      <c r="I38" s="1578" t="s">
        <v>2167</v>
      </c>
      <c r="J38" s="1578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265"/>
      <c r="E39" s="301"/>
      <c r="F39" s="325" t="s">
        <v>2197</v>
      </c>
      <c r="G39" s="325" t="s">
        <v>2197</v>
      </c>
      <c r="H39" s="325" t="s">
        <v>2198</v>
      </c>
      <c r="I39" s="325" t="s">
        <v>2198</v>
      </c>
      <c r="J39" s="325" t="s">
        <v>2199</v>
      </c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97" t="s">
        <v>317</v>
      </c>
      <c r="C40" s="125" t="s">
        <v>228</v>
      </c>
      <c r="D40" s="265"/>
      <c r="E40" s="345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6">
        <f>K32+1</f>
        <v>29</v>
      </c>
      <c r="F41" s="175">
        <f>E41+1</f>
        <v>30</v>
      </c>
      <c r="G41" s="175">
        <f>F41+1</f>
        <v>31</v>
      </c>
      <c r="H41" s="175"/>
      <c r="I41" s="175"/>
      <c r="J41" s="175"/>
      <c r="K41" s="175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286</v>
      </c>
      <c r="C42" s="324" t="s">
        <v>9</v>
      </c>
      <c r="D42" s="265"/>
      <c r="E42" s="396"/>
      <c r="F42" s="354" t="s">
        <v>2242</v>
      </c>
      <c r="G42" s="442"/>
      <c r="H42" s="396"/>
      <c r="I42" s="396"/>
      <c r="J42" s="396"/>
      <c r="K42" s="396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265"/>
      <c r="E43" s="396"/>
      <c r="F43" s="437"/>
      <c r="G43" s="417" t="s">
        <v>2254</v>
      </c>
      <c r="H43" s="396"/>
      <c r="I43" s="396"/>
      <c r="J43" s="396"/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265"/>
      <c r="E44" s="396"/>
      <c r="F44" s="435"/>
      <c r="G44" s="430"/>
      <c r="H44" s="429"/>
      <c r="I44" s="396"/>
      <c r="J44" s="396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316</v>
      </c>
      <c r="D45" s="265"/>
      <c r="E45" s="396"/>
      <c r="F45" s="396"/>
      <c r="G45" s="396"/>
      <c r="H45" s="396"/>
      <c r="I45" s="396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287</v>
      </c>
      <c r="C46" s="425" t="s">
        <v>9</v>
      </c>
      <c r="D46" s="265"/>
      <c r="E46" s="396"/>
      <c r="F46" s="1556" t="s">
        <v>2272</v>
      </c>
      <c r="G46" s="1557"/>
      <c r="H46" s="396"/>
      <c r="I46" s="396"/>
      <c r="J46" s="396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265"/>
      <c r="E47" s="396"/>
      <c r="F47" s="444" t="s">
        <v>2255</v>
      </c>
      <c r="G47" s="438" t="s">
        <v>2256</v>
      </c>
      <c r="H47" s="396"/>
      <c r="I47" s="396"/>
      <c r="J47" s="396"/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316</v>
      </c>
      <c r="D48" s="265"/>
      <c r="E48" s="396"/>
      <c r="F48" s="325" t="s">
        <v>2199</v>
      </c>
      <c r="G48" s="325" t="s">
        <v>2200</v>
      </c>
      <c r="H48" s="396"/>
      <c r="I48" s="396"/>
      <c r="J48" s="396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97" t="s">
        <v>317</v>
      </c>
      <c r="C49" s="125" t="s">
        <v>228</v>
      </c>
      <c r="D49" s="265"/>
      <c r="E49" s="396"/>
      <c r="F49" s="396"/>
      <c r="G49" s="396"/>
      <c r="H49" s="396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</sheetData>
  <mergeCells count="30">
    <mergeCell ref="E3:G3"/>
    <mergeCell ref="H3:K3"/>
    <mergeCell ref="B6:B9"/>
    <mergeCell ref="B10:B12"/>
    <mergeCell ref="F10:G10"/>
    <mergeCell ref="G11:H11"/>
    <mergeCell ref="H10:I10"/>
    <mergeCell ref="B15:B18"/>
    <mergeCell ref="B19:B21"/>
    <mergeCell ref="F19:G19"/>
    <mergeCell ref="I20:J20"/>
    <mergeCell ref="G20:H20"/>
    <mergeCell ref="H19:I19"/>
    <mergeCell ref="J19:K19"/>
    <mergeCell ref="M23:O23"/>
    <mergeCell ref="B24:B27"/>
    <mergeCell ref="B28:B30"/>
    <mergeCell ref="F28:G28"/>
    <mergeCell ref="J28:K28"/>
    <mergeCell ref="H28:I28"/>
    <mergeCell ref="I38:J38"/>
    <mergeCell ref="B42:B45"/>
    <mergeCell ref="B46:B48"/>
    <mergeCell ref="F46:G46"/>
    <mergeCell ref="B33:B36"/>
    <mergeCell ref="B37:B39"/>
    <mergeCell ref="F37:G37"/>
    <mergeCell ref="F38:G38"/>
    <mergeCell ref="H37:I37"/>
    <mergeCell ref="J37:K37"/>
  </mergeCells>
  <phoneticPr fontId="6" type="noConversion"/>
  <pageMargins left="0.7" right="0.7" top="0.75" bottom="0.75" header="0.3" footer="0.3"/>
  <pageSetup paperSize="9" scale="40" orientation="landscape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8">
    <pageSetUpPr fitToPage="1"/>
  </sheetPr>
  <dimension ref="A1:S52"/>
  <sheetViews>
    <sheetView topLeftCell="A10" zoomScale="55" zoomScaleNormal="55" workbookViewId="0">
      <selection activeCell="F46" sqref="F46:G4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44713</v>
      </c>
      <c r="F3" s="1450"/>
      <c r="G3" s="1450"/>
      <c r="H3" s="1451" t="s">
        <v>1965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>
        <v>1</v>
      </c>
      <c r="I5" s="175">
        <f>H5+1</f>
        <v>2</v>
      </c>
      <c r="J5" s="175">
        <f>I5+1</f>
        <v>3</v>
      </c>
      <c r="K5" s="175">
        <f>J5+1</f>
        <v>4</v>
      </c>
      <c r="L5" s="90"/>
      <c r="M5" s="90"/>
      <c r="N5" s="90"/>
      <c r="R5" s="11"/>
      <c r="S5" s="90"/>
    </row>
    <row r="6" spans="1:19" s="5" customFormat="1" ht="24.6" customHeight="1">
      <c r="B6" s="1467" t="s">
        <v>1966</v>
      </c>
      <c r="C6" s="324" t="s">
        <v>1967</v>
      </c>
      <c r="D6" s="265"/>
      <c r="E6" s="396"/>
      <c r="F6" s="396"/>
      <c r="G6" s="441"/>
      <c r="H6" s="419" t="s">
        <v>2287</v>
      </c>
      <c r="I6" s="419" t="s">
        <v>2250</v>
      </c>
      <c r="J6" s="441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440"/>
      <c r="J7" s="417" t="s">
        <v>2264</v>
      </c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1964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1968</v>
      </c>
      <c r="D9" s="265"/>
      <c r="E9" s="396"/>
      <c r="F9" s="396"/>
      <c r="G9" s="396"/>
      <c r="H9" s="440"/>
      <c r="I9" s="440"/>
      <c r="J9" s="439"/>
      <c r="K9" s="439"/>
      <c r="L9" s="90"/>
      <c r="M9" s="90"/>
      <c r="N9" s="90"/>
      <c r="R9" s="11"/>
      <c r="S9" s="90"/>
    </row>
    <row r="10" spans="1:19" s="5" customFormat="1" ht="24.6" customHeight="1">
      <c r="B10" s="1467" t="s">
        <v>1969</v>
      </c>
      <c r="C10" s="1609" t="s">
        <v>1970</v>
      </c>
      <c r="D10" s="265"/>
      <c r="E10" s="396"/>
      <c r="F10" s="396"/>
      <c r="G10" s="401"/>
      <c r="H10" s="1556" t="s">
        <v>2279</v>
      </c>
      <c r="I10" s="1557"/>
      <c r="J10" s="1556" t="s">
        <v>2249</v>
      </c>
      <c r="K10" s="1557"/>
      <c r="L10" s="90"/>
      <c r="M10" s="90"/>
      <c r="N10" s="90"/>
      <c r="R10" s="11"/>
      <c r="S10" s="90"/>
    </row>
    <row r="11" spans="1:19" s="5" customFormat="1" ht="24.6" customHeight="1">
      <c r="B11" s="1467"/>
      <c r="C11" s="1609"/>
      <c r="D11" s="265"/>
      <c r="E11" s="401"/>
      <c r="F11" s="401"/>
      <c r="G11" s="424"/>
      <c r="H11" s="436"/>
      <c r="I11" s="436"/>
      <c r="J11" s="424"/>
      <c r="K11" s="424"/>
      <c r="L11" s="90"/>
      <c r="M11" s="90"/>
      <c r="N11" s="90"/>
      <c r="R11" s="11"/>
      <c r="S11" s="90"/>
    </row>
    <row r="12" spans="1:19" s="5" customFormat="1" ht="24.6" customHeight="1">
      <c r="B12" s="1467"/>
      <c r="C12" s="290" t="s">
        <v>1971</v>
      </c>
      <c r="D12" s="265"/>
      <c r="E12" s="396"/>
      <c r="F12" s="396"/>
      <c r="G12" s="396"/>
      <c r="H12" s="443"/>
      <c r="I12" s="1610" t="s">
        <v>2247</v>
      </c>
      <c r="J12" s="1611"/>
      <c r="K12" s="396"/>
      <c r="L12" s="90"/>
      <c r="M12" s="90"/>
      <c r="N12" s="90"/>
      <c r="R12" s="11"/>
      <c r="S12" s="90"/>
    </row>
    <row r="13" spans="1:19" s="5" customFormat="1" ht="24.6" customHeight="1">
      <c r="B13" s="1467"/>
      <c r="C13" s="325" t="s">
        <v>1972</v>
      </c>
      <c r="D13" s="265"/>
      <c r="E13" s="396"/>
      <c r="F13" s="396"/>
      <c r="G13" s="396"/>
      <c r="H13" s="396"/>
      <c r="I13" s="325" t="s">
        <v>2201</v>
      </c>
      <c r="J13" s="325" t="s">
        <v>2201</v>
      </c>
      <c r="K13" s="396"/>
      <c r="L13" s="90"/>
      <c r="M13" s="90"/>
      <c r="N13" s="90"/>
      <c r="R13" s="11"/>
      <c r="S13" s="90"/>
    </row>
    <row r="14" spans="1:19" s="5" customFormat="1" ht="24.6" customHeight="1">
      <c r="B14" s="397" t="s">
        <v>1973</v>
      </c>
      <c r="C14" s="125" t="s">
        <v>1974</v>
      </c>
      <c r="D14" s="265"/>
      <c r="E14" s="396"/>
      <c r="F14" s="396"/>
      <c r="G14" s="396"/>
      <c r="H14" s="386" t="s">
        <v>1975</v>
      </c>
      <c r="I14" s="396"/>
      <c r="J14" s="396"/>
      <c r="K14" s="396"/>
      <c r="L14" s="90"/>
      <c r="M14" s="90"/>
      <c r="N14" s="90"/>
      <c r="R14" s="11"/>
      <c r="S14" s="90"/>
    </row>
    <row r="15" spans="1:19" ht="24.6" customHeight="1">
      <c r="A15" s="84"/>
      <c r="B15" s="84"/>
      <c r="C15" s="5"/>
      <c r="D15" s="5"/>
      <c r="E15" s="266">
        <f>K5+1</f>
        <v>5</v>
      </c>
      <c r="F15" s="65">
        <f t="shared" ref="F15:K15" si="0">E15+1</f>
        <v>6</v>
      </c>
      <c r="G15" s="65">
        <f t="shared" si="0"/>
        <v>7</v>
      </c>
      <c r="H15" s="65">
        <f t="shared" si="0"/>
        <v>8</v>
      </c>
      <c r="I15" s="65">
        <f t="shared" si="0"/>
        <v>9</v>
      </c>
      <c r="J15" s="65">
        <f t="shared" si="0"/>
        <v>10</v>
      </c>
      <c r="K15" s="65">
        <f t="shared" si="0"/>
        <v>11</v>
      </c>
    </row>
    <row r="16" spans="1:19" ht="24.6" customHeight="1">
      <c r="A16" s="84"/>
      <c r="B16" s="1467" t="s">
        <v>1966</v>
      </c>
      <c r="C16" s="324" t="s">
        <v>1967</v>
      </c>
      <c r="D16" s="265"/>
      <c r="E16" s="301"/>
      <c r="F16" s="301"/>
      <c r="G16" s="419" t="s">
        <v>2251</v>
      </c>
      <c r="H16" s="419" t="s">
        <v>2259</v>
      </c>
      <c r="I16" s="419" t="s">
        <v>2260</v>
      </c>
      <c r="J16" s="301"/>
      <c r="K16" s="301"/>
    </row>
    <row r="17" spans="1:19" ht="24.6" customHeight="1">
      <c r="A17" s="84"/>
      <c r="B17" s="1467"/>
      <c r="C17" s="290" t="s">
        <v>7</v>
      </c>
      <c r="D17" s="265"/>
      <c r="E17" s="301"/>
      <c r="F17" s="301"/>
      <c r="G17" s="301"/>
      <c r="H17" s="301"/>
      <c r="I17" s="301"/>
      <c r="J17" s="417" t="s">
        <v>2253</v>
      </c>
      <c r="K17" s="301"/>
    </row>
    <row r="18" spans="1:19" ht="24.6" customHeight="1">
      <c r="A18" s="84"/>
      <c r="B18" s="1467"/>
      <c r="C18" s="163" t="s">
        <v>1964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/>
      <c r="C19" s="325" t="s">
        <v>1968</v>
      </c>
      <c r="D19" s="265"/>
      <c r="E19" s="301"/>
      <c r="F19" s="301"/>
      <c r="G19" s="301"/>
      <c r="H19" s="301"/>
      <c r="I19" s="301"/>
      <c r="J19" s="301"/>
      <c r="K19" s="301"/>
    </row>
    <row r="20" spans="1:19" ht="24.6" customHeight="1">
      <c r="A20" s="84"/>
      <c r="B20" s="1467" t="s">
        <v>1976</v>
      </c>
      <c r="C20" s="1609" t="s">
        <v>1970</v>
      </c>
      <c r="D20" s="265"/>
      <c r="E20" s="301"/>
      <c r="F20" s="1556" t="s">
        <v>2280</v>
      </c>
      <c r="G20" s="1557"/>
      <c r="H20" s="1556" t="s">
        <v>2281</v>
      </c>
      <c r="I20" s="1574"/>
      <c r="J20" s="1574" t="s">
        <v>2282</v>
      </c>
      <c r="K20" s="1557"/>
    </row>
    <row r="21" spans="1:19" ht="24.6" customHeight="1">
      <c r="A21" s="84"/>
      <c r="B21" s="1467"/>
      <c r="C21" s="1609"/>
      <c r="D21" s="265"/>
      <c r="E21" s="301"/>
      <c r="F21" s="301"/>
      <c r="G21" s="301"/>
      <c r="H21" s="301"/>
      <c r="I21" s="267"/>
      <c r="J21" s="301"/>
      <c r="K21" s="301"/>
    </row>
    <row r="22" spans="1:19" ht="24" customHeight="1">
      <c r="A22" s="84"/>
      <c r="B22" s="1467"/>
      <c r="C22" s="290" t="s">
        <v>1977</v>
      </c>
      <c r="D22" s="265"/>
      <c r="E22" s="301"/>
      <c r="F22" s="301"/>
      <c r="G22" s="1522" t="s">
        <v>2257</v>
      </c>
      <c r="H22" s="1545"/>
      <c r="I22" s="412" t="s">
        <v>2245</v>
      </c>
      <c r="J22" s="1522" t="s">
        <v>2258</v>
      </c>
      <c r="K22" s="1545"/>
    </row>
    <row r="23" spans="1:19" ht="24" customHeight="1">
      <c r="A23" s="84"/>
      <c r="B23" s="1467"/>
      <c r="C23" s="325" t="s">
        <v>1968</v>
      </c>
      <c r="D23" s="265"/>
      <c r="E23" s="301"/>
      <c r="F23" s="301"/>
      <c r="G23" s="325" t="s">
        <v>2202</v>
      </c>
      <c r="H23" s="325" t="s">
        <v>2202</v>
      </c>
      <c r="I23" s="325" t="s">
        <v>2202</v>
      </c>
      <c r="J23" s="325" t="s">
        <v>2203</v>
      </c>
      <c r="K23" s="301"/>
    </row>
    <row r="24" spans="1:19" ht="24.6" customHeight="1">
      <c r="A24" s="84"/>
      <c r="B24" s="397" t="s">
        <v>1973</v>
      </c>
      <c r="C24" s="125" t="s">
        <v>1974</v>
      </c>
      <c r="D24" s="265"/>
      <c r="E24" s="301"/>
      <c r="F24" s="386" t="s">
        <v>1978</v>
      </c>
      <c r="G24" s="301"/>
      <c r="H24" s="301"/>
      <c r="I24" s="301"/>
      <c r="J24" s="301"/>
      <c r="K24" s="301"/>
    </row>
    <row r="25" spans="1:19" ht="24.6" customHeight="1">
      <c r="A25" s="84"/>
      <c r="B25" s="84"/>
      <c r="C25" s="5"/>
      <c r="D25" s="5"/>
      <c r="E25" s="26">
        <f>K15+1</f>
        <v>12</v>
      </c>
      <c r="F25" s="175">
        <f t="shared" ref="F25:K25" si="1">E25+1</f>
        <v>13</v>
      </c>
      <c r="G25" s="175">
        <f t="shared" si="1"/>
        <v>14</v>
      </c>
      <c r="H25" s="175">
        <f t="shared" si="1"/>
        <v>15</v>
      </c>
      <c r="I25" s="175">
        <f t="shared" si="1"/>
        <v>16</v>
      </c>
      <c r="J25" s="175">
        <f t="shared" si="1"/>
        <v>17</v>
      </c>
      <c r="K25" s="175">
        <f t="shared" si="1"/>
        <v>18</v>
      </c>
      <c r="M25" s="1453"/>
      <c r="N25" s="1453"/>
      <c r="O25" s="1453"/>
    </row>
    <row r="26" spans="1:19" ht="24.6" customHeight="1">
      <c r="A26" s="84"/>
      <c r="B26" s="1467" t="s">
        <v>1966</v>
      </c>
      <c r="C26" s="324" t="s">
        <v>1967</v>
      </c>
      <c r="D26" s="265"/>
      <c r="E26" s="396"/>
      <c r="F26" s="419" t="s">
        <v>2261</v>
      </c>
      <c r="G26" s="354" t="s">
        <v>2289</v>
      </c>
      <c r="H26" s="354" t="s">
        <v>2266</v>
      </c>
      <c r="I26" s="428"/>
      <c r="J26" s="428"/>
      <c r="K26" s="396"/>
    </row>
    <row r="27" spans="1:19" ht="24.6" customHeight="1">
      <c r="A27" s="84"/>
      <c r="B27" s="1467"/>
      <c r="C27" s="290" t="s">
        <v>7</v>
      </c>
      <c r="D27" s="265"/>
      <c r="E27" s="396"/>
      <c r="F27" s="428"/>
      <c r="G27" s="414"/>
      <c r="H27" s="414"/>
      <c r="I27" s="417" t="s">
        <v>2262</v>
      </c>
      <c r="J27" s="448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/>
      <c r="C28" s="163" t="s">
        <v>1964</v>
      </c>
      <c r="D28" s="265"/>
      <c r="E28" s="396"/>
      <c r="F28" s="396"/>
      <c r="G28" s="396"/>
      <c r="H28" s="396"/>
      <c r="I28" s="396"/>
      <c r="J28" s="396"/>
      <c r="K28" s="396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325" t="s">
        <v>1968</v>
      </c>
      <c r="D29" s="265"/>
      <c r="E29" s="396"/>
      <c r="F29" s="445"/>
      <c r="G29" s="445"/>
      <c r="H29" s="396"/>
      <c r="I29" s="396"/>
      <c r="J29" s="396"/>
      <c r="K29" s="39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 t="s">
        <v>1969</v>
      </c>
      <c r="C30" s="1609" t="s">
        <v>1970</v>
      </c>
      <c r="D30" s="265"/>
      <c r="E30" s="396"/>
      <c r="F30" s="1556" t="s">
        <v>2268</v>
      </c>
      <c r="G30" s="1557"/>
      <c r="H30" s="1556" t="s">
        <v>2267</v>
      </c>
      <c r="I30" s="1557"/>
      <c r="J30" s="1556" t="s">
        <v>2284</v>
      </c>
      <c r="K30" s="1557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1609"/>
      <c r="D31" s="265"/>
      <c r="E31" s="401"/>
      <c r="F31" s="401"/>
      <c r="G31" s="426"/>
      <c r="H31" s="426"/>
      <c r="I31" s="401"/>
      <c r="J31" s="401"/>
      <c r="K31" s="401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290" t="s">
        <v>1971</v>
      </c>
      <c r="D32" s="265"/>
      <c r="E32" s="396"/>
      <c r="F32" s="1522" t="s">
        <v>2269</v>
      </c>
      <c r="G32" s="1523"/>
      <c r="H32" s="1523"/>
      <c r="I32" s="1523"/>
      <c r="J32" s="1545"/>
      <c r="K32" s="396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325" t="s">
        <v>1968</v>
      </c>
      <c r="D33" s="265"/>
      <c r="E33" s="396"/>
      <c r="F33" s="325" t="s">
        <v>2203</v>
      </c>
      <c r="G33" s="325" t="s">
        <v>2204</v>
      </c>
      <c r="H33" s="325" t="s">
        <v>2204</v>
      </c>
      <c r="I33" s="325" t="s">
        <v>2204</v>
      </c>
      <c r="J33" s="325" t="s">
        <v>2205</v>
      </c>
      <c r="K33" s="396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397" t="s">
        <v>1973</v>
      </c>
      <c r="C34" s="125" t="s">
        <v>1974</v>
      </c>
      <c r="D34" s="265"/>
      <c r="E34" s="396"/>
      <c r="F34" s="396"/>
      <c r="G34" s="396"/>
      <c r="H34" s="396"/>
      <c r="I34" s="396"/>
      <c r="J34" s="396"/>
      <c r="K34" s="396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66">
        <f>K25+1</f>
        <v>19</v>
      </c>
      <c r="F35" s="304">
        <f t="shared" ref="F35:K35" si="2">E35+1</f>
        <v>20</v>
      </c>
      <c r="G35" s="304">
        <f t="shared" si="2"/>
        <v>21</v>
      </c>
      <c r="H35" s="304">
        <f t="shared" si="2"/>
        <v>22</v>
      </c>
      <c r="I35" s="304">
        <f t="shared" si="2"/>
        <v>23</v>
      </c>
      <c r="J35" s="304">
        <f t="shared" si="2"/>
        <v>24</v>
      </c>
      <c r="K35" s="65">
        <f t="shared" si="2"/>
        <v>25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1966</v>
      </c>
      <c r="C36" s="324" t="s">
        <v>1970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290" t="s">
        <v>7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63" t="s">
        <v>1979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1968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" customHeight="1">
      <c r="A40" s="84"/>
      <c r="B40" s="1467" t="s">
        <v>1969</v>
      </c>
      <c r="C40" s="324" t="s">
        <v>1970</v>
      </c>
      <c r="D40" s="265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290" t="s">
        <v>1971</v>
      </c>
      <c r="D41" s="265"/>
      <c r="E41" s="301"/>
      <c r="F41" s="301"/>
      <c r="G41" s="301"/>
      <c r="H41" s="301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325" t="s">
        <v>1968</v>
      </c>
      <c r="D42" s="265"/>
      <c r="E42" s="301"/>
      <c r="F42" s="301"/>
      <c r="G42" s="301"/>
      <c r="H42" s="301"/>
      <c r="I42" s="301"/>
      <c r="J42" s="301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397" t="s">
        <v>1973</v>
      </c>
      <c r="C43" s="125" t="s">
        <v>1974</v>
      </c>
      <c r="D43" s="265"/>
      <c r="E43" s="1587" t="s">
        <v>1980</v>
      </c>
      <c r="F43" s="1587"/>
      <c r="G43" s="1587"/>
      <c r="H43" s="1587"/>
      <c r="I43" s="1587"/>
      <c r="J43" s="1587"/>
      <c r="K43" s="1587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84"/>
      <c r="C44" s="269"/>
      <c r="D44" s="265"/>
      <c r="E44" s="26">
        <f>K35+1</f>
        <v>26</v>
      </c>
      <c r="F44" s="175">
        <f>E44+1</f>
        <v>27</v>
      </c>
      <c r="G44" s="175">
        <f>F44+1</f>
        <v>28</v>
      </c>
      <c r="H44" s="175">
        <f>G44+1</f>
        <v>29</v>
      </c>
      <c r="I44" s="175">
        <f>H44+1</f>
        <v>30</v>
      </c>
      <c r="J44" s="175"/>
      <c r="K44" s="175"/>
      <c r="L44" s="84"/>
      <c r="M44" s="84"/>
      <c r="N44" s="84">
        <v>1</v>
      </c>
      <c r="O44" s="84"/>
      <c r="P44" s="84"/>
      <c r="Q44" s="84"/>
      <c r="R44" s="84"/>
      <c r="S44" s="84"/>
    </row>
    <row r="45" spans="1:19" ht="24.6" customHeight="1">
      <c r="A45" s="84"/>
      <c r="B45" s="1467" t="s">
        <v>1966</v>
      </c>
      <c r="C45" s="324" t="s">
        <v>1970</v>
      </c>
      <c r="D45" s="265"/>
      <c r="E45" s="396"/>
      <c r="F45" s="396"/>
      <c r="G45" s="396"/>
      <c r="H45" s="396"/>
      <c r="I45" s="396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290" t="s">
        <v>7</v>
      </c>
      <c r="D46" s="265"/>
      <c r="E46" s="396"/>
      <c r="F46" s="449"/>
      <c r="G46" s="417" t="s">
        <v>2227</v>
      </c>
      <c r="H46" s="417" t="s">
        <v>2265</v>
      </c>
      <c r="I46" s="415" t="s">
        <v>2286</v>
      </c>
      <c r="J46" s="396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63" t="s">
        <v>1964</v>
      </c>
      <c r="D47" s="265"/>
      <c r="E47" s="396"/>
      <c r="F47" s="396"/>
      <c r="G47" s="405"/>
      <c r="H47" s="396"/>
      <c r="I47" s="396"/>
      <c r="J47" s="396"/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1968</v>
      </c>
      <c r="D48" s="265"/>
      <c r="E48" s="396"/>
      <c r="F48" s="396"/>
      <c r="G48" s="396"/>
      <c r="H48" s="396"/>
      <c r="I48" s="431"/>
      <c r="J48" s="431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 t="s">
        <v>1969</v>
      </c>
      <c r="C49" s="324" t="s">
        <v>1970</v>
      </c>
      <c r="D49" s="265"/>
      <c r="E49" s="396"/>
      <c r="F49" s="396"/>
      <c r="G49" s="436"/>
      <c r="H49" s="431"/>
      <c r="I49" s="449"/>
      <c r="J49" s="396"/>
      <c r="K49" s="396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290" t="s">
        <v>1977</v>
      </c>
      <c r="D50" s="265"/>
      <c r="E50" s="396"/>
      <c r="F50" s="432" t="s">
        <v>2271</v>
      </c>
      <c r="G50" s="412" t="s">
        <v>2298</v>
      </c>
      <c r="H50" s="450"/>
      <c r="I50" s="412" t="s">
        <v>2299</v>
      </c>
      <c r="J50" s="436"/>
      <c r="K50" s="396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325" t="s">
        <v>1972</v>
      </c>
      <c r="D51" s="265"/>
      <c r="E51" s="396"/>
      <c r="F51" s="325" t="s">
        <v>2206</v>
      </c>
      <c r="G51" s="325" t="s">
        <v>2207</v>
      </c>
      <c r="H51" s="325" t="s">
        <v>2207</v>
      </c>
      <c r="I51" s="325" t="s">
        <v>2207</v>
      </c>
      <c r="J51" s="396"/>
      <c r="K51" s="396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397" t="s">
        <v>317</v>
      </c>
      <c r="C52" s="125" t="s">
        <v>1974</v>
      </c>
      <c r="D52" s="265"/>
      <c r="E52" s="396"/>
      <c r="F52" s="396"/>
      <c r="G52" s="396"/>
      <c r="H52" s="396"/>
      <c r="I52" s="396"/>
      <c r="J52" s="396"/>
      <c r="K52" s="396"/>
      <c r="L52" s="84"/>
      <c r="M52" s="84"/>
      <c r="N52" s="84"/>
      <c r="O52" s="84"/>
      <c r="P52" s="84"/>
      <c r="Q52" s="84"/>
      <c r="R52" s="84"/>
      <c r="S52" s="84"/>
    </row>
  </sheetData>
  <mergeCells count="29">
    <mergeCell ref="M25:O25"/>
    <mergeCell ref="E3:G3"/>
    <mergeCell ref="H3:K3"/>
    <mergeCell ref="B6:B9"/>
    <mergeCell ref="B10:B13"/>
    <mergeCell ref="B16:B19"/>
    <mergeCell ref="B20:B23"/>
    <mergeCell ref="G22:H22"/>
    <mergeCell ref="C10:C11"/>
    <mergeCell ref="C20:C21"/>
    <mergeCell ref="H10:I10"/>
    <mergeCell ref="J10:K10"/>
    <mergeCell ref="J20:K20"/>
    <mergeCell ref="H20:I20"/>
    <mergeCell ref="F20:G20"/>
    <mergeCell ref="I12:J12"/>
    <mergeCell ref="J22:K22"/>
    <mergeCell ref="B45:B48"/>
    <mergeCell ref="B49:B51"/>
    <mergeCell ref="B26:B29"/>
    <mergeCell ref="B30:B33"/>
    <mergeCell ref="F30:G30"/>
    <mergeCell ref="C30:C31"/>
    <mergeCell ref="B36:B39"/>
    <mergeCell ref="B40:B42"/>
    <mergeCell ref="E43:K43"/>
    <mergeCell ref="J30:K30"/>
    <mergeCell ref="H30:I30"/>
    <mergeCell ref="F32:J32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9">
    <pageSetUpPr fitToPage="1"/>
  </sheetPr>
  <dimension ref="A1:S49"/>
  <sheetViews>
    <sheetView topLeftCell="A28" zoomScale="55" zoomScaleNormal="55" workbookViewId="0">
      <selection activeCell="F46" sqref="F46:G4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77734375" style="90" customWidth="1"/>
    <col min="20" max="20" width="6.77734375" style="84" customWidth="1"/>
    <col min="21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44743</v>
      </c>
      <c r="F3" s="1450"/>
      <c r="G3" s="1450"/>
      <c r="H3" s="1451" t="s">
        <v>1965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/>
      <c r="J5" s="175">
        <v>1</v>
      </c>
      <c r="K5" s="175">
        <f>J5+1</f>
        <v>2</v>
      </c>
      <c r="L5" s="90"/>
      <c r="M5" s="90"/>
      <c r="N5" s="90"/>
      <c r="R5" s="11"/>
      <c r="S5" s="90"/>
    </row>
    <row r="6" spans="1:19" s="5" customFormat="1" ht="24.6" customHeight="1">
      <c r="B6" s="1467" t="s">
        <v>1966</v>
      </c>
      <c r="C6" s="324" t="s">
        <v>1970</v>
      </c>
      <c r="D6" s="265"/>
      <c r="E6" s="396"/>
      <c r="F6" s="396"/>
      <c r="G6" s="396"/>
      <c r="H6" s="396"/>
      <c r="I6" s="396"/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396"/>
      <c r="J7" s="396"/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1964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1968</v>
      </c>
      <c r="D9" s="265"/>
      <c r="E9" s="396"/>
      <c r="F9" s="396"/>
      <c r="G9" s="396"/>
      <c r="H9" s="396"/>
      <c r="I9" s="396"/>
      <c r="J9" s="396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1969</v>
      </c>
      <c r="C10" s="324" t="s">
        <v>1970</v>
      </c>
      <c r="D10" s="265"/>
      <c r="E10" s="396"/>
      <c r="F10" s="396"/>
      <c r="G10" s="396"/>
      <c r="H10" s="396"/>
      <c r="I10" s="396"/>
      <c r="J10" s="396"/>
      <c r="K10" s="396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1971</v>
      </c>
      <c r="D11" s="265"/>
      <c r="E11" s="396"/>
      <c r="F11" s="396"/>
      <c r="G11" s="396"/>
      <c r="H11" s="396"/>
      <c r="I11" s="396"/>
      <c r="J11" s="412" t="s">
        <v>2217</v>
      </c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1968</v>
      </c>
      <c r="D12" s="265"/>
      <c r="E12" s="396"/>
      <c r="F12" s="396"/>
      <c r="G12" s="396"/>
      <c r="H12" s="396"/>
      <c r="I12" s="396"/>
      <c r="J12" s="325" t="s">
        <v>2208</v>
      </c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1973</v>
      </c>
      <c r="C13" s="125" t="s">
        <v>1974</v>
      </c>
      <c r="D13" s="265"/>
      <c r="E13" s="396"/>
      <c r="F13" s="396"/>
      <c r="G13" s="396"/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65">
        <f t="shared" si="0"/>
        <v>9</v>
      </c>
    </row>
    <row r="15" spans="1:19" ht="24.6" customHeight="1">
      <c r="A15" s="84"/>
      <c r="B15" s="1467" t="s">
        <v>1966</v>
      </c>
      <c r="C15" s="324" t="s">
        <v>1970</v>
      </c>
      <c r="D15" s="265"/>
      <c r="E15" s="301"/>
      <c r="F15" s="301"/>
      <c r="G15" s="301"/>
      <c r="H15" s="301"/>
      <c r="I15" s="301"/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301"/>
      <c r="K16" s="301"/>
    </row>
    <row r="17" spans="1:19" ht="24.6" customHeight="1">
      <c r="A17" s="84"/>
      <c r="B17" s="1467"/>
      <c r="C17" s="163" t="s">
        <v>1964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1968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1969</v>
      </c>
      <c r="C19" s="324" t="s">
        <v>1970</v>
      </c>
      <c r="D19" s="265"/>
      <c r="E19" s="301"/>
      <c r="F19" s="301"/>
      <c r="G19" s="301"/>
      <c r="H19" s="301"/>
      <c r="I19" s="301"/>
      <c r="J19" s="301"/>
      <c r="K19" s="301"/>
    </row>
    <row r="20" spans="1:19" ht="24" customHeight="1">
      <c r="A20" s="84"/>
      <c r="B20" s="1467"/>
      <c r="C20" s="290" t="s">
        <v>1971</v>
      </c>
      <c r="D20" s="265"/>
      <c r="E20" s="301"/>
      <c r="F20" s="360" t="s">
        <v>2273</v>
      </c>
      <c r="G20" s="412" t="s">
        <v>2300</v>
      </c>
      <c r="H20" s="1522" t="s">
        <v>2303</v>
      </c>
      <c r="I20" s="1545"/>
      <c r="J20" s="412" t="s">
        <v>2304</v>
      </c>
      <c r="K20" s="301"/>
    </row>
    <row r="21" spans="1:19" ht="24" customHeight="1">
      <c r="A21" s="84"/>
      <c r="B21" s="1467"/>
      <c r="C21" s="325" t="s">
        <v>1968</v>
      </c>
      <c r="D21" s="265"/>
      <c r="E21" s="301"/>
      <c r="F21" s="325" t="s">
        <v>2208</v>
      </c>
      <c r="G21" s="325" t="s">
        <v>2047</v>
      </c>
      <c r="H21" s="325" t="s">
        <v>2047</v>
      </c>
      <c r="I21" s="325" t="s">
        <v>2047</v>
      </c>
      <c r="J21" s="325" t="s">
        <v>1985</v>
      </c>
      <c r="K21" s="301"/>
    </row>
    <row r="22" spans="1:19" ht="24.6" customHeight="1">
      <c r="A22" s="84"/>
      <c r="B22" s="397" t="s">
        <v>1973</v>
      </c>
      <c r="C22" s="125" t="s">
        <v>1974</v>
      </c>
      <c r="D22" s="265"/>
      <c r="E22" s="301"/>
      <c r="F22" s="301"/>
      <c r="G22" s="301"/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10</v>
      </c>
      <c r="F23" s="175">
        <f t="shared" ref="F23:K23" si="1">E23+1</f>
        <v>11</v>
      </c>
      <c r="G23" s="175">
        <f t="shared" si="1"/>
        <v>12</v>
      </c>
      <c r="H23" s="175">
        <f t="shared" si="1"/>
        <v>13</v>
      </c>
      <c r="I23" s="175">
        <f t="shared" si="1"/>
        <v>14</v>
      </c>
      <c r="J23" s="175">
        <f t="shared" si="1"/>
        <v>15</v>
      </c>
      <c r="K23" s="175">
        <f t="shared" si="1"/>
        <v>16</v>
      </c>
      <c r="M23" s="1453"/>
      <c r="N23" s="1453"/>
      <c r="O23" s="1453"/>
    </row>
    <row r="24" spans="1:19" ht="24.6" customHeight="1">
      <c r="A24" s="84"/>
      <c r="B24" s="1467" t="s">
        <v>1966</v>
      </c>
      <c r="C24" s="324" t="s">
        <v>1970</v>
      </c>
      <c r="D24" s="265"/>
      <c r="E24" s="396"/>
      <c r="F24" s="396"/>
      <c r="G24" s="324" t="s">
        <v>2288</v>
      </c>
      <c r="H24" s="396"/>
      <c r="I24" s="324" t="s">
        <v>2018</v>
      </c>
      <c r="J24" s="396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415" t="s">
        <v>2291</v>
      </c>
      <c r="G25" s="447"/>
      <c r="H25" s="451"/>
      <c r="I25" s="447"/>
      <c r="J25" s="415" t="s">
        <v>2292</v>
      </c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1964</v>
      </c>
      <c r="D26" s="265"/>
      <c r="E26" s="396"/>
      <c r="F26" s="451"/>
      <c r="G26" s="451"/>
      <c r="H26" s="451"/>
      <c r="I26" s="447"/>
      <c r="J26" s="447"/>
      <c r="K26" s="452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1968</v>
      </c>
      <c r="D27" s="265"/>
      <c r="E27" s="396"/>
      <c r="F27" s="396"/>
      <c r="G27" s="396"/>
      <c r="H27" s="446"/>
      <c r="I27" s="446"/>
      <c r="J27" s="396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1969</v>
      </c>
      <c r="C28" s="324" t="s">
        <v>1970</v>
      </c>
      <c r="D28" s="265"/>
      <c r="E28" s="396"/>
      <c r="F28" s="396"/>
      <c r="G28" s="396"/>
      <c r="H28" s="450"/>
      <c r="I28" s="450"/>
      <c r="J28" s="446"/>
      <c r="K28" s="446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1971</v>
      </c>
      <c r="D29" s="265"/>
      <c r="E29" s="396"/>
      <c r="F29" s="412" t="s">
        <v>2272</v>
      </c>
      <c r="G29" s="1522" t="s">
        <v>2270</v>
      </c>
      <c r="H29" s="1523"/>
      <c r="I29" s="1523" t="s">
        <v>2218</v>
      </c>
      <c r="J29" s="1545"/>
      <c r="K29" s="44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1968</v>
      </c>
      <c r="D30" s="265"/>
      <c r="E30" s="396"/>
      <c r="F30" s="325" t="s">
        <v>1985</v>
      </c>
      <c r="G30" s="325" t="s">
        <v>1496</v>
      </c>
      <c r="H30" s="325" t="s">
        <v>1496</v>
      </c>
      <c r="I30" s="325" t="s">
        <v>1496</v>
      </c>
      <c r="J30" s="325" t="s">
        <v>2209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1973</v>
      </c>
      <c r="C31" s="125" t="s">
        <v>1974</v>
      </c>
      <c r="D31" s="265"/>
      <c r="E31" s="396"/>
      <c r="F31" s="396"/>
      <c r="G31" s="396"/>
      <c r="H31" s="396"/>
      <c r="I31" s="396"/>
      <c r="J31" s="396"/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17</v>
      </c>
      <c r="F32" s="304">
        <f t="shared" ref="F32:K32" si="2">E32+1</f>
        <v>18</v>
      </c>
      <c r="G32" s="304">
        <f t="shared" si="2"/>
        <v>19</v>
      </c>
      <c r="H32" s="304">
        <f t="shared" si="2"/>
        <v>20</v>
      </c>
      <c r="I32" s="304">
        <f t="shared" si="2"/>
        <v>21</v>
      </c>
      <c r="J32" s="304">
        <f t="shared" si="2"/>
        <v>22</v>
      </c>
      <c r="K32" s="65">
        <f t="shared" si="2"/>
        <v>23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1970</v>
      </c>
      <c r="D33" s="265"/>
      <c r="E33" s="301"/>
      <c r="F33" s="301"/>
      <c r="G33" s="324" t="s">
        <v>2015</v>
      </c>
      <c r="H33" s="301"/>
      <c r="I33" s="301"/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415" t="s">
        <v>2293</v>
      </c>
      <c r="G34" s="301"/>
      <c r="H34" s="415" t="s">
        <v>2294</v>
      </c>
      <c r="I34" s="1612" t="s">
        <v>2295</v>
      </c>
      <c r="J34" s="1611"/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1964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1968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1969</v>
      </c>
      <c r="C37" s="324" t="s">
        <v>1970</v>
      </c>
      <c r="D37" s="265"/>
      <c r="E37" s="301"/>
      <c r="F37" s="301"/>
      <c r="G37" s="301"/>
      <c r="H37" s="301"/>
      <c r="I37" s="1506" t="s">
        <v>1925</v>
      </c>
      <c r="J37" s="1507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1971</v>
      </c>
      <c r="D38" s="265"/>
      <c r="E38" s="301"/>
      <c r="F38" s="412" t="s">
        <v>2275</v>
      </c>
      <c r="G38" s="412" t="s">
        <v>2276</v>
      </c>
      <c r="H38" s="454" t="s">
        <v>2302</v>
      </c>
      <c r="I38" s="412" t="s">
        <v>2305</v>
      </c>
      <c r="J38" s="243" t="s">
        <v>2308</v>
      </c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265"/>
      <c r="E39" s="301"/>
      <c r="F39" s="325" t="s">
        <v>2209</v>
      </c>
      <c r="G39" s="325" t="s">
        <v>2210</v>
      </c>
      <c r="H39" s="325" t="s">
        <v>2210</v>
      </c>
      <c r="I39" s="325" t="s">
        <v>2210</v>
      </c>
      <c r="J39" s="325" t="s">
        <v>2211</v>
      </c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97" t="s">
        <v>1973</v>
      </c>
      <c r="C40" s="125" t="s">
        <v>1974</v>
      </c>
      <c r="D40" s="265"/>
      <c r="E40" s="345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6">
        <f>K32+1</f>
        <v>24</v>
      </c>
      <c r="F41" s="175">
        <f t="shared" ref="F41:K41" si="3">E41+1</f>
        <v>25</v>
      </c>
      <c r="G41" s="175">
        <f t="shared" si="3"/>
        <v>26</v>
      </c>
      <c r="H41" s="175">
        <f t="shared" si="3"/>
        <v>27</v>
      </c>
      <c r="I41" s="175">
        <f t="shared" si="3"/>
        <v>28</v>
      </c>
      <c r="J41" s="175">
        <f t="shared" si="3"/>
        <v>29</v>
      </c>
      <c r="K41" s="175">
        <f t="shared" si="3"/>
        <v>30</v>
      </c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1966</v>
      </c>
      <c r="C42" s="324" t="s">
        <v>1970</v>
      </c>
      <c r="D42" s="265"/>
      <c r="E42" s="396"/>
      <c r="F42" s="396"/>
      <c r="G42" s="419" t="s">
        <v>2348</v>
      </c>
      <c r="H42" s="419" t="s">
        <v>2311</v>
      </c>
      <c r="I42" s="419" t="s">
        <v>2312</v>
      </c>
      <c r="J42" s="396"/>
      <c r="K42" s="396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265"/>
      <c r="E43" s="396"/>
      <c r="F43" s="1610" t="s">
        <v>2290</v>
      </c>
      <c r="G43" s="1611"/>
      <c r="H43" s="455"/>
      <c r="I43" s="451"/>
      <c r="J43" s="446"/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1964</v>
      </c>
      <c r="D44" s="265"/>
      <c r="E44" s="396"/>
      <c r="F44" s="396"/>
      <c r="G44" s="396"/>
      <c r="H44" s="396"/>
      <c r="I44" s="396"/>
      <c r="J44" s="396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1968</v>
      </c>
      <c r="D45" s="265"/>
      <c r="E45" s="396"/>
      <c r="F45" s="396"/>
      <c r="G45" s="396"/>
      <c r="H45" s="457"/>
      <c r="I45" s="396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1969</v>
      </c>
      <c r="C46" s="324" t="s">
        <v>1970</v>
      </c>
      <c r="D46" s="265"/>
      <c r="E46" s="396"/>
      <c r="F46" s="1506" t="s">
        <v>2019</v>
      </c>
      <c r="G46" s="1507"/>
      <c r="H46" s="396"/>
      <c r="I46" s="1506" t="s">
        <v>2020</v>
      </c>
      <c r="J46" s="1507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1971</v>
      </c>
      <c r="D47" s="265"/>
      <c r="E47" s="396"/>
      <c r="F47" s="1522" t="s">
        <v>2297</v>
      </c>
      <c r="G47" s="1545"/>
      <c r="H47" s="458" t="s">
        <v>2301</v>
      </c>
      <c r="I47" s="1591" t="s">
        <v>2307</v>
      </c>
      <c r="J47" s="1590"/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1968</v>
      </c>
      <c r="D48" s="265"/>
      <c r="E48" s="396"/>
      <c r="F48" s="325" t="s">
        <v>2211</v>
      </c>
      <c r="G48" s="426"/>
      <c r="H48" s="426"/>
      <c r="I48" s="426"/>
      <c r="J48" s="426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97" t="s">
        <v>1973</v>
      </c>
      <c r="C49" s="125" t="s">
        <v>1974</v>
      </c>
      <c r="D49" s="265"/>
      <c r="E49" s="396"/>
      <c r="F49" s="396"/>
      <c r="G49" s="396"/>
      <c r="H49" s="457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</sheetData>
  <mergeCells count="23">
    <mergeCell ref="B19:B21"/>
    <mergeCell ref="H20:I20"/>
    <mergeCell ref="I34:J34"/>
    <mergeCell ref="G29:H29"/>
    <mergeCell ref="I29:J29"/>
    <mergeCell ref="E3:G3"/>
    <mergeCell ref="H3:K3"/>
    <mergeCell ref="B6:B9"/>
    <mergeCell ref="B10:B12"/>
    <mergeCell ref="B15:B18"/>
    <mergeCell ref="M23:O23"/>
    <mergeCell ref="B24:B27"/>
    <mergeCell ref="B28:B30"/>
    <mergeCell ref="B37:B39"/>
    <mergeCell ref="B42:B45"/>
    <mergeCell ref="B33:B36"/>
    <mergeCell ref="B46:B48"/>
    <mergeCell ref="I37:J37"/>
    <mergeCell ref="F46:G46"/>
    <mergeCell ref="I46:J46"/>
    <mergeCell ref="F43:G43"/>
    <mergeCell ref="F47:G47"/>
    <mergeCell ref="I47:J47"/>
  </mergeCells>
  <phoneticPr fontId="6" type="noConversion"/>
  <pageMargins left="0.7" right="0.7" top="0.75" bottom="0.75" header="0.3" footer="0.3"/>
  <pageSetup paperSize="9" scale="40" orientation="landscape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0">
    <pageSetUpPr fitToPage="1"/>
  </sheetPr>
  <dimension ref="A1:S49"/>
  <sheetViews>
    <sheetView topLeftCell="C16" zoomScale="70" zoomScaleNormal="70" workbookViewId="0">
      <selection activeCell="F46" sqref="F46:G4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44774</v>
      </c>
      <c r="F3" s="1450"/>
      <c r="G3" s="1450"/>
      <c r="H3" s="1451" t="s">
        <v>1940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>
        <v>1</v>
      </c>
      <c r="G5" s="175">
        <v>2</v>
      </c>
      <c r="H5" s="175">
        <f>G5+1</f>
        <v>3</v>
      </c>
      <c r="I5" s="175">
        <f>H5+1</f>
        <v>4</v>
      </c>
      <c r="J5" s="175">
        <f>I5+1</f>
        <v>5</v>
      </c>
      <c r="K5" s="175">
        <f>J5+1</f>
        <v>6</v>
      </c>
      <c r="L5" s="90"/>
      <c r="M5" s="90"/>
      <c r="N5" s="90"/>
      <c r="R5" s="11"/>
      <c r="S5" s="90"/>
    </row>
    <row r="6" spans="1:19" s="5" customFormat="1" ht="24.6" customHeight="1">
      <c r="B6" s="1467" t="s">
        <v>1981</v>
      </c>
      <c r="C6" s="324" t="s">
        <v>1982</v>
      </c>
      <c r="D6" s="265"/>
      <c r="E6" s="396"/>
      <c r="F6" s="396"/>
      <c r="G6" s="457"/>
      <c r="H6" s="457"/>
      <c r="I6" s="457"/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396"/>
      <c r="J7" s="396"/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1943</v>
      </c>
      <c r="D8" s="265"/>
      <c r="E8" s="396"/>
      <c r="F8" s="396"/>
      <c r="G8" s="396"/>
      <c r="H8" s="446"/>
      <c r="I8" s="44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1983</v>
      </c>
      <c r="D9" s="265"/>
      <c r="E9" s="396"/>
      <c r="F9" s="396"/>
      <c r="G9" s="396"/>
      <c r="H9" s="396"/>
      <c r="I9" s="396"/>
      <c r="J9" s="396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1952</v>
      </c>
      <c r="C10" s="324" t="s">
        <v>1982</v>
      </c>
      <c r="D10" s="265"/>
      <c r="E10" s="396"/>
      <c r="F10" s="396"/>
      <c r="G10" s="455"/>
      <c r="H10" s="453"/>
      <c r="I10" s="1540" t="s">
        <v>2223</v>
      </c>
      <c r="J10" s="1541"/>
      <c r="K10" s="396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1984</v>
      </c>
      <c r="D11" s="265"/>
      <c r="E11" s="396"/>
      <c r="F11" s="360" t="s">
        <v>2318</v>
      </c>
      <c r="G11" s="412" t="s">
        <v>2278</v>
      </c>
      <c r="H11" s="1610" t="s">
        <v>2317</v>
      </c>
      <c r="I11" s="1611"/>
      <c r="J11" s="243" t="s">
        <v>2306</v>
      </c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1983</v>
      </c>
      <c r="D12" s="265"/>
      <c r="E12" s="396"/>
      <c r="F12" s="427"/>
      <c r="G12" s="427"/>
      <c r="H12" s="427"/>
      <c r="I12" s="427"/>
      <c r="J12" s="427"/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1986</v>
      </c>
      <c r="C13" s="125" t="s">
        <v>1987</v>
      </c>
      <c r="D13" s="265"/>
      <c r="E13" s="396"/>
      <c r="F13" s="396"/>
      <c r="G13" s="396"/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7</v>
      </c>
      <c r="F14" s="65">
        <f t="shared" ref="F14:K14" si="0">E14+1</f>
        <v>8</v>
      </c>
      <c r="G14" s="65">
        <f t="shared" si="0"/>
        <v>9</v>
      </c>
      <c r="H14" s="65">
        <f t="shared" si="0"/>
        <v>10</v>
      </c>
      <c r="I14" s="65">
        <f t="shared" si="0"/>
        <v>11</v>
      </c>
      <c r="J14" s="65">
        <f t="shared" si="0"/>
        <v>12</v>
      </c>
      <c r="K14" s="65">
        <f t="shared" si="0"/>
        <v>13</v>
      </c>
    </row>
    <row r="15" spans="1:19" ht="24.6" customHeight="1">
      <c r="A15" s="84"/>
      <c r="B15" s="1467" t="s">
        <v>1951</v>
      </c>
      <c r="C15" s="324" t="s">
        <v>1946</v>
      </c>
      <c r="D15" s="265"/>
      <c r="E15" s="301"/>
      <c r="F15" s="301"/>
      <c r="G15" s="419" t="s">
        <v>2315</v>
      </c>
      <c r="H15" s="354" t="s">
        <v>2316</v>
      </c>
      <c r="I15" s="354" t="s">
        <v>2320</v>
      </c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1610" t="s">
        <v>2296</v>
      </c>
      <c r="G16" s="1611"/>
      <c r="H16" s="301"/>
      <c r="I16" s="301"/>
      <c r="J16" s="301"/>
      <c r="K16" s="301"/>
    </row>
    <row r="17" spans="1:19" ht="24.6" customHeight="1">
      <c r="A17" s="84"/>
      <c r="B17" s="1467"/>
      <c r="C17" s="163" t="s">
        <v>1943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1944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1952</v>
      </c>
      <c r="C19" s="456" t="s">
        <v>1946</v>
      </c>
      <c r="D19" s="265"/>
      <c r="E19" s="301"/>
      <c r="F19" s="1556" t="s">
        <v>2313</v>
      </c>
      <c r="G19" s="1557"/>
      <c r="H19" s="301"/>
      <c r="I19" s="1556" t="s">
        <v>2343</v>
      </c>
      <c r="J19" s="1557"/>
      <c r="K19" s="301"/>
    </row>
    <row r="20" spans="1:19" ht="24" customHeight="1">
      <c r="A20" s="84"/>
      <c r="B20" s="1467"/>
      <c r="C20" s="290" t="s">
        <v>1947</v>
      </c>
      <c r="D20" s="265"/>
      <c r="E20" s="301"/>
      <c r="F20" s="360" t="s">
        <v>2319</v>
      </c>
      <c r="G20" s="1523" t="s">
        <v>2309</v>
      </c>
      <c r="H20" s="1523"/>
      <c r="I20" s="1561" t="s">
        <v>2324</v>
      </c>
      <c r="J20" s="1510"/>
      <c r="K20" s="301"/>
    </row>
    <row r="21" spans="1:19" ht="24" customHeight="1">
      <c r="A21" s="84"/>
      <c r="B21" s="1467"/>
      <c r="C21" s="325" t="s">
        <v>1944</v>
      </c>
      <c r="D21" s="265"/>
      <c r="E21" s="301"/>
      <c r="F21" s="325" t="s">
        <v>2048</v>
      </c>
      <c r="G21" s="325" t="s">
        <v>2048</v>
      </c>
      <c r="H21" s="325" t="s">
        <v>2049</v>
      </c>
      <c r="I21" s="325" t="s">
        <v>2050</v>
      </c>
      <c r="J21" s="325" t="s">
        <v>2051</v>
      </c>
      <c r="K21" s="301"/>
    </row>
    <row r="22" spans="1:19" ht="24.6" customHeight="1">
      <c r="A22" s="84"/>
      <c r="B22" s="397" t="s">
        <v>1953</v>
      </c>
      <c r="C22" s="125" t="s">
        <v>1954</v>
      </c>
      <c r="D22" s="265"/>
      <c r="E22" s="301"/>
      <c r="F22" s="301"/>
      <c r="G22" s="301"/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14</v>
      </c>
      <c r="F23" s="175">
        <f t="shared" ref="F23:K23" si="1">E23+1</f>
        <v>15</v>
      </c>
      <c r="G23" s="175">
        <f t="shared" si="1"/>
        <v>16</v>
      </c>
      <c r="H23" s="175">
        <f t="shared" si="1"/>
        <v>17</v>
      </c>
      <c r="I23" s="175">
        <f t="shared" si="1"/>
        <v>18</v>
      </c>
      <c r="J23" s="175">
        <f t="shared" si="1"/>
        <v>19</v>
      </c>
      <c r="K23" s="175">
        <f t="shared" si="1"/>
        <v>20</v>
      </c>
      <c r="M23" s="1453"/>
      <c r="N23" s="1453"/>
      <c r="O23" s="1453"/>
    </row>
    <row r="24" spans="1:19" ht="24.6" customHeight="1">
      <c r="A24" s="84"/>
      <c r="B24" s="1467" t="s">
        <v>1951</v>
      </c>
      <c r="C24" s="324" t="s">
        <v>1946</v>
      </c>
      <c r="D24" s="265"/>
      <c r="E24" s="396"/>
      <c r="F24" s="396"/>
      <c r="G24" s="463"/>
      <c r="H24" s="419" t="s">
        <v>2351</v>
      </c>
      <c r="I24" s="419" t="s">
        <v>2352</v>
      </c>
      <c r="J24" s="354" t="s">
        <v>2322</v>
      </c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396"/>
      <c r="G25" s="396"/>
      <c r="H25" s="396"/>
      <c r="I25" s="396"/>
      <c r="J25" s="460"/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1943</v>
      </c>
      <c r="D26" s="265"/>
      <c r="E26" s="396"/>
      <c r="F26" s="396"/>
      <c r="G26" s="459"/>
      <c r="H26" s="459"/>
      <c r="I26" s="396"/>
      <c r="J26" s="396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1944</v>
      </c>
      <c r="D27" s="265"/>
      <c r="E27" s="396"/>
      <c r="F27" s="396"/>
      <c r="G27" s="396"/>
      <c r="H27" s="396"/>
      <c r="I27" s="396"/>
      <c r="J27" s="462"/>
      <c r="K27" s="462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1952</v>
      </c>
      <c r="C28" s="456" t="s">
        <v>1946</v>
      </c>
      <c r="D28" s="265"/>
      <c r="E28" s="396"/>
      <c r="F28" s="1556" t="s">
        <v>2314</v>
      </c>
      <c r="G28" s="1557"/>
      <c r="H28" s="1556" t="s">
        <v>2323</v>
      </c>
      <c r="I28" s="1557"/>
      <c r="J28" s="1556" t="s">
        <v>2321</v>
      </c>
      <c r="K28" s="1557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1947</v>
      </c>
      <c r="D29" s="265"/>
      <c r="E29" s="396"/>
      <c r="F29" s="396"/>
      <c r="G29" s="1522" t="s">
        <v>2310</v>
      </c>
      <c r="H29" s="1545"/>
      <c r="I29" s="1522" t="s">
        <v>2285</v>
      </c>
      <c r="J29" s="1523"/>
      <c r="K29" s="39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1944</v>
      </c>
      <c r="D30" s="265"/>
      <c r="E30" s="396"/>
      <c r="F30" s="396"/>
      <c r="G30" s="325" t="s">
        <v>2052</v>
      </c>
      <c r="H30" s="325" t="s">
        <v>2052</v>
      </c>
      <c r="I30" s="325" t="s">
        <v>2219</v>
      </c>
      <c r="J30" s="325" t="s">
        <v>2220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1953</v>
      </c>
      <c r="C31" s="125" t="s">
        <v>1954</v>
      </c>
      <c r="D31" s="265"/>
      <c r="E31" s="396"/>
      <c r="F31" s="386" t="s">
        <v>1988</v>
      </c>
      <c r="G31" s="396"/>
      <c r="H31" s="396"/>
      <c r="I31" s="396"/>
      <c r="J31" s="396"/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21</v>
      </c>
      <c r="F32" s="304">
        <f t="shared" ref="F32:K32" si="2">E32+1</f>
        <v>22</v>
      </c>
      <c r="G32" s="304">
        <f t="shared" si="2"/>
        <v>23</v>
      </c>
      <c r="H32" s="304">
        <f t="shared" si="2"/>
        <v>24</v>
      </c>
      <c r="I32" s="304">
        <f t="shared" si="2"/>
        <v>25</v>
      </c>
      <c r="J32" s="304">
        <f t="shared" si="2"/>
        <v>26</v>
      </c>
      <c r="K32" s="65">
        <f t="shared" si="2"/>
        <v>27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1951</v>
      </c>
      <c r="C33" s="324" t="s">
        <v>1946</v>
      </c>
      <c r="D33" s="265"/>
      <c r="E33" s="301"/>
      <c r="F33" s="419" t="s">
        <v>2380</v>
      </c>
      <c r="G33" s="419" t="s">
        <v>2325</v>
      </c>
      <c r="H33" s="354" t="s">
        <v>2326</v>
      </c>
      <c r="I33" s="354" t="s">
        <v>2327</v>
      </c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301"/>
      <c r="G34" s="301"/>
      <c r="H34" s="301"/>
      <c r="I34" s="301"/>
      <c r="J34" s="301"/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1943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1944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1952</v>
      </c>
      <c r="C37" s="456" t="s">
        <v>1946</v>
      </c>
      <c r="D37" s="265"/>
      <c r="E37" s="301"/>
      <c r="F37" s="1556" t="s">
        <v>2330</v>
      </c>
      <c r="G37" s="1557"/>
      <c r="H37" s="1556" t="s">
        <v>2331</v>
      </c>
      <c r="I37" s="1557"/>
      <c r="J37" s="1556" t="s">
        <v>2334</v>
      </c>
      <c r="K37" s="1557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1947</v>
      </c>
      <c r="D38" s="265"/>
      <c r="E38" s="301"/>
      <c r="F38" s="1522" t="s">
        <v>2283</v>
      </c>
      <c r="G38" s="1545"/>
      <c r="H38" s="1522" t="s">
        <v>2339</v>
      </c>
      <c r="I38" s="1523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1944</v>
      </c>
      <c r="D39" s="265"/>
      <c r="E39" s="301"/>
      <c r="F39" s="325" t="s">
        <v>2221</v>
      </c>
      <c r="G39" s="325" t="s">
        <v>2053</v>
      </c>
      <c r="H39" s="325" t="s">
        <v>2053</v>
      </c>
      <c r="I39" s="325" t="s">
        <v>2054</v>
      </c>
      <c r="J39" s="325" t="s">
        <v>2055</v>
      </c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97" t="s">
        <v>1953</v>
      </c>
      <c r="C40" s="125" t="s">
        <v>1954</v>
      </c>
      <c r="D40" s="265"/>
      <c r="E40" s="345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6">
        <f>K32+1</f>
        <v>28</v>
      </c>
      <c r="F41" s="175">
        <f>E41+1</f>
        <v>29</v>
      </c>
      <c r="G41" s="175">
        <f>F41+1</f>
        <v>30</v>
      </c>
      <c r="H41" s="175">
        <f>G41+1</f>
        <v>31</v>
      </c>
      <c r="I41" s="175"/>
      <c r="J41" s="175"/>
      <c r="K41" s="175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1951</v>
      </c>
      <c r="C42" s="324" t="s">
        <v>1946</v>
      </c>
      <c r="D42" s="265"/>
      <c r="E42" s="396"/>
      <c r="F42" s="396"/>
      <c r="G42" s="354" t="s">
        <v>2341</v>
      </c>
      <c r="H42" s="354" t="s">
        <v>2342</v>
      </c>
      <c r="I42" s="396"/>
      <c r="J42" s="396"/>
      <c r="K42" s="396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265"/>
      <c r="E43" s="396"/>
      <c r="F43" s="417" t="s">
        <v>2349</v>
      </c>
      <c r="G43" s="396"/>
      <c r="H43" s="396"/>
      <c r="I43" s="396"/>
      <c r="J43" s="396"/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1943</v>
      </c>
      <c r="D44" s="265"/>
      <c r="E44" s="396"/>
      <c r="F44" s="396"/>
      <c r="G44" s="396"/>
      <c r="H44" s="396"/>
      <c r="I44" s="396"/>
      <c r="J44" s="396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1944</v>
      </c>
      <c r="D45" s="265"/>
      <c r="E45" s="396"/>
      <c r="F45" s="396"/>
      <c r="G45" s="396"/>
      <c r="H45" s="401"/>
      <c r="I45" s="401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1952</v>
      </c>
      <c r="C46" s="324" t="s">
        <v>1946</v>
      </c>
      <c r="D46" s="265"/>
      <c r="E46" s="396"/>
      <c r="F46" s="1556" t="s">
        <v>2335</v>
      </c>
      <c r="G46" s="1557"/>
      <c r="H46" s="1556" t="s">
        <v>2337</v>
      </c>
      <c r="I46" s="1557"/>
      <c r="J46" s="396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1947</v>
      </c>
      <c r="D47" s="265"/>
      <c r="E47" s="396"/>
      <c r="F47" s="1522" t="s">
        <v>2353</v>
      </c>
      <c r="G47" s="1523"/>
      <c r="H47" s="243" t="s">
        <v>2328</v>
      </c>
      <c r="I47" s="464"/>
      <c r="J47" s="396"/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1944</v>
      </c>
      <c r="D48" s="265"/>
      <c r="E48" s="396"/>
      <c r="F48" s="325" t="s">
        <v>2056</v>
      </c>
      <c r="G48" s="325" t="s">
        <v>2057</v>
      </c>
      <c r="H48" s="325" t="s">
        <v>2222</v>
      </c>
      <c r="I48" s="396"/>
      <c r="J48" s="396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97" t="s">
        <v>1953</v>
      </c>
      <c r="C49" s="125" t="s">
        <v>1954</v>
      </c>
      <c r="D49" s="265"/>
      <c r="E49" s="396"/>
      <c r="F49" s="396"/>
      <c r="G49" s="396"/>
      <c r="H49" s="396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</sheetData>
  <mergeCells count="33">
    <mergeCell ref="M23:O23"/>
    <mergeCell ref="B24:B27"/>
    <mergeCell ref="E3:G3"/>
    <mergeCell ref="H3:K3"/>
    <mergeCell ref="B6:B9"/>
    <mergeCell ref="B10:B12"/>
    <mergeCell ref="I10:J10"/>
    <mergeCell ref="F19:G19"/>
    <mergeCell ref="B15:B18"/>
    <mergeCell ref="B19:B21"/>
    <mergeCell ref="H11:I11"/>
    <mergeCell ref="F16:G16"/>
    <mergeCell ref="G20:H20"/>
    <mergeCell ref="I20:J20"/>
    <mergeCell ref="B42:B45"/>
    <mergeCell ref="B46:B48"/>
    <mergeCell ref="F46:G46"/>
    <mergeCell ref="B37:B39"/>
    <mergeCell ref="F37:G37"/>
    <mergeCell ref="F38:G38"/>
    <mergeCell ref="F47:G47"/>
    <mergeCell ref="H46:I46"/>
    <mergeCell ref="F28:G28"/>
    <mergeCell ref="G29:H29"/>
    <mergeCell ref="I29:J29"/>
    <mergeCell ref="J28:K28"/>
    <mergeCell ref="H28:I28"/>
    <mergeCell ref="H38:I38"/>
    <mergeCell ref="B33:B36"/>
    <mergeCell ref="B28:B30"/>
    <mergeCell ref="J37:K37"/>
    <mergeCell ref="H37:I37"/>
    <mergeCell ref="I19:J19"/>
  </mergeCells>
  <phoneticPr fontId="6" type="noConversion"/>
  <pageMargins left="0.7" right="0.7" top="0.75" bottom="0.75" header="0.3" footer="0.3"/>
  <pageSetup paperSize="9" scale="40" orientation="landscape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1">
    <pageSetUpPr fitToPage="1"/>
  </sheetPr>
  <dimension ref="A1:S54"/>
  <sheetViews>
    <sheetView topLeftCell="A25" zoomScale="70" zoomScaleNormal="70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44805</v>
      </c>
      <c r="F3" s="1450"/>
      <c r="G3" s="1450"/>
      <c r="H3" s="1451" t="s">
        <v>1965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>
        <v>1</v>
      </c>
      <c r="J5" s="175">
        <f>I5+1</f>
        <v>2</v>
      </c>
      <c r="K5" s="175">
        <f>J5+1</f>
        <v>3</v>
      </c>
      <c r="L5" s="90"/>
      <c r="M5" s="90"/>
      <c r="N5" s="90"/>
      <c r="R5" s="11"/>
      <c r="S5" s="90"/>
    </row>
    <row r="6" spans="1:19" s="5" customFormat="1" ht="24.6" customHeight="1">
      <c r="B6" s="1467" t="s">
        <v>1966</v>
      </c>
      <c r="C6" s="324" t="s">
        <v>1970</v>
      </c>
      <c r="D6" s="265"/>
      <c r="E6" s="396"/>
      <c r="F6" s="396"/>
      <c r="G6" s="396"/>
      <c r="H6" s="396"/>
      <c r="I6" s="354" t="s">
        <v>2340</v>
      </c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396"/>
      <c r="J7" s="419" t="s">
        <v>2350</v>
      </c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1964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1968</v>
      </c>
      <c r="D9" s="265"/>
      <c r="E9" s="396"/>
      <c r="F9" s="396"/>
      <c r="G9" s="396"/>
      <c r="H9" s="396"/>
      <c r="I9" s="396"/>
      <c r="J9" s="396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1969</v>
      </c>
      <c r="C10" s="1609" t="s">
        <v>1970</v>
      </c>
      <c r="D10" s="265"/>
      <c r="E10" s="396"/>
      <c r="F10" s="396"/>
      <c r="G10" s="396"/>
      <c r="H10" s="396"/>
      <c r="I10" s="461"/>
      <c r="J10" s="1613" t="s">
        <v>2379</v>
      </c>
      <c r="K10" s="1614"/>
      <c r="L10" s="90"/>
      <c r="M10" s="90"/>
      <c r="N10" s="90"/>
      <c r="R10" s="11"/>
      <c r="S10" s="90"/>
    </row>
    <row r="11" spans="1:19" s="5" customFormat="1" ht="24.6" customHeight="1">
      <c r="B11" s="1467"/>
      <c r="C11" s="1609"/>
      <c r="D11" s="265"/>
      <c r="E11" s="401"/>
      <c r="F11" s="401"/>
      <c r="G11" s="401"/>
      <c r="H11" s="401"/>
      <c r="I11" s="401"/>
      <c r="J11" s="401"/>
      <c r="K11" s="401"/>
      <c r="L11" s="90"/>
      <c r="M11" s="90"/>
      <c r="N11" s="90"/>
      <c r="R11" s="11"/>
      <c r="S11" s="90"/>
    </row>
    <row r="12" spans="1:19" s="5" customFormat="1" ht="24.6" customHeight="1">
      <c r="B12" s="1467"/>
      <c r="C12" s="290" t="s">
        <v>1971</v>
      </c>
      <c r="D12" s="265"/>
      <c r="E12" s="396"/>
      <c r="F12" s="396"/>
      <c r="G12" s="396"/>
      <c r="H12" s="396"/>
      <c r="I12" s="360" t="s">
        <v>2328</v>
      </c>
      <c r="J12" s="417" t="s">
        <v>2354</v>
      </c>
      <c r="K12" s="465"/>
      <c r="L12" s="90"/>
      <c r="M12" s="90"/>
      <c r="N12" s="90"/>
      <c r="R12" s="11"/>
      <c r="S12" s="90"/>
    </row>
    <row r="13" spans="1:19" s="5" customFormat="1" ht="24.6" customHeight="1">
      <c r="B13" s="1467"/>
      <c r="C13" s="325" t="s">
        <v>1968</v>
      </c>
      <c r="D13" s="265"/>
      <c r="E13" s="396"/>
      <c r="F13" s="396"/>
      <c r="G13" s="396"/>
      <c r="H13" s="396"/>
      <c r="I13" s="325" t="s">
        <v>2058</v>
      </c>
      <c r="J13" s="325" t="s">
        <v>2233</v>
      </c>
      <c r="K13" s="396"/>
      <c r="L13" s="90"/>
      <c r="M13" s="90"/>
      <c r="N13" s="90"/>
      <c r="R13" s="11"/>
      <c r="S13" s="90"/>
    </row>
    <row r="14" spans="1:19" s="5" customFormat="1" ht="24.6" customHeight="1">
      <c r="B14" s="397" t="s">
        <v>317</v>
      </c>
      <c r="C14" s="125" t="s">
        <v>1974</v>
      </c>
      <c r="D14" s="265"/>
      <c r="E14" s="396"/>
      <c r="F14" s="396"/>
      <c r="G14" s="396"/>
      <c r="H14" s="396"/>
      <c r="I14" s="396"/>
      <c r="J14" s="396"/>
      <c r="K14" s="396"/>
      <c r="L14" s="90"/>
      <c r="M14" s="90"/>
      <c r="N14" s="90"/>
      <c r="R14" s="11"/>
      <c r="S14" s="90"/>
    </row>
    <row r="15" spans="1:19" ht="24.6" customHeight="1">
      <c r="A15" s="84"/>
      <c r="B15" s="84"/>
      <c r="C15" s="5"/>
      <c r="D15" s="5"/>
      <c r="E15" s="266">
        <f>K5+1</f>
        <v>4</v>
      </c>
      <c r="F15" s="65">
        <f t="shared" ref="F15:K15" si="0">E15+1</f>
        <v>5</v>
      </c>
      <c r="G15" s="65">
        <f t="shared" si="0"/>
        <v>6</v>
      </c>
      <c r="H15" s="65">
        <f t="shared" si="0"/>
        <v>7</v>
      </c>
      <c r="I15" s="65">
        <f t="shared" si="0"/>
        <v>8</v>
      </c>
      <c r="J15" s="65">
        <f t="shared" si="0"/>
        <v>9</v>
      </c>
      <c r="K15" s="65">
        <f t="shared" si="0"/>
        <v>10</v>
      </c>
    </row>
    <row r="16" spans="1:19" ht="24.6" customHeight="1">
      <c r="A16" s="84"/>
      <c r="B16" s="1467" t="s">
        <v>1966</v>
      </c>
      <c r="C16" s="324" t="s">
        <v>1970</v>
      </c>
      <c r="D16" s="265"/>
      <c r="E16" s="301"/>
      <c r="F16" s="419" t="s">
        <v>2356</v>
      </c>
      <c r="G16" s="354" t="s">
        <v>2357</v>
      </c>
      <c r="H16" s="301"/>
      <c r="I16" s="301"/>
      <c r="J16" s="301"/>
      <c r="K16" s="301"/>
    </row>
    <row r="17" spans="1:19" ht="24.6" customHeight="1">
      <c r="A17" s="84"/>
      <c r="B17" s="1467"/>
      <c r="C17" s="290" t="s">
        <v>7</v>
      </c>
      <c r="D17" s="265"/>
      <c r="E17" s="301"/>
      <c r="G17" s="301"/>
      <c r="H17" s="419" t="s">
        <v>2312</v>
      </c>
      <c r="I17" s="419" t="s">
        <v>2315</v>
      </c>
      <c r="J17" s="301"/>
      <c r="K17" s="301"/>
    </row>
    <row r="18" spans="1:19" ht="24.6" customHeight="1">
      <c r="A18" s="84"/>
      <c r="B18" s="1467"/>
      <c r="C18" s="163" t="s">
        <v>1964</v>
      </c>
      <c r="D18" s="265"/>
      <c r="E18" s="301"/>
      <c r="F18" s="301"/>
      <c r="G18" s="301"/>
      <c r="I18" s="301"/>
      <c r="J18" s="301"/>
      <c r="K18" s="301"/>
    </row>
    <row r="19" spans="1:19" ht="24.6" customHeight="1">
      <c r="A19" s="84"/>
      <c r="B19" s="1467"/>
      <c r="C19" s="325" t="s">
        <v>1968</v>
      </c>
      <c r="D19" s="265"/>
      <c r="E19" s="301"/>
      <c r="F19" s="301"/>
      <c r="G19" s="301"/>
      <c r="I19" s="301"/>
      <c r="J19" s="301"/>
      <c r="K19" s="301"/>
    </row>
    <row r="20" spans="1:19" ht="24.6" customHeight="1">
      <c r="A20" s="84"/>
      <c r="B20" s="1467" t="s">
        <v>1969</v>
      </c>
      <c r="C20" s="1609" t="s">
        <v>1970</v>
      </c>
      <c r="D20" s="265"/>
      <c r="E20" s="301"/>
      <c r="F20" s="1556" t="s">
        <v>2355</v>
      </c>
      <c r="G20" s="1557"/>
      <c r="H20" s="1540" t="s">
        <v>2378</v>
      </c>
      <c r="I20" s="1541"/>
      <c r="J20" s="301"/>
      <c r="K20" s="301"/>
    </row>
    <row r="21" spans="1:19" ht="24.6" customHeight="1">
      <c r="A21" s="84"/>
      <c r="B21" s="1467"/>
      <c r="C21" s="1609"/>
      <c r="D21" s="265"/>
      <c r="E21" s="301"/>
      <c r="F21" s="301"/>
      <c r="G21" s="301"/>
      <c r="H21" s="301"/>
      <c r="I21" s="301"/>
      <c r="J21" s="301"/>
      <c r="K21" s="301"/>
    </row>
    <row r="22" spans="1:19" ht="24" customHeight="1">
      <c r="A22" s="84"/>
      <c r="B22" s="1467"/>
      <c r="C22" s="290" t="s">
        <v>1971</v>
      </c>
      <c r="D22" s="265"/>
      <c r="E22" s="301"/>
      <c r="F22" s="1522" t="s">
        <v>2333</v>
      </c>
      <c r="G22" s="1523"/>
      <c r="H22" s="1522" t="s">
        <v>2332</v>
      </c>
      <c r="I22" s="1545"/>
      <c r="J22" s="301"/>
      <c r="K22" s="301"/>
    </row>
    <row r="23" spans="1:19" ht="24" customHeight="1">
      <c r="A23" s="84"/>
      <c r="B23" s="1467"/>
      <c r="C23" s="325" t="s">
        <v>1968</v>
      </c>
      <c r="D23" s="265"/>
      <c r="E23" s="301"/>
      <c r="F23" s="325" t="s">
        <v>2233</v>
      </c>
      <c r="G23" s="325" t="s">
        <v>2363</v>
      </c>
      <c r="H23" s="325" t="s">
        <v>2364</v>
      </c>
      <c r="I23" s="325" t="s">
        <v>2364</v>
      </c>
      <c r="J23" s="301"/>
      <c r="K23" s="301"/>
    </row>
    <row r="24" spans="1:19" ht="24.6" customHeight="1">
      <c r="A24" s="84"/>
      <c r="B24" s="397" t="s">
        <v>1973</v>
      </c>
      <c r="C24" s="125" t="s">
        <v>1974</v>
      </c>
      <c r="D24" s="265"/>
      <c r="E24" s="301"/>
      <c r="F24" s="301"/>
      <c r="G24" s="301"/>
      <c r="H24" s="301"/>
      <c r="I24" s="301"/>
      <c r="J24" s="386" t="s">
        <v>1989</v>
      </c>
      <c r="K24" s="386" t="s">
        <v>1989</v>
      </c>
    </row>
    <row r="25" spans="1:19" ht="24.6" customHeight="1">
      <c r="A25" s="84"/>
      <c r="B25" s="84"/>
      <c r="C25" s="5"/>
      <c r="D25" s="5"/>
      <c r="E25" s="26">
        <f>K15+1</f>
        <v>11</v>
      </c>
      <c r="F25" s="175">
        <f t="shared" ref="F25:K25" si="1">E25+1</f>
        <v>12</v>
      </c>
      <c r="G25" s="175">
        <f t="shared" si="1"/>
        <v>13</v>
      </c>
      <c r="H25" s="175">
        <f t="shared" si="1"/>
        <v>14</v>
      </c>
      <c r="I25" s="175">
        <f t="shared" si="1"/>
        <v>15</v>
      </c>
      <c r="J25" s="175">
        <f t="shared" si="1"/>
        <v>16</v>
      </c>
      <c r="K25" s="175">
        <f t="shared" si="1"/>
        <v>17</v>
      </c>
      <c r="M25" s="1453"/>
      <c r="N25" s="1453"/>
      <c r="O25" s="1453"/>
    </row>
    <row r="26" spans="1:19" ht="24.6" customHeight="1">
      <c r="A26" s="84"/>
      <c r="B26" s="1467" t="s">
        <v>1966</v>
      </c>
      <c r="C26" s="324" t="s">
        <v>1970</v>
      </c>
      <c r="D26" s="265"/>
      <c r="E26" s="396"/>
      <c r="F26" s="396"/>
      <c r="G26" s="396"/>
      <c r="H26" s="354" t="s">
        <v>2359</v>
      </c>
      <c r="I26" s="354" t="s">
        <v>2360</v>
      </c>
      <c r="J26" s="396"/>
      <c r="K26" s="396"/>
    </row>
    <row r="27" spans="1:19" ht="24.6" customHeight="1">
      <c r="A27" s="84"/>
      <c r="B27" s="1467"/>
      <c r="C27" s="290" t="s">
        <v>7</v>
      </c>
      <c r="D27" s="265"/>
      <c r="E27" s="396"/>
      <c r="F27" s="396"/>
      <c r="G27" s="396"/>
      <c r="H27" s="396"/>
      <c r="I27" s="396"/>
      <c r="J27" s="396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/>
      <c r="C28" s="163" t="s">
        <v>389</v>
      </c>
      <c r="D28" s="265"/>
      <c r="E28" s="396"/>
      <c r="F28" s="396"/>
      <c r="G28" s="396"/>
      <c r="H28" s="396"/>
      <c r="I28" s="396"/>
      <c r="J28" s="396"/>
      <c r="K28" s="396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325" t="s">
        <v>1968</v>
      </c>
      <c r="D29" s="265"/>
      <c r="E29" s="396"/>
      <c r="F29" s="396"/>
      <c r="G29" s="396"/>
      <c r="H29" s="468"/>
      <c r="I29" s="468"/>
      <c r="J29" s="471"/>
      <c r="K29" s="471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 t="s">
        <v>1969</v>
      </c>
      <c r="C30" s="1609" t="s">
        <v>1970</v>
      </c>
      <c r="D30" s="265"/>
      <c r="E30" s="396"/>
      <c r="F30" s="396"/>
      <c r="G30" s="396"/>
      <c r="H30" s="1556" t="s">
        <v>2362</v>
      </c>
      <c r="I30" s="1557"/>
      <c r="J30" s="1556" t="s">
        <v>2361</v>
      </c>
      <c r="K30" s="1557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1609"/>
      <c r="D31" s="265"/>
      <c r="E31" s="401"/>
      <c r="F31" s="401"/>
      <c r="G31" s="402"/>
      <c r="H31" s="401"/>
      <c r="I31" s="461"/>
      <c r="J31" s="461"/>
      <c r="K31" s="401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290" t="s">
        <v>1971</v>
      </c>
      <c r="D32" s="265"/>
      <c r="E32" s="396"/>
      <c r="F32" s="396"/>
      <c r="G32" s="1522" t="s">
        <v>2358</v>
      </c>
      <c r="H32" s="1545"/>
      <c r="I32" s="1522" t="s">
        <v>2345</v>
      </c>
      <c r="J32" s="1545"/>
      <c r="K32" s="396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325" t="s">
        <v>1968</v>
      </c>
      <c r="D33" s="265"/>
      <c r="E33" s="396"/>
      <c r="F33" s="396"/>
      <c r="G33" s="325" t="s">
        <v>2365</v>
      </c>
      <c r="H33" s="325" t="s">
        <v>2366</v>
      </c>
      <c r="I33" s="325" t="s">
        <v>2367</v>
      </c>
      <c r="J33" s="325" t="s">
        <v>2368</v>
      </c>
      <c r="K33" s="396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397" t="s">
        <v>1973</v>
      </c>
      <c r="C34" s="125" t="s">
        <v>1974</v>
      </c>
      <c r="D34" s="265"/>
      <c r="E34" s="386" t="s">
        <v>1989</v>
      </c>
      <c r="F34" s="386" t="s">
        <v>1990</v>
      </c>
      <c r="G34" s="396"/>
      <c r="H34" s="396"/>
      <c r="I34" s="396"/>
      <c r="J34" s="396"/>
      <c r="K34" s="396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66">
        <f>K25+1</f>
        <v>18</v>
      </c>
      <c r="F35" s="304">
        <f t="shared" ref="F35:K35" si="2">E35+1</f>
        <v>19</v>
      </c>
      <c r="G35" s="304">
        <f t="shared" si="2"/>
        <v>20</v>
      </c>
      <c r="H35" s="304">
        <f t="shared" si="2"/>
        <v>21</v>
      </c>
      <c r="I35" s="304">
        <f t="shared" si="2"/>
        <v>22</v>
      </c>
      <c r="J35" s="304">
        <f t="shared" si="2"/>
        <v>23</v>
      </c>
      <c r="K35" s="65">
        <f t="shared" si="2"/>
        <v>24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1966</v>
      </c>
      <c r="C36" s="324" t="s">
        <v>1970</v>
      </c>
      <c r="D36" s="265"/>
      <c r="E36" s="301"/>
      <c r="F36" s="301"/>
      <c r="G36" s="419" t="s">
        <v>2407</v>
      </c>
      <c r="H36" s="419" t="s">
        <v>2408</v>
      </c>
      <c r="I36" s="354" t="s">
        <v>2409</v>
      </c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290" t="s">
        <v>7</v>
      </c>
      <c r="D37" s="265"/>
      <c r="E37" s="301"/>
      <c r="F37" s="290" t="s">
        <v>2316</v>
      </c>
      <c r="G37" s="301"/>
      <c r="H37" s="301"/>
      <c r="I37" s="301"/>
      <c r="J37" s="357" t="s">
        <v>2381</v>
      </c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63" t="s">
        <v>1964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1968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" customHeight="1">
      <c r="A40" s="84"/>
      <c r="B40" s="1467" t="s">
        <v>1969</v>
      </c>
      <c r="C40" s="1609" t="s">
        <v>1970</v>
      </c>
      <c r="D40" s="265"/>
      <c r="E40" s="301"/>
      <c r="F40" s="1556" t="s">
        <v>2404</v>
      </c>
      <c r="G40" s="1557"/>
      <c r="H40" s="1556" t="s">
        <v>2405</v>
      </c>
      <c r="I40" s="1557"/>
      <c r="J40" s="1556" t="s">
        <v>2406</v>
      </c>
      <c r="K40" s="1557"/>
      <c r="L40" s="84"/>
      <c r="M40" s="84"/>
      <c r="N40" s="84"/>
      <c r="O40" s="84"/>
      <c r="P40" s="84"/>
      <c r="Q40" s="84"/>
      <c r="R40" s="84"/>
      <c r="S40" s="84"/>
    </row>
    <row r="41" spans="1:19" ht="24" customHeight="1">
      <c r="A41" s="84"/>
      <c r="B41" s="1467"/>
      <c r="C41" s="1609"/>
      <c r="D41" s="265"/>
      <c r="E41" s="301"/>
      <c r="F41" s="301"/>
      <c r="G41" s="301"/>
      <c r="H41" s="301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290" t="s">
        <v>1971</v>
      </c>
      <c r="D42" s="265"/>
      <c r="E42" s="301"/>
      <c r="F42" s="1522" t="s">
        <v>2329</v>
      </c>
      <c r="G42" s="1545"/>
      <c r="H42" s="417" t="s">
        <v>2347</v>
      </c>
      <c r="I42" s="1522" t="s">
        <v>2338</v>
      </c>
      <c r="J42" s="1545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325" t="s">
        <v>1968</v>
      </c>
      <c r="D43" s="265"/>
      <c r="E43" s="301"/>
      <c r="F43" s="325" t="s">
        <v>2369</v>
      </c>
      <c r="G43" s="325" t="s">
        <v>2384</v>
      </c>
      <c r="H43" s="325" t="s">
        <v>2385</v>
      </c>
      <c r="I43" s="325" t="s">
        <v>2386</v>
      </c>
      <c r="J43" s="325" t="s">
        <v>2387</v>
      </c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397" t="s">
        <v>1973</v>
      </c>
      <c r="C44" s="125" t="s">
        <v>1974</v>
      </c>
      <c r="D44" s="265"/>
      <c r="E44" s="345"/>
      <c r="F44" s="301"/>
      <c r="G44" s="301"/>
      <c r="H44" s="301"/>
      <c r="I44" s="301"/>
      <c r="J44" s="301"/>
      <c r="K44" s="301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269"/>
      <c r="D45" s="265"/>
      <c r="E45" s="26">
        <f>K35+1</f>
        <v>25</v>
      </c>
      <c r="F45" s="175">
        <f>E45+1</f>
        <v>26</v>
      </c>
      <c r="G45" s="175">
        <f>F45+1</f>
        <v>27</v>
      </c>
      <c r="H45" s="175">
        <f>G45+1</f>
        <v>28</v>
      </c>
      <c r="I45" s="175">
        <f>H45+1</f>
        <v>29</v>
      </c>
      <c r="J45" s="175">
        <f>I45+1</f>
        <v>30</v>
      </c>
      <c r="K45" s="175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1966</v>
      </c>
      <c r="C46" s="324" t="s">
        <v>1970</v>
      </c>
      <c r="D46" s="265"/>
      <c r="E46" s="396"/>
      <c r="F46" s="396"/>
      <c r="G46" s="354" t="s">
        <v>2412</v>
      </c>
      <c r="H46" s="419" t="s">
        <v>2414</v>
      </c>
      <c r="I46" s="419" t="s">
        <v>2413</v>
      </c>
      <c r="J46" s="396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7</v>
      </c>
      <c r="D47" s="265"/>
      <c r="E47" s="396"/>
      <c r="F47" s="417" t="s">
        <v>2383</v>
      </c>
      <c r="G47" s="396"/>
      <c r="H47" s="396"/>
      <c r="I47" s="396"/>
      <c r="J47" s="417" t="s">
        <v>2382</v>
      </c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3" t="s">
        <v>1964</v>
      </c>
      <c r="D48" s="265"/>
      <c r="E48" s="396"/>
      <c r="F48" s="396"/>
      <c r="G48" s="396"/>
      <c r="H48" s="396"/>
      <c r="I48" s="396"/>
      <c r="J48" s="396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325" t="s">
        <v>1968</v>
      </c>
      <c r="D49" s="265"/>
      <c r="E49" s="396"/>
      <c r="F49" s="396"/>
      <c r="G49" s="396"/>
      <c r="H49" s="396"/>
      <c r="I49" s="396"/>
      <c r="J49" s="480"/>
      <c r="K49" s="480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287</v>
      </c>
      <c r="C50" s="1609" t="s">
        <v>1970</v>
      </c>
      <c r="D50" s="265"/>
      <c r="E50" s="396"/>
      <c r="F50" s="1540" t="s">
        <v>2410</v>
      </c>
      <c r="G50" s="1541"/>
      <c r="H50" s="1540" t="s">
        <v>2411</v>
      </c>
      <c r="I50" s="1541"/>
      <c r="J50" s="1556" t="s">
        <v>2411</v>
      </c>
      <c r="K50" s="1557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1609"/>
      <c r="D51" s="265"/>
      <c r="E51" s="401"/>
      <c r="F51" s="473"/>
      <c r="G51" s="473"/>
      <c r="H51" s="461"/>
      <c r="I51" s="473"/>
      <c r="J51" s="473"/>
      <c r="K51" s="401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290" t="s">
        <v>1971</v>
      </c>
      <c r="D52" s="265"/>
      <c r="E52" s="396"/>
      <c r="F52" s="1522" t="s">
        <v>2344</v>
      </c>
      <c r="G52" s="1545"/>
      <c r="H52" s="417" t="s">
        <v>2346</v>
      </c>
      <c r="I52" s="1522" t="s">
        <v>2423</v>
      </c>
      <c r="J52" s="1523"/>
      <c r="K52" s="396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325" t="s">
        <v>1968</v>
      </c>
      <c r="D53" s="265"/>
      <c r="E53" s="396"/>
      <c r="F53" s="325" t="s">
        <v>2388</v>
      </c>
      <c r="G53" s="325" t="s">
        <v>2389</v>
      </c>
      <c r="H53" s="325" t="s">
        <v>2370</v>
      </c>
      <c r="I53" s="325" t="s">
        <v>2370</v>
      </c>
      <c r="J53" s="325" t="s">
        <v>2390</v>
      </c>
      <c r="K53" s="396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397" t="s">
        <v>1973</v>
      </c>
      <c r="C54" s="125" t="s">
        <v>1974</v>
      </c>
      <c r="D54" s="265"/>
      <c r="E54" s="396"/>
      <c r="F54" s="396"/>
      <c r="G54" s="396"/>
      <c r="H54" s="396"/>
      <c r="I54" s="396"/>
      <c r="J54" s="396"/>
      <c r="K54" s="396"/>
      <c r="L54" s="84"/>
      <c r="M54" s="84"/>
      <c r="N54" s="84"/>
      <c r="O54" s="84"/>
      <c r="P54" s="84"/>
      <c r="Q54" s="84"/>
      <c r="R54" s="84"/>
      <c r="S54" s="84"/>
    </row>
  </sheetData>
  <mergeCells count="37">
    <mergeCell ref="M25:O25"/>
    <mergeCell ref="E3:G3"/>
    <mergeCell ref="H3:K3"/>
    <mergeCell ref="B6:B9"/>
    <mergeCell ref="B10:B13"/>
    <mergeCell ref="B16:B19"/>
    <mergeCell ref="B20:B23"/>
    <mergeCell ref="F20:G20"/>
    <mergeCell ref="F22:G22"/>
    <mergeCell ref="C10:C11"/>
    <mergeCell ref="C20:C21"/>
    <mergeCell ref="J10:K10"/>
    <mergeCell ref="H20:I20"/>
    <mergeCell ref="H22:I22"/>
    <mergeCell ref="B26:B29"/>
    <mergeCell ref="B30:B33"/>
    <mergeCell ref="H30:I30"/>
    <mergeCell ref="G32:H32"/>
    <mergeCell ref="I32:J32"/>
    <mergeCell ref="C30:C31"/>
    <mergeCell ref="J30:K30"/>
    <mergeCell ref="B36:B39"/>
    <mergeCell ref="B40:B43"/>
    <mergeCell ref="F40:G40"/>
    <mergeCell ref="F42:G42"/>
    <mergeCell ref="I42:J42"/>
    <mergeCell ref="C40:C41"/>
    <mergeCell ref="J40:K40"/>
    <mergeCell ref="H40:I40"/>
    <mergeCell ref="B46:B49"/>
    <mergeCell ref="B50:B53"/>
    <mergeCell ref="F50:G50"/>
    <mergeCell ref="F52:G52"/>
    <mergeCell ref="I52:J52"/>
    <mergeCell ref="C50:C51"/>
    <mergeCell ref="J50:K50"/>
    <mergeCell ref="H50:I50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2">
    <pageSetUpPr fitToPage="1"/>
  </sheetPr>
  <dimension ref="A1:S58"/>
  <sheetViews>
    <sheetView topLeftCell="A40" zoomScale="70" zoomScaleNormal="70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44835</v>
      </c>
      <c r="F3" s="1450"/>
      <c r="G3" s="1450"/>
      <c r="H3" s="1451" t="s">
        <v>984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/>
      <c r="J5" s="175"/>
      <c r="K5" s="175">
        <v>1</v>
      </c>
      <c r="L5" s="90"/>
      <c r="M5" s="90"/>
      <c r="N5" s="90"/>
      <c r="R5" s="11"/>
      <c r="S5" s="90"/>
    </row>
    <row r="6" spans="1:19" s="5" customFormat="1" ht="24.6" customHeight="1">
      <c r="B6" s="1467" t="s">
        <v>286</v>
      </c>
      <c r="C6" s="324" t="s">
        <v>1970</v>
      </c>
      <c r="D6" s="265"/>
      <c r="E6" s="396"/>
      <c r="F6" s="396"/>
      <c r="G6" s="396"/>
      <c r="H6" s="396"/>
      <c r="I6" s="396"/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396"/>
      <c r="J7" s="396"/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1964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1968</v>
      </c>
      <c r="D9" s="265"/>
      <c r="E9" s="396"/>
      <c r="F9" s="396"/>
      <c r="G9" s="396"/>
      <c r="H9" s="396"/>
      <c r="I9" s="396"/>
      <c r="J9" s="396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1969</v>
      </c>
      <c r="C10" s="324" t="s">
        <v>9</v>
      </c>
      <c r="D10" s="265"/>
      <c r="E10" s="396"/>
      <c r="F10" s="396"/>
      <c r="G10" s="396"/>
      <c r="H10" s="396"/>
      <c r="I10" s="396"/>
      <c r="J10" s="396"/>
      <c r="K10" s="396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1971</v>
      </c>
      <c r="D11" s="265"/>
      <c r="E11" s="396"/>
      <c r="F11" s="396"/>
      <c r="G11" s="396"/>
      <c r="H11" s="396"/>
      <c r="I11" s="396"/>
      <c r="J11" s="396"/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1968</v>
      </c>
      <c r="D12" s="265"/>
      <c r="E12" s="396"/>
      <c r="F12" s="396"/>
      <c r="G12" s="396"/>
      <c r="H12" s="396"/>
      <c r="I12" s="396"/>
      <c r="J12" s="396"/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1973</v>
      </c>
      <c r="C13" s="125" t="s">
        <v>1974</v>
      </c>
      <c r="D13" s="265"/>
      <c r="E13" s="396"/>
      <c r="F13" s="396"/>
      <c r="G13" s="396"/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2</v>
      </c>
      <c r="F14" s="65">
        <f t="shared" ref="F14:K14" si="0">E14+1</f>
        <v>3</v>
      </c>
      <c r="G14" s="65">
        <f t="shared" si="0"/>
        <v>4</v>
      </c>
      <c r="H14" s="65">
        <f t="shared" si="0"/>
        <v>5</v>
      </c>
      <c r="I14" s="65">
        <f t="shared" si="0"/>
        <v>6</v>
      </c>
      <c r="J14" s="65">
        <f t="shared" si="0"/>
        <v>7</v>
      </c>
      <c r="K14" s="65">
        <f t="shared" si="0"/>
        <v>8</v>
      </c>
    </row>
    <row r="15" spans="1:19" ht="24.6" customHeight="1">
      <c r="A15" s="84"/>
      <c r="B15" s="1467" t="s">
        <v>1966</v>
      </c>
      <c r="C15" s="324" t="s">
        <v>1970</v>
      </c>
      <c r="D15" s="265"/>
      <c r="E15" s="301"/>
      <c r="F15" s="301"/>
      <c r="G15" s="419" t="s">
        <v>2426</v>
      </c>
      <c r="H15" s="301"/>
      <c r="I15" s="419" t="s">
        <v>2427</v>
      </c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417" t="s">
        <v>2437</v>
      </c>
      <c r="K16" s="301"/>
    </row>
    <row r="17" spans="1:19" ht="24.6" customHeight="1">
      <c r="A17" s="84"/>
      <c r="B17" s="1467"/>
      <c r="C17" s="163" t="s">
        <v>1964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316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1969</v>
      </c>
      <c r="C19" s="467" t="s">
        <v>1970</v>
      </c>
      <c r="D19" s="265"/>
      <c r="E19" s="301"/>
      <c r="F19" s="1556" t="s">
        <v>2463</v>
      </c>
      <c r="G19" s="1557"/>
      <c r="H19" s="1556" t="s">
        <v>2464</v>
      </c>
      <c r="I19" s="1574"/>
      <c r="J19" s="1556" t="s">
        <v>2429</v>
      </c>
      <c r="K19" s="1557"/>
    </row>
    <row r="20" spans="1:19" ht="24" customHeight="1">
      <c r="A20" s="84"/>
      <c r="B20" s="1467"/>
      <c r="C20" s="290" t="s">
        <v>1971</v>
      </c>
      <c r="D20" s="265"/>
      <c r="E20" s="301"/>
      <c r="F20" s="301"/>
      <c r="G20" s="1522" t="s">
        <v>2416</v>
      </c>
      <c r="H20" s="1545"/>
      <c r="I20" s="466" t="s">
        <v>2415</v>
      </c>
      <c r="J20" s="466" t="s">
        <v>2424</v>
      </c>
      <c r="K20" s="301"/>
    </row>
    <row r="21" spans="1:19" ht="24" customHeight="1">
      <c r="A21" s="84"/>
      <c r="B21" s="1467"/>
      <c r="C21" s="325" t="s">
        <v>1968</v>
      </c>
      <c r="D21" s="265"/>
      <c r="E21" s="301"/>
      <c r="F21" s="301"/>
      <c r="G21" s="325" t="s">
        <v>2371</v>
      </c>
      <c r="H21" s="325" t="s">
        <v>2391</v>
      </c>
      <c r="I21" s="325" t="s">
        <v>2372</v>
      </c>
      <c r="J21" s="325" t="s">
        <v>2392</v>
      </c>
      <c r="K21" s="301"/>
    </row>
    <row r="22" spans="1:19" ht="24.6" customHeight="1">
      <c r="A22" s="84"/>
      <c r="B22" s="397" t="s">
        <v>1973</v>
      </c>
      <c r="C22" s="125" t="s">
        <v>1974</v>
      </c>
      <c r="D22" s="265"/>
      <c r="E22" s="301"/>
      <c r="F22" s="386" t="s">
        <v>368</v>
      </c>
      <c r="G22" s="301"/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9</v>
      </c>
      <c r="F23" s="175">
        <f t="shared" ref="F23:K23" si="1">E23+1</f>
        <v>10</v>
      </c>
      <c r="G23" s="175">
        <f t="shared" si="1"/>
        <v>11</v>
      </c>
      <c r="H23" s="175">
        <f t="shared" si="1"/>
        <v>12</v>
      </c>
      <c r="I23" s="175">
        <f t="shared" si="1"/>
        <v>13</v>
      </c>
      <c r="J23" s="175">
        <f t="shared" si="1"/>
        <v>14</v>
      </c>
      <c r="K23" s="175">
        <f t="shared" si="1"/>
        <v>15</v>
      </c>
      <c r="M23" s="1453"/>
      <c r="N23" s="1453"/>
      <c r="O23" s="1453"/>
    </row>
    <row r="24" spans="1:19" ht="24.6" customHeight="1">
      <c r="A24" s="84"/>
      <c r="B24" s="1467" t="s">
        <v>1966</v>
      </c>
      <c r="C24" s="324" t="s">
        <v>1970</v>
      </c>
      <c r="D24" s="265"/>
      <c r="E24" s="396"/>
      <c r="F24" s="396"/>
      <c r="G24" s="419" t="s">
        <v>2428</v>
      </c>
      <c r="H24" s="419" t="s">
        <v>2442</v>
      </c>
      <c r="I24" s="354" t="s">
        <v>2440</v>
      </c>
      <c r="J24" s="396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396"/>
      <c r="G25" s="472"/>
      <c r="H25" s="396"/>
      <c r="I25" s="396"/>
      <c r="J25" s="415" t="s">
        <v>2436</v>
      </c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1964</v>
      </c>
      <c r="D26" s="265"/>
      <c r="E26" s="396"/>
      <c r="F26" s="396"/>
      <c r="G26" s="396"/>
      <c r="H26" s="396"/>
      <c r="I26" s="396"/>
      <c r="J26" s="396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1968</v>
      </c>
      <c r="D27" s="265"/>
      <c r="E27" s="396"/>
      <c r="F27" s="396"/>
      <c r="G27" s="479"/>
      <c r="H27" s="479"/>
      <c r="I27" s="396"/>
      <c r="J27" s="396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1969</v>
      </c>
      <c r="C28" s="467" t="s">
        <v>1970</v>
      </c>
      <c r="D28" s="265"/>
      <c r="E28" s="396"/>
      <c r="F28" s="1556" t="s">
        <v>2431</v>
      </c>
      <c r="G28" s="1557"/>
      <c r="H28" s="1556" t="s">
        <v>2438</v>
      </c>
      <c r="I28" s="1557"/>
      <c r="J28" s="1556" t="s">
        <v>2439</v>
      </c>
      <c r="K28" s="1557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1971</v>
      </c>
      <c r="D29" s="265"/>
      <c r="E29" s="396"/>
      <c r="F29" s="396"/>
      <c r="G29" s="1522" t="s">
        <v>2336</v>
      </c>
      <c r="H29" s="1545"/>
      <c r="I29" s="1522" t="s">
        <v>2403</v>
      </c>
      <c r="J29" s="1545"/>
      <c r="K29" s="39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1968</v>
      </c>
      <c r="D30" s="265"/>
      <c r="E30" s="396"/>
      <c r="F30" s="396"/>
      <c r="G30" s="325" t="s">
        <v>2373</v>
      </c>
      <c r="H30" s="325" t="s">
        <v>2393</v>
      </c>
      <c r="I30" s="325" t="s">
        <v>2394</v>
      </c>
      <c r="J30" s="325" t="s">
        <v>2234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1973</v>
      </c>
      <c r="C31" s="125" t="s">
        <v>1974</v>
      </c>
      <c r="D31" s="265"/>
      <c r="E31" s="386" t="s">
        <v>1991</v>
      </c>
      <c r="F31" s="386" t="s">
        <v>1990</v>
      </c>
      <c r="G31" s="396"/>
      <c r="H31" s="396"/>
      <c r="I31" s="396"/>
      <c r="J31" s="396"/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16</v>
      </c>
      <c r="F32" s="304">
        <f t="shared" ref="F32:K32" si="2">E32+1</f>
        <v>17</v>
      </c>
      <c r="G32" s="304">
        <f t="shared" si="2"/>
        <v>18</v>
      </c>
      <c r="H32" s="304">
        <f t="shared" si="2"/>
        <v>19</v>
      </c>
      <c r="I32" s="304">
        <f t="shared" si="2"/>
        <v>20</v>
      </c>
      <c r="J32" s="304">
        <f t="shared" si="2"/>
        <v>21</v>
      </c>
      <c r="K32" s="65">
        <f t="shared" si="2"/>
        <v>22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1966</v>
      </c>
      <c r="C33" s="324" t="s">
        <v>1970</v>
      </c>
      <c r="D33" s="265"/>
      <c r="E33" s="301"/>
      <c r="F33" s="354" t="s">
        <v>2441</v>
      </c>
      <c r="G33" s="354" t="s">
        <v>2445</v>
      </c>
      <c r="H33" s="354" t="s">
        <v>2446</v>
      </c>
      <c r="I33" s="354" t="s">
        <v>2443</v>
      </c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301"/>
      <c r="G34" s="301"/>
      <c r="H34" s="301"/>
      <c r="I34" s="301"/>
      <c r="J34" s="357" t="s">
        <v>2435</v>
      </c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1964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1968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1969</v>
      </c>
      <c r="C37" s="467" t="s">
        <v>1970</v>
      </c>
      <c r="D37" s="265"/>
      <c r="E37" s="301"/>
      <c r="F37" s="483" t="s">
        <v>2454</v>
      </c>
      <c r="G37" s="1617" t="s">
        <v>2455</v>
      </c>
      <c r="H37" s="1617"/>
      <c r="I37" s="1577" t="s">
        <v>2459</v>
      </c>
      <c r="J37" s="1556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1971</v>
      </c>
      <c r="D38" s="265"/>
      <c r="E38" s="301"/>
      <c r="F38" s="1522" t="s">
        <v>2402</v>
      </c>
      <c r="G38" s="1545"/>
      <c r="H38" s="417" t="s">
        <v>2425</v>
      </c>
      <c r="I38" s="1522" t="s">
        <v>2361</v>
      </c>
      <c r="J38" s="1545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1968</v>
      </c>
      <c r="D39" s="265"/>
      <c r="E39" s="301"/>
      <c r="F39" s="325" t="s">
        <v>2395</v>
      </c>
      <c r="G39" s="325" t="s">
        <v>2059</v>
      </c>
      <c r="H39" s="325" t="s">
        <v>2396</v>
      </c>
      <c r="I39" s="325" t="s">
        <v>2059</v>
      </c>
      <c r="J39" s="325" t="s">
        <v>2374</v>
      </c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97" t="s">
        <v>1973</v>
      </c>
      <c r="C40" s="125" t="s">
        <v>228</v>
      </c>
      <c r="D40" s="265"/>
      <c r="E40" s="345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6">
        <f>K32+1</f>
        <v>23</v>
      </c>
      <c r="F41" s="175">
        <f t="shared" ref="F41:K41" si="3">E41+1</f>
        <v>24</v>
      </c>
      <c r="G41" s="175">
        <f t="shared" si="3"/>
        <v>25</v>
      </c>
      <c r="H41" s="175">
        <f t="shared" si="3"/>
        <v>26</v>
      </c>
      <c r="I41" s="175">
        <f t="shared" si="3"/>
        <v>27</v>
      </c>
      <c r="J41" s="175">
        <f t="shared" si="3"/>
        <v>28</v>
      </c>
      <c r="K41" s="175">
        <f t="shared" si="3"/>
        <v>29</v>
      </c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1966</v>
      </c>
      <c r="C42" s="324" t="s">
        <v>1970</v>
      </c>
      <c r="D42" s="265"/>
      <c r="E42" s="396"/>
      <c r="F42" s="396"/>
      <c r="G42" s="354" t="s">
        <v>2461</v>
      </c>
      <c r="H42" s="419" t="s">
        <v>2485</v>
      </c>
      <c r="I42" s="419" t="s">
        <v>2487</v>
      </c>
      <c r="J42" s="396"/>
      <c r="K42" s="396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265"/>
      <c r="E43" s="396"/>
      <c r="F43" s="474" t="s">
        <v>2433</v>
      </c>
      <c r="G43" s="396"/>
      <c r="H43" s="396"/>
      <c r="I43" s="396"/>
      <c r="J43" s="417" t="s">
        <v>2432</v>
      </c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1964</v>
      </c>
      <c r="D44" s="265"/>
      <c r="E44" s="396"/>
      <c r="F44" s="396"/>
      <c r="G44" s="396"/>
      <c r="H44" s="396"/>
      <c r="I44" s="396"/>
      <c r="J44" s="396"/>
      <c r="K44" s="482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1968</v>
      </c>
      <c r="D45" s="265"/>
      <c r="E45" s="396"/>
      <c r="F45" s="396"/>
      <c r="G45" s="396"/>
      <c r="H45" s="396"/>
      <c r="I45" s="396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1969</v>
      </c>
      <c r="C46" s="467" t="s">
        <v>1970</v>
      </c>
      <c r="D46" s="265"/>
      <c r="E46" s="396"/>
      <c r="F46" s="1556" t="s">
        <v>2458</v>
      </c>
      <c r="G46" s="1557"/>
      <c r="H46" s="1556" t="s">
        <v>2457</v>
      </c>
      <c r="I46" s="1557"/>
      <c r="J46" s="1615" t="s">
        <v>2456</v>
      </c>
      <c r="K46" s="161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1971</v>
      </c>
      <c r="D47" s="265"/>
      <c r="E47" s="396"/>
      <c r="F47" s="1522" t="s">
        <v>2417</v>
      </c>
      <c r="G47" s="1545"/>
      <c r="H47" s="417" t="s">
        <v>2422</v>
      </c>
      <c r="I47" s="1522" t="s">
        <v>2418</v>
      </c>
      <c r="J47" s="1545"/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1968</v>
      </c>
      <c r="D48" s="265"/>
      <c r="E48" s="396"/>
      <c r="F48" s="325" t="s">
        <v>2374</v>
      </c>
      <c r="G48" s="325" t="s">
        <v>2235</v>
      </c>
      <c r="H48" s="325" t="s">
        <v>2235</v>
      </c>
      <c r="I48" s="325" t="s">
        <v>2235</v>
      </c>
      <c r="J48" s="325" t="s">
        <v>1685</v>
      </c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97" t="s">
        <v>1973</v>
      </c>
      <c r="C49" s="125" t="s">
        <v>1974</v>
      </c>
      <c r="D49" s="265"/>
      <c r="E49" s="396"/>
      <c r="F49" s="396"/>
      <c r="G49" s="396"/>
      <c r="H49" s="396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B50" s="84"/>
      <c r="C50" s="269"/>
      <c r="D50" s="265"/>
      <c r="E50" s="266">
        <f>K41+1</f>
        <v>30</v>
      </c>
      <c r="F50" s="304">
        <f>E50+1</f>
        <v>31</v>
      </c>
      <c r="G50" s="304"/>
      <c r="H50" s="304"/>
      <c r="I50" s="304"/>
      <c r="J50" s="304"/>
      <c r="K50" s="65"/>
    </row>
    <row r="51" spans="1:19" ht="24.6" customHeight="1">
      <c r="B51" s="1467" t="s">
        <v>286</v>
      </c>
      <c r="C51" s="324" t="s">
        <v>1970</v>
      </c>
      <c r="D51" s="265"/>
      <c r="E51" s="301"/>
      <c r="F51" s="301"/>
      <c r="G51" s="301"/>
      <c r="H51" s="301"/>
      <c r="I51" s="301"/>
      <c r="J51" s="301"/>
      <c r="K51" s="301"/>
    </row>
    <row r="52" spans="1:19" ht="24.6" customHeight="1">
      <c r="B52" s="1467"/>
      <c r="C52" s="290" t="s">
        <v>7</v>
      </c>
      <c r="D52" s="265"/>
      <c r="E52" s="301"/>
      <c r="F52" s="301"/>
      <c r="G52" s="301"/>
      <c r="H52" s="301"/>
      <c r="I52" s="301"/>
      <c r="J52" s="301"/>
      <c r="K52" s="301"/>
    </row>
    <row r="53" spans="1:19" ht="24.6" customHeight="1">
      <c r="B53" s="1467"/>
      <c r="C53" s="163" t="s">
        <v>1964</v>
      </c>
      <c r="D53" s="265"/>
      <c r="E53" s="301"/>
      <c r="F53" s="301"/>
      <c r="G53" s="301"/>
      <c r="H53" s="301"/>
      <c r="I53" s="301"/>
      <c r="J53" s="301"/>
      <c r="K53" s="301"/>
    </row>
    <row r="54" spans="1:19" ht="24.6" customHeight="1">
      <c r="B54" s="1467"/>
      <c r="C54" s="325" t="s">
        <v>316</v>
      </c>
      <c r="D54" s="265"/>
      <c r="E54" s="301"/>
      <c r="F54" s="301"/>
      <c r="G54" s="301"/>
      <c r="H54" s="301"/>
      <c r="I54" s="301"/>
      <c r="J54" s="301"/>
      <c r="K54" s="301"/>
    </row>
    <row r="55" spans="1:19" ht="24.6" customHeight="1">
      <c r="B55" s="1467" t="s">
        <v>1969</v>
      </c>
      <c r="C55" s="324" t="s">
        <v>1970</v>
      </c>
      <c r="D55" s="265"/>
      <c r="E55" s="301"/>
      <c r="F55" s="1556" t="s">
        <v>2502</v>
      </c>
      <c r="G55" s="1557"/>
      <c r="H55" s="301"/>
      <c r="I55" s="301"/>
      <c r="J55" s="301"/>
      <c r="K55" s="301"/>
    </row>
    <row r="56" spans="1:19" ht="24.6" customHeight="1">
      <c r="B56" s="1467"/>
      <c r="C56" s="290" t="s">
        <v>1971</v>
      </c>
      <c r="D56" s="265"/>
      <c r="E56" s="301"/>
      <c r="F56" s="1522" t="s">
        <v>2419</v>
      </c>
      <c r="G56" s="1545"/>
      <c r="H56" s="301"/>
      <c r="I56" s="301"/>
      <c r="J56" s="301"/>
      <c r="K56" s="301"/>
    </row>
    <row r="57" spans="1:19" ht="24.6" customHeight="1">
      <c r="B57" s="1467"/>
      <c r="C57" s="325" t="s">
        <v>1968</v>
      </c>
      <c r="D57" s="265"/>
      <c r="E57" s="301"/>
      <c r="F57" s="325" t="s">
        <v>1685</v>
      </c>
      <c r="G57" s="301"/>
      <c r="H57" s="301"/>
      <c r="I57" s="301"/>
      <c r="J57" s="301"/>
      <c r="K57" s="301"/>
    </row>
    <row r="58" spans="1:19" ht="24.6" customHeight="1">
      <c r="B58" s="397" t="s">
        <v>317</v>
      </c>
      <c r="C58" s="125" t="s">
        <v>1974</v>
      </c>
      <c r="D58" s="265"/>
      <c r="E58" s="345"/>
      <c r="F58" s="345"/>
      <c r="G58" s="345"/>
      <c r="H58" s="345"/>
      <c r="I58" s="345"/>
      <c r="J58" s="345"/>
      <c r="K58" s="345"/>
    </row>
  </sheetData>
  <mergeCells count="35">
    <mergeCell ref="B19:B21"/>
    <mergeCell ref="E3:G3"/>
    <mergeCell ref="H3:K3"/>
    <mergeCell ref="B6:B9"/>
    <mergeCell ref="B10:B12"/>
    <mergeCell ref="B15:B18"/>
    <mergeCell ref="G20:H20"/>
    <mergeCell ref="J19:K19"/>
    <mergeCell ref="F19:G19"/>
    <mergeCell ref="H19:I19"/>
    <mergeCell ref="M23:O23"/>
    <mergeCell ref="B24:B27"/>
    <mergeCell ref="B28:B30"/>
    <mergeCell ref="G29:H29"/>
    <mergeCell ref="I29:J29"/>
    <mergeCell ref="J28:K28"/>
    <mergeCell ref="H28:I28"/>
    <mergeCell ref="F28:G28"/>
    <mergeCell ref="I47:J47"/>
    <mergeCell ref="B33:B36"/>
    <mergeCell ref="B37:B39"/>
    <mergeCell ref="F38:G38"/>
    <mergeCell ref="I38:J38"/>
    <mergeCell ref="J46:K46"/>
    <mergeCell ref="H46:I46"/>
    <mergeCell ref="G37:H37"/>
    <mergeCell ref="I37:J37"/>
    <mergeCell ref="B51:B54"/>
    <mergeCell ref="B55:B57"/>
    <mergeCell ref="F55:G55"/>
    <mergeCell ref="F56:G56"/>
    <mergeCell ref="B42:B45"/>
    <mergeCell ref="B46:B48"/>
    <mergeCell ref="F46:G46"/>
    <mergeCell ref="F47:G47"/>
  </mergeCells>
  <phoneticPr fontId="6" type="noConversion"/>
  <pageMargins left="0.7" right="0.7" top="0.75" bottom="0.75" header="0.3" footer="0.3"/>
  <pageSetup paperSize="9" scale="34" orientation="landscape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3">
    <pageSetUpPr fitToPage="1"/>
  </sheetPr>
  <dimension ref="A1:S50"/>
  <sheetViews>
    <sheetView topLeftCell="A7" zoomScale="70" zoomScaleNormal="70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44866</v>
      </c>
      <c r="F3" s="1450"/>
      <c r="G3" s="1450"/>
      <c r="H3" s="1451" t="s">
        <v>1965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>
        <v>1</v>
      </c>
      <c r="H5" s="175">
        <f>G5+1</f>
        <v>2</v>
      </c>
      <c r="I5" s="175">
        <f>H5+1</f>
        <v>3</v>
      </c>
      <c r="J5" s="175">
        <f>I5+1</f>
        <v>4</v>
      </c>
      <c r="K5" s="175">
        <f>J5+1</f>
        <v>5</v>
      </c>
      <c r="L5" s="90"/>
      <c r="M5" s="90"/>
      <c r="N5" s="90"/>
      <c r="R5" s="11"/>
      <c r="S5" s="90"/>
    </row>
    <row r="6" spans="1:19" s="5" customFormat="1" ht="24.6" customHeight="1">
      <c r="B6" s="1467" t="s">
        <v>1966</v>
      </c>
      <c r="C6" s="324" t="s">
        <v>1970</v>
      </c>
      <c r="D6" s="265"/>
      <c r="E6" s="396"/>
      <c r="F6" s="396"/>
      <c r="G6" s="419" t="s">
        <v>2472</v>
      </c>
      <c r="H6" s="419" t="s">
        <v>2473</v>
      </c>
      <c r="I6" s="354" t="s">
        <v>2474</v>
      </c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396"/>
      <c r="J7" s="474" t="s">
        <v>2434</v>
      </c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1964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1968</v>
      </c>
      <c r="D9" s="265"/>
      <c r="E9" s="396"/>
      <c r="F9" s="396"/>
      <c r="G9" s="396"/>
      <c r="H9" s="396"/>
      <c r="I9" s="396"/>
      <c r="J9" s="396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1969</v>
      </c>
      <c r="C10" s="470" t="s">
        <v>1970</v>
      </c>
      <c r="D10" s="265"/>
      <c r="E10" s="396"/>
      <c r="F10" s="396"/>
      <c r="G10" s="419" t="s">
        <v>2475</v>
      </c>
      <c r="H10" s="1556" t="s">
        <v>2471</v>
      </c>
      <c r="I10" s="1557"/>
      <c r="J10" s="1556" t="s">
        <v>2504</v>
      </c>
      <c r="K10" s="1557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292</v>
      </c>
      <c r="D11" s="265"/>
      <c r="E11" s="396"/>
      <c r="F11" s="358"/>
      <c r="G11" s="478" t="s">
        <v>2420</v>
      </c>
      <c r="H11" s="1523" t="s">
        <v>2421</v>
      </c>
      <c r="I11" s="1523"/>
      <c r="J11" s="476" t="s">
        <v>2469</v>
      </c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1968</v>
      </c>
      <c r="D12" s="265"/>
      <c r="E12" s="396"/>
      <c r="F12" s="396"/>
      <c r="G12" s="325" t="s">
        <v>1686</v>
      </c>
      <c r="H12" s="325" t="s">
        <v>1686</v>
      </c>
      <c r="I12" s="325" t="s">
        <v>1686</v>
      </c>
      <c r="J12" s="325" t="s">
        <v>1687</v>
      </c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1973</v>
      </c>
      <c r="C13" s="125" t="s">
        <v>1992</v>
      </c>
      <c r="D13" s="265"/>
      <c r="E13" s="396"/>
      <c r="F13" s="396"/>
      <c r="G13" s="396"/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6</v>
      </c>
      <c r="F14" s="65">
        <f t="shared" ref="F14:K14" si="0">E14+1</f>
        <v>7</v>
      </c>
      <c r="G14" s="65">
        <f t="shared" si="0"/>
        <v>8</v>
      </c>
      <c r="H14" s="65">
        <f t="shared" si="0"/>
        <v>9</v>
      </c>
      <c r="I14" s="65">
        <f t="shared" si="0"/>
        <v>10</v>
      </c>
      <c r="J14" s="65">
        <f t="shared" si="0"/>
        <v>11</v>
      </c>
      <c r="K14" s="65">
        <f t="shared" si="0"/>
        <v>12</v>
      </c>
    </row>
    <row r="15" spans="1:19" ht="24.6" customHeight="1">
      <c r="A15" s="84"/>
      <c r="B15" s="1467" t="s">
        <v>1966</v>
      </c>
      <c r="C15" s="324" t="s">
        <v>1970</v>
      </c>
      <c r="D15" s="265"/>
      <c r="E15" s="301"/>
      <c r="F15" s="301"/>
      <c r="G15" s="419" t="s">
        <v>2476</v>
      </c>
      <c r="H15" s="419" t="s">
        <v>2477</v>
      </c>
      <c r="I15" s="419" t="s">
        <v>2478</v>
      </c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487" t="s">
        <v>2480</v>
      </c>
      <c r="G16" s="301"/>
      <c r="H16" s="301"/>
      <c r="I16" s="301"/>
      <c r="J16" s="487" t="s">
        <v>2450</v>
      </c>
      <c r="K16" s="301"/>
    </row>
    <row r="17" spans="1:19" ht="24.6" customHeight="1">
      <c r="A17" s="84"/>
      <c r="B17" s="1467"/>
      <c r="C17" s="163" t="s">
        <v>1964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1968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1969</v>
      </c>
      <c r="C19" s="470" t="s">
        <v>1970</v>
      </c>
      <c r="D19" s="265"/>
      <c r="E19" s="301"/>
      <c r="F19" s="1556" t="s">
        <v>2522</v>
      </c>
      <c r="G19" s="1557"/>
      <c r="H19" s="1556" t="s">
        <v>2505</v>
      </c>
      <c r="I19" s="1557"/>
      <c r="J19" s="1556" t="s">
        <v>2501</v>
      </c>
      <c r="K19" s="1557"/>
    </row>
    <row r="20" spans="1:19" ht="24" customHeight="1">
      <c r="A20" s="84"/>
      <c r="B20" s="1467"/>
      <c r="C20" s="290" t="s">
        <v>1971</v>
      </c>
      <c r="D20" s="265"/>
      <c r="E20" s="301"/>
      <c r="F20" s="413" t="s">
        <v>2470</v>
      </c>
      <c r="G20" s="1620" t="s">
        <v>2468</v>
      </c>
      <c r="H20" s="1619"/>
      <c r="I20" s="1620" t="s">
        <v>2451</v>
      </c>
      <c r="J20" s="1619"/>
      <c r="K20" s="301"/>
    </row>
    <row r="21" spans="1:19" ht="24" customHeight="1">
      <c r="A21" s="84"/>
      <c r="B21" s="1467"/>
      <c r="C21" s="325" t="s">
        <v>1968</v>
      </c>
      <c r="D21" s="265"/>
      <c r="E21" s="301"/>
      <c r="F21" s="325" t="s">
        <v>1687</v>
      </c>
      <c r="G21" s="325" t="s">
        <v>2236</v>
      </c>
      <c r="H21" s="325" t="s">
        <v>2236</v>
      </c>
      <c r="I21" s="325" t="s">
        <v>2236</v>
      </c>
      <c r="J21" s="325" t="s">
        <v>2453</v>
      </c>
      <c r="K21" s="301"/>
    </row>
    <row r="22" spans="1:19" ht="24.6" customHeight="1">
      <c r="A22" s="84"/>
      <c r="B22" s="397" t="s">
        <v>1973</v>
      </c>
      <c r="C22" s="125" t="s">
        <v>1974</v>
      </c>
      <c r="D22" s="265"/>
      <c r="E22" s="301"/>
      <c r="F22" s="301"/>
      <c r="G22" s="301"/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13</v>
      </c>
      <c r="F23" s="175">
        <f t="shared" ref="F23:K23" si="1">E23+1</f>
        <v>14</v>
      </c>
      <c r="G23" s="175">
        <f t="shared" si="1"/>
        <v>15</v>
      </c>
      <c r="H23" s="175">
        <f t="shared" si="1"/>
        <v>16</v>
      </c>
      <c r="I23" s="175">
        <f t="shared" si="1"/>
        <v>17</v>
      </c>
      <c r="J23" s="175">
        <f t="shared" si="1"/>
        <v>18</v>
      </c>
      <c r="K23" s="175">
        <f t="shared" si="1"/>
        <v>19</v>
      </c>
      <c r="M23" s="1453"/>
      <c r="N23" s="1453"/>
      <c r="O23" s="1453"/>
    </row>
    <row r="24" spans="1:19" ht="24.6" customHeight="1">
      <c r="A24" s="84"/>
      <c r="B24" s="1467" t="s">
        <v>1966</v>
      </c>
      <c r="C24" s="324" t="s">
        <v>1970</v>
      </c>
      <c r="D24" s="265"/>
      <c r="E24" s="396"/>
      <c r="F24" s="396"/>
      <c r="G24" s="419" t="s">
        <v>2551</v>
      </c>
      <c r="H24" s="419" t="s">
        <v>2494</v>
      </c>
      <c r="I24" s="419" t="s">
        <v>2493</v>
      </c>
      <c r="J24" s="396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413" t="s">
        <v>2449</v>
      </c>
      <c r="G25" s="396"/>
      <c r="H25" s="396"/>
      <c r="I25" s="396"/>
      <c r="J25" s="413" t="s">
        <v>2467</v>
      </c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1964</v>
      </c>
      <c r="D26" s="265"/>
      <c r="E26" s="396"/>
      <c r="F26" s="396"/>
      <c r="G26" s="396"/>
      <c r="H26" s="396"/>
      <c r="I26" s="396"/>
      <c r="J26" s="396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1968</v>
      </c>
      <c r="D27" s="265"/>
      <c r="E27" s="396"/>
      <c r="F27" s="485"/>
      <c r="G27" s="485"/>
      <c r="H27" s="475"/>
      <c r="I27" s="475"/>
      <c r="J27" s="472"/>
      <c r="K27" s="401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1969</v>
      </c>
      <c r="C28" s="470" t="s">
        <v>1970</v>
      </c>
      <c r="D28" s="265"/>
      <c r="E28" s="396"/>
      <c r="F28" s="1556" t="s">
        <v>2490</v>
      </c>
      <c r="G28" s="1557"/>
      <c r="H28" s="1556" t="s">
        <v>2491</v>
      </c>
      <c r="I28" s="1557"/>
      <c r="J28" s="1556" t="s">
        <v>2492</v>
      </c>
      <c r="K28" s="1557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1971</v>
      </c>
      <c r="D29" s="265"/>
      <c r="E29" s="396"/>
      <c r="F29" s="417" t="s">
        <v>2444</v>
      </c>
      <c r="G29" s="417" t="s">
        <v>2447</v>
      </c>
      <c r="H29" s="417" t="s">
        <v>2462</v>
      </c>
      <c r="I29" s="432" t="s">
        <v>2465</v>
      </c>
      <c r="J29" s="432" t="s">
        <v>2507</v>
      </c>
      <c r="K29" s="489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1968</v>
      </c>
      <c r="D30" s="265"/>
      <c r="E30" s="396"/>
      <c r="F30" s="325" t="s">
        <v>2375</v>
      </c>
      <c r="G30" s="325" t="s">
        <v>2375</v>
      </c>
      <c r="H30" s="325" t="s">
        <v>2375</v>
      </c>
      <c r="I30" s="325" t="s">
        <v>2237</v>
      </c>
      <c r="J30" s="325" t="s">
        <v>2375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317</v>
      </c>
      <c r="C31" s="125" t="s">
        <v>1974</v>
      </c>
      <c r="D31" s="265"/>
      <c r="E31" s="396"/>
      <c r="F31" s="396"/>
      <c r="G31" s="396"/>
      <c r="H31" s="396"/>
      <c r="I31" s="396"/>
      <c r="J31" s="396"/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20</v>
      </c>
      <c r="F32" s="304">
        <f t="shared" ref="F32:K32" si="2">E32+1</f>
        <v>21</v>
      </c>
      <c r="G32" s="304">
        <f t="shared" si="2"/>
        <v>22</v>
      </c>
      <c r="H32" s="304">
        <f t="shared" si="2"/>
        <v>23</v>
      </c>
      <c r="I32" s="304">
        <f t="shared" si="2"/>
        <v>24</v>
      </c>
      <c r="J32" s="304">
        <f t="shared" si="2"/>
        <v>25</v>
      </c>
      <c r="K32" s="65">
        <f t="shared" si="2"/>
        <v>26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1966</v>
      </c>
      <c r="C33" s="324" t="s">
        <v>9</v>
      </c>
      <c r="D33" s="265"/>
      <c r="E33" s="301"/>
      <c r="F33" s="301"/>
      <c r="G33" s="354" t="s">
        <v>2495</v>
      </c>
      <c r="H33" s="354" t="s">
        <v>2498</v>
      </c>
      <c r="I33" s="354" t="s">
        <v>2499</v>
      </c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413" t="s">
        <v>2448</v>
      </c>
      <c r="G34" s="301"/>
      <c r="H34" s="301"/>
      <c r="I34" s="301"/>
      <c r="J34" s="413" t="s">
        <v>2496</v>
      </c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1964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1969</v>
      </c>
      <c r="C37" s="1609" t="s">
        <v>1970</v>
      </c>
      <c r="D37" s="265"/>
      <c r="E37" s="301"/>
      <c r="F37" s="1556" t="s">
        <v>2506</v>
      </c>
      <c r="G37" s="1557"/>
      <c r="H37" s="1540" t="s">
        <v>2511</v>
      </c>
      <c r="I37" s="1541"/>
      <c r="J37" s="1556" t="s">
        <v>2525</v>
      </c>
      <c r="K37" s="1557"/>
      <c r="L37" s="84"/>
      <c r="M37" s="84"/>
      <c r="N37" s="84"/>
      <c r="O37" s="84"/>
      <c r="P37" s="84"/>
      <c r="Q37" s="84"/>
      <c r="R37" s="84"/>
      <c r="S37" s="84"/>
    </row>
    <row r="38" spans="1:19" ht="24" customHeight="1">
      <c r="A38" s="84"/>
      <c r="B38" s="1467"/>
      <c r="C38" s="1609"/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290" t="s">
        <v>292</v>
      </c>
      <c r="D39" s="265"/>
      <c r="E39" s="301"/>
      <c r="F39" s="1522" t="s">
        <v>2452</v>
      </c>
      <c r="G39" s="1545"/>
      <c r="H39" s="417" t="s">
        <v>2497</v>
      </c>
      <c r="I39" s="1522" t="s">
        <v>2460</v>
      </c>
      <c r="J39" s="1545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325" t="s">
        <v>1968</v>
      </c>
      <c r="D40" s="265"/>
      <c r="E40" s="301"/>
      <c r="F40" s="325" t="s">
        <v>2375</v>
      </c>
      <c r="G40" s="325" t="s">
        <v>1789</v>
      </c>
      <c r="H40" s="325" t="s">
        <v>1789</v>
      </c>
      <c r="I40" s="325" t="s">
        <v>1789</v>
      </c>
      <c r="J40" s="325" t="s">
        <v>2376</v>
      </c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397" t="s">
        <v>1973</v>
      </c>
      <c r="C41" s="125" t="s">
        <v>1974</v>
      </c>
      <c r="D41" s="265"/>
      <c r="E41" s="345"/>
      <c r="F41" s="301"/>
      <c r="G41" s="301"/>
      <c r="H41" s="301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84"/>
      <c r="C42" s="269"/>
      <c r="D42" s="265"/>
      <c r="E42" s="26">
        <f>K32+1</f>
        <v>27</v>
      </c>
      <c r="F42" s="175">
        <f>E42+1</f>
        <v>28</v>
      </c>
      <c r="G42" s="175">
        <f>F42+1</f>
        <v>29</v>
      </c>
      <c r="H42" s="175">
        <f>G42+1</f>
        <v>30</v>
      </c>
      <c r="I42" s="175"/>
      <c r="J42" s="175"/>
      <c r="K42" s="175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 t="s">
        <v>1993</v>
      </c>
      <c r="C43" s="324" t="s">
        <v>1970</v>
      </c>
      <c r="D43" s="265"/>
      <c r="E43" s="396"/>
      <c r="F43" s="396"/>
      <c r="G43" s="419" t="s">
        <v>2533</v>
      </c>
      <c r="H43" s="419" t="s">
        <v>2512</v>
      </c>
      <c r="I43" s="396"/>
      <c r="J43" s="396"/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290" t="s">
        <v>7</v>
      </c>
      <c r="D44" s="265"/>
      <c r="E44" s="396"/>
      <c r="F44" s="488"/>
      <c r="G44" s="396"/>
      <c r="H44" s="396"/>
      <c r="I44" s="396"/>
      <c r="J44" s="396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3" t="s">
        <v>1964</v>
      </c>
      <c r="D45" s="265"/>
      <c r="E45" s="396"/>
      <c r="F45" s="396"/>
      <c r="G45" s="396"/>
      <c r="H45" s="396"/>
      <c r="I45" s="396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325" t="s">
        <v>1968</v>
      </c>
      <c r="D46" s="265"/>
      <c r="E46" s="396"/>
      <c r="F46" s="396"/>
      <c r="G46" s="396"/>
      <c r="H46" s="396"/>
      <c r="I46" s="396"/>
      <c r="J46" s="396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 t="s">
        <v>1969</v>
      </c>
      <c r="C47" s="470" t="s">
        <v>1970</v>
      </c>
      <c r="D47" s="265"/>
      <c r="E47" s="396"/>
      <c r="F47" s="1556" t="s">
        <v>2526</v>
      </c>
      <c r="G47" s="1557"/>
      <c r="H47" s="1556" t="s">
        <v>2640</v>
      </c>
      <c r="I47" s="1557"/>
      <c r="J47" s="396"/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290" t="s">
        <v>1971</v>
      </c>
      <c r="D48" s="265"/>
      <c r="E48" s="396"/>
      <c r="F48" s="1618" t="s">
        <v>2510</v>
      </c>
      <c r="G48" s="1619"/>
      <c r="H48" s="412" t="s">
        <v>2466</v>
      </c>
      <c r="I48" s="396"/>
      <c r="J48" s="396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325" t="s">
        <v>1968</v>
      </c>
      <c r="D49" s="265"/>
      <c r="E49" s="396"/>
      <c r="F49" s="325" t="s">
        <v>2397</v>
      </c>
      <c r="G49" s="325" t="s">
        <v>2398</v>
      </c>
      <c r="H49" s="325" t="s">
        <v>2399</v>
      </c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397" t="s">
        <v>317</v>
      </c>
      <c r="C50" s="125" t="s">
        <v>1974</v>
      </c>
      <c r="D50" s="265"/>
      <c r="E50" s="396"/>
      <c r="F50" s="396"/>
      <c r="G50" s="396"/>
      <c r="H50" s="396"/>
      <c r="I50" s="396"/>
      <c r="J50" s="396"/>
      <c r="K50" s="396"/>
      <c r="L50" s="84"/>
      <c r="M50" s="84"/>
      <c r="N50" s="84"/>
      <c r="O50" s="84"/>
      <c r="P50" s="84"/>
      <c r="Q50" s="84"/>
      <c r="R50" s="84"/>
      <c r="S50" s="84"/>
    </row>
  </sheetData>
  <mergeCells count="33">
    <mergeCell ref="E3:G3"/>
    <mergeCell ref="H3:K3"/>
    <mergeCell ref="B6:B9"/>
    <mergeCell ref="B10:B12"/>
    <mergeCell ref="J10:K10"/>
    <mergeCell ref="H10:I10"/>
    <mergeCell ref="H11:I11"/>
    <mergeCell ref="B15:B18"/>
    <mergeCell ref="B19:B21"/>
    <mergeCell ref="F19:G19"/>
    <mergeCell ref="J19:K19"/>
    <mergeCell ref="H19:I19"/>
    <mergeCell ref="G20:H20"/>
    <mergeCell ref="I20:J20"/>
    <mergeCell ref="M23:O23"/>
    <mergeCell ref="B24:B27"/>
    <mergeCell ref="B28:B30"/>
    <mergeCell ref="F28:G28"/>
    <mergeCell ref="J28:K28"/>
    <mergeCell ref="H28:I28"/>
    <mergeCell ref="B43:B46"/>
    <mergeCell ref="B47:B49"/>
    <mergeCell ref="F47:G47"/>
    <mergeCell ref="H47:I47"/>
    <mergeCell ref="B33:B36"/>
    <mergeCell ref="B37:B40"/>
    <mergeCell ref="F37:G37"/>
    <mergeCell ref="F39:G39"/>
    <mergeCell ref="I39:J39"/>
    <mergeCell ref="C37:C38"/>
    <mergeCell ref="F48:G48"/>
    <mergeCell ref="H37:I37"/>
    <mergeCell ref="J37:K37"/>
  </mergeCells>
  <phoneticPr fontId="6" type="noConversion"/>
  <pageMargins left="0.7" right="0.7" top="0.75" bottom="0.75" header="0.3" footer="0.3"/>
  <pageSetup paperSize="9" scale="40" orientation="landscape" r:id="rId1"/>
  <legacy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4">
    <pageSetUpPr fitToPage="1"/>
  </sheetPr>
  <dimension ref="A1:S49"/>
  <sheetViews>
    <sheetView zoomScale="55" zoomScaleNormal="55" workbookViewId="0">
      <selection activeCell="L39" sqref="L39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44896</v>
      </c>
      <c r="F3" s="1450"/>
      <c r="G3" s="1450"/>
      <c r="H3" s="1451" t="s">
        <v>1940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>
        <v>1</v>
      </c>
      <c r="J5" s="175">
        <f>I5+1</f>
        <v>2</v>
      </c>
      <c r="K5" s="175">
        <f>J5+1</f>
        <v>3</v>
      </c>
      <c r="L5" s="90"/>
      <c r="M5" s="90"/>
      <c r="N5" s="90"/>
      <c r="R5" s="11"/>
      <c r="S5" s="90"/>
    </row>
    <row r="6" spans="1:19" s="5" customFormat="1" ht="24.6" customHeight="1">
      <c r="B6" s="1467" t="s">
        <v>1951</v>
      </c>
      <c r="C6" s="324" t="s">
        <v>1946</v>
      </c>
      <c r="D6" s="265"/>
      <c r="E6" s="396"/>
      <c r="F6" s="396"/>
      <c r="G6" s="396"/>
      <c r="H6" s="396"/>
      <c r="I6" s="354" t="s">
        <v>2531</v>
      </c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396"/>
      <c r="J7" s="413" t="s">
        <v>2486</v>
      </c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1943</v>
      </c>
      <c r="D8" s="265"/>
      <c r="E8" s="396"/>
      <c r="F8" s="396"/>
      <c r="G8" s="396"/>
      <c r="H8" s="396"/>
      <c r="I8" s="472"/>
      <c r="J8" s="472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1944</v>
      </c>
      <c r="D9" s="265"/>
      <c r="E9" s="396"/>
      <c r="F9" s="396"/>
      <c r="G9" s="396"/>
      <c r="H9" s="396"/>
      <c r="I9" s="475"/>
      <c r="J9" s="475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1952</v>
      </c>
      <c r="C10" s="324" t="s">
        <v>1946</v>
      </c>
      <c r="D10" s="265"/>
      <c r="E10" s="396"/>
      <c r="F10" s="396"/>
      <c r="G10" s="396"/>
      <c r="H10" s="396"/>
      <c r="I10" s="469"/>
      <c r="J10" s="1556" t="s">
        <v>2513</v>
      </c>
      <c r="K10" s="1557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1947</v>
      </c>
      <c r="D11" s="265"/>
      <c r="E11" s="396"/>
      <c r="F11" s="396"/>
      <c r="G11" s="396"/>
      <c r="H11" s="396"/>
      <c r="I11" s="432" t="s">
        <v>2509</v>
      </c>
      <c r="J11" s="490"/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1944</v>
      </c>
      <c r="D12" s="265"/>
      <c r="E12" s="396"/>
      <c r="F12" s="396"/>
      <c r="G12" s="396"/>
      <c r="H12" s="396"/>
      <c r="I12" s="325" t="s">
        <v>2400</v>
      </c>
      <c r="J12" s="325" t="s">
        <v>2401</v>
      </c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1953</v>
      </c>
      <c r="C13" s="125" t="s">
        <v>1954</v>
      </c>
      <c r="D13" s="265"/>
      <c r="E13" s="396"/>
      <c r="F13" s="396"/>
      <c r="G13" s="396"/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4</v>
      </c>
      <c r="F14" s="65">
        <f t="shared" ref="F14:K14" si="0">E14+1</f>
        <v>5</v>
      </c>
      <c r="G14" s="65">
        <f t="shared" si="0"/>
        <v>6</v>
      </c>
      <c r="H14" s="65">
        <f t="shared" si="0"/>
        <v>7</v>
      </c>
      <c r="I14" s="65">
        <f t="shared" si="0"/>
        <v>8</v>
      </c>
      <c r="J14" s="65">
        <f t="shared" si="0"/>
        <v>9</v>
      </c>
      <c r="K14" s="65">
        <f t="shared" si="0"/>
        <v>10</v>
      </c>
    </row>
    <row r="15" spans="1:19" ht="24.6" customHeight="1">
      <c r="A15" s="84"/>
      <c r="B15" s="1467" t="s">
        <v>1951</v>
      </c>
      <c r="C15" s="324" t="s">
        <v>1946</v>
      </c>
      <c r="D15" s="265"/>
      <c r="E15" s="301"/>
      <c r="F15" s="301"/>
      <c r="G15" s="419" t="s">
        <v>2514</v>
      </c>
      <c r="H15" s="419" t="s">
        <v>2515</v>
      </c>
      <c r="I15" s="354" t="s">
        <v>2516</v>
      </c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413" t="s">
        <v>2488</v>
      </c>
      <c r="G16" s="301"/>
      <c r="H16" s="301"/>
      <c r="I16" s="301"/>
      <c r="J16" s="413" t="s">
        <v>2483</v>
      </c>
      <c r="K16" s="301"/>
    </row>
    <row r="17" spans="1:19" ht="24.6" customHeight="1">
      <c r="A17" s="84"/>
      <c r="B17" s="1467"/>
      <c r="C17" s="163" t="s">
        <v>1943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1944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1952</v>
      </c>
      <c r="C19" s="470" t="s">
        <v>1946</v>
      </c>
      <c r="D19" s="265"/>
      <c r="E19" s="301"/>
      <c r="F19" s="1556" t="s">
        <v>2560</v>
      </c>
      <c r="G19" s="1557"/>
      <c r="H19" s="1556" t="s">
        <v>2562</v>
      </c>
      <c r="I19" s="1557"/>
      <c r="J19" s="1556" t="s">
        <v>2528</v>
      </c>
      <c r="K19" s="1557"/>
    </row>
    <row r="20" spans="1:19" ht="24" customHeight="1">
      <c r="A20" s="84"/>
      <c r="B20" s="1467"/>
      <c r="C20" s="290" t="s">
        <v>1947</v>
      </c>
      <c r="D20" s="265"/>
      <c r="E20" s="301"/>
      <c r="F20" s="301"/>
      <c r="G20" s="413" t="s">
        <v>2508</v>
      </c>
      <c r="H20" s="1567" t="s">
        <v>2489</v>
      </c>
      <c r="I20" s="1568"/>
      <c r="J20" s="476" t="s">
        <v>2500</v>
      </c>
      <c r="K20" s="301"/>
    </row>
    <row r="21" spans="1:19" ht="24" customHeight="1">
      <c r="A21" s="84"/>
      <c r="B21" s="1467"/>
      <c r="C21" s="325" t="s">
        <v>1944</v>
      </c>
      <c r="D21" s="265"/>
      <c r="E21" s="301"/>
      <c r="F21" s="325" t="s">
        <v>2401</v>
      </c>
      <c r="G21" s="325" t="s">
        <v>2377</v>
      </c>
      <c r="H21" s="325" t="s">
        <v>2377</v>
      </c>
      <c r="I21" s="325" t="s">
        <v>2377</v>
      </c>
      <c r="J21" s="325" t="s">
        <v>2060</v>
      </c>
      <c r="K21" s="301"/>
    </row>
    <row r="22" spans="1:19" ht="24.6" customHeight="1">
      <c r="A22" s="84"/>
      <c r="B22" s="397" t="s">
        <v>1953</v>
      </c>
      <c r="C22" s="125" t="s">
        <v>1954</v>
      </c>
      <c r="D22" s="265"/>
      <c r="E22" s="301"/>
      <c r="F22" s="301"/>
      <c r="G22" s="301"/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11</v>
      </c>
      <c r="F23" s="175">
        <f t="shared" ref="F23:K23" si="1">E23+1</f>
        <v>12</v>
      </c>
      <c r="G23" s="175">
        <f t="shared" si="1"/>
        <v>13</v>
      </c>
      <c r="H23" s="175">
        <f t="shared" si="1"/>
        <v>14</v>
      </c>
      <c r="I23" s="175">
        <f t="shared" si="1"/>
        <v>15</v>
      </c>
      <c r="J23" s="175">
        <f t="shared" si="1"/>
        <v>16</v>
      </c>
      <c r="K23" s="175">
        <f t="shared" si="1"/>
        <v>17</v>
      </c>
      <c r="M23" s="203"/>
      <c r="N23" s="203"/>
      <c r="O23" s="203"/>
    </row>
    <row r="24" spans="1:19" ht="24.6" customHeight="1">
      <c r="A24" s="84"/>
      <c r="B24" s="1467" t="s">
        <v>1951</v>
      </c>
      <c r="C24" s="324" t="s">
        <v>1946</v>
      </c>
      <c r="D24" s="265"/>
      <c r="E24" s="396"/>
      <c r="F24" s="419" t="s">
        <v>2518</v>
      </c>
      <c r="G24" s="419" t="s">
        <v>2519</v>
      </c>
      <c r="H24" s="419" t="s">
        <v>2520</v>
      </c>
      <c r="I24" s="486"/>
      <c r="J24" s="396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396"/>
      <c r="G25" s="491"/>
      <c r="H25" s="396"/>
      <c r="I25" s="413" t="s">
        <v>2484</v>
      </c>
      <c r="J25" s="413" t="s">
        <v>2481</v>
      </c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1943</v>
      </c>
      <c r="D26" s="265"/>
      <c r="E26" s="396"/>
      <c r="F26" s="396"/>
      <c r="G26" s="396"/>
      <c r="H26" s="396"/>
      <c r="I26" s="493"/>
      <c r="J26" s="396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1944</v>
      </c>
      <c r="D27" s="265"/>
      <c r="E27" s="396"/>
      <c r="F27" s="484"/>
      <c r="G27" s="484"/>
      <c r="H27" s="498"/>
      <c r="I27" s="497"/>
      <c r="J27" s="497"/>
      <c r="K27" s="495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1952</v>
      </c>
      <c r="C28" s="470" t="s">
        <v>9</v>
      </c>
      <c r="D28" s="265"/>
      <c r="E28" s="396"/>
      <c r="F28" s="483" t="s">
        <v>2529</v>
      </c>
      <c r="G28" s="1577" t="s">
        <v>2565</v>
      </c>
      <c r="H28" s="1577"/>
      <c r="I28" s="1556" t="s">
        <v>2545</v>
      </c>
      <c r="J28" s="1557"/>
      <c r="K28" s="496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1947</v>
      </c>
      <c r="D29" s="265"/>
      <c r="E29" s="396"/>
      <c r="F29" s="1522" t="s">
        <v>2564</v>
      </c>
      <c r="G29" s="1545"/>
      <c r="H29" s="1618" t="s">
        <v>2523</v>
      </c>
      <c r="I29" s="1619"/>
      <c r="J29" s="416" t="s">
        <v>2503</v>
      </c>
      <c r="K29" s="49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1944</v>
      </c>
      <c r="D30" s="265"/>
      <c r="E30" s="396"/>
      <c r="F30" s="325" t="s">
        <v>2060</v>
      </c>
      <c r="G30" s="325" t="s">
        <v>2238</v>
      </c>
      <c r="H30" s="325" t="s">
        <v>2238</v>
      </c>
      <c r="I30" s="325" t="s">
        <v>2238</v>
      </c>
      <c r="J30" s="325" t="s">
        <v>2061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1953</v>
      </c>
      <c r="C31" s="125" t="s">
        <v>1954</v>
      </c>
      <c r="D31" s="265"/>
      <c r="E31" s="396"/>
      <c r="F31" s="396"/>
      <c r="G31" s="396"/>
      <c r="H31" s="396"/>
      <c r="I31" s="396"/>
      <c r="J31" s="396"/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18</v>
      </c>
      <c r="F32" s="304">
        <f t="shared" ref="F32:K32" si="2">E32+1</f>
        <v>19</v>
      </c>
      <c r="G32" s="304">
        <f t="shared" si="2"/>
        <v>20</v>
      </c>
      <c r="H32" s="304">
        <f t="shared" si="2"/>
        <v>21</v>
      </c>
      <c r="I32" s="304">
        <f t="shared" si="2"/>
        <v>22</v>
      </c>
      <c r="J32" s="304">
        <f t="shared" si="2"/>
        <v>23</v>
      </c>
      <c r="K32" s="65">
        <f t="shared" si="2"/>
        <v>24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1951</v>
      </c>
      <c r="C33" s="324" t="s">
        <v>1946</v>
      </c>
      <c r="D33" s="265"/>
      <c r="E33" s="301"/>
      <c r="F33" s="301"/>
      <c r="G33" s="354" t="s">
        <v>2430</v>
      </c>
      <c r="H33" s="419" t="s">
        <v>2637</v>
      </c>
      <c r="I33" s="419" t="s">
        <v>2638</v>
      </c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413" t="s">
        <v>2482</v>
      </c>
      <c r="G34" s="301"/>
      <c r="H34" s="301"/>
      <c r="I34" s="301"/>
      <c r="J34" s="413" t="s">
        <v>2552</v>
      </c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1943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1944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1952</v>
      </c>
      <c r="C37" s="324" t="s">
        <v>1946</v>
      </c>
      <c r="D37" s="265"/>
      <c r="E37" s="301"/>
      <c r="F37" s="1556" t="s">
        <v>2568</v>
      </c>
      <c r="G37" s="1557"/>
      <c r="H37" s="1556" t="s">
        <v>2550</v>
      </c>
      <c r="I37" s="1557"/>
      <c r="J37" s="1556" t="s">
        <v>2631</v>
      </c>
      <c r="K37" s="1557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1947</v>
      </c>
      <c r="D38" s="265"/>
      <c r="E38" s="301"/>
      <c r="F38" s="1610" t="s">
        <v>2503</v>
      </c>
      <c r="G38" s="1621"/>
      <c r="H38" s="413" t="s">
        <v>2554</v>
      </c>
      <c r="I38" s="1522" t="s">
        <v>2544</v>
      </c>
      <c r="J38" s="1545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1944</v>
      </c>
      <c r="D39" s="265"/>
      <c r="E39" s="301"/>
      <c r="F39" s="502" t="s">
        <v>2556</v>
      </c>
      <c r="G39" s="502" t="s">
        <v>2556</v>
      </c>
      <c r="H39" s="502" t="s">
        <v>2556</v>
      </c>
      <c r="I39" s="502" t="s">
        <v>2555</v>
      </c>
      <c r="J39" s="502" t="s">
        <v>2555</v>
      </c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97" t="s">
        <v>1953</v>
      </c>
      <c r="C40" s="125" t="s">
        <v>1954</v>
      </c>
      <c r="D40" s="265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70">
        <f>K32+1</f>
        <v>25</v>
      </c>
      <c r="F41" s="175">
        <f t="shared" ref="F41:K41" si="3">E41+1</f>
        <v>26</v>
      </c>
      <c r="G41" s="175">
        <f t="shared" si="3"/>
        <v>27</v>
      </c>
      <c r="H41" s="175">
        <f t="shared" si="3"/>
        <v>28</v>
      </c>
      <c r="I41" s="175">
        <f t="shared" si="3"/>
        <v>29</v>
      </c>
      <c r="J41" s="175">
        <f t="shared" si="3"/>
        <v>30</v>
      </c>
      <c r="K41" s="175">
        <f t="shared" si="3"/>
        <v>31</v>
      </c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1951</v>
      </c>
      <c r="C42" s="324" t="s">
        <v>1946</v>
      </c>
      <c r="D42" s="265"/>
      <c r="E42" s="396"/>
      <c r="F42" s="396"/>
      <c r="G42" s="419" t="s">
        <v>2547</v>
      </c>
      <c r="H42" s="419" t="s">
        <v>2548</v>
      </c>
      <c r="I42" s="419" t="s">
        <v>2549</v>
      </c>
      <c r="J42" s="396"/>
      <c r="K42" s="396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265"/>
      <c r="E43" s="396"/>
      <c r="F43" s="413" t="s">
        <v>2634</v>
      </c>
      <c r="G43" s="396"/>
      <c r="H43" s="396"/>
      <c r="I43" s="396"/>
      <c r="J43" s="413" t="s">
        <v>3219</v>
      </c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1943</v>
      </c>
      <c r="D44" s="265"/>
      <c r="E44" s="396"/>
      <c r="F44" s="396"/>
      <c r="G44" s="396"/>
      <c r="H44" s="396"/>
      <c r="I44" s="396"/>
      <c r="J44" s="396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1944</v>
      </c>
      <c r="D45" s="265"/>
      <c r="E45" s="396"/>
      <c r="F45" s="477"/>
      <c r="G45" s="511"/>
      <c r="H45" s="511"/>
      <c r="I45" s="494"/>
      <c r="J45" s="494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1952</v>
      </c>
      <c r="C46" s="324" t="s">
        <v>1946</v>
      </c>
      <c r="D46" s="265"/>
      <c r="E46" s="396"/>
      <c r="F46" s="1556" t="s">
        <v>2479</v>
      </c>
      <c r="G46" s="1557"/>
      <c r="H46" s="1556" t="s">
        <v>2517</v>
      </c>
      <c r="I46" s="1557"/>
      <c r="J46" s="1592" t="s">
        <v>2521</v>
      </c>
      <c r="K46" s="1593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1947</v>
      </c>
      <c r="D47" s="265"/>
      <c r="E47" s="396"/>
      <c r="F47" s="413" t="s">
        <v>2546</v>
      </c>
      <c r="G47" s="1522" t="s">
        <v>2553</v>
      </c>
      <c r="H47" s="1545"/>
      <c r="I47" s="1578" t="s">
        <v>3218</v>
      </c>
      <c r="J47" s="1578"/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1944</v>
      </c>
      <c r="D48" s="265"/>
      <c r="E48" s="396"/>
      <c r="F48" s="502" t="s">
        <v>2557</v>
      </c>
      <c r="G48" s="502" t="s">
        <v>2557</v>
      </c>
      <c r="H48" s="502" t="s">
        <v>2558</v>
      </c>
      <c r="I48" s="349" t="s">
        <v>2559</v>
      </c>
      <c r="J48" s="349" t="s">
        <v>2559</v>
      </c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97" t="s">
        <v>1953</v>
      </c>
      <c r="C49" s="125" t="s">
        <v>1954</v>
      </c>
      <c r="D49" s="265"/>
      <c r="E49" s="386" t="s">
        <v>1994</v>
      </c>
      <c r="F49" s="396"/>
      <c r="G49" s="396"/>
      <c r="H49" s="396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</sheetData>
  <mergeCells count="31">
    <mergeCell ref="B15:B18"/>
    <mergeCell ref="B19:B21"/>
    <mergeCell ref="F19:G19"/>
    <mergeCell ref="J19:K19"/>
    <mergeCell ref="H19:I19"/>
    <mergeCell ref="H20:I20"/>
    <mergeCell ref="E3:G3"/>
    <mergeCell ref="H3:K3"/>
    <mergeCell ref="B6:B9"/>
    <mergeCell ref="B10:B12"/>
    <mergeCell ref="J10:K10"/>
    <mergeCell ref="B24:B27"/>
    <mergeCell ref="B28:B30"/>
    <mergeCell ref="F29:G29"/>
    <mergeCell ref="H29:I29"/>
    <mergeCell ref="G28:H28"/>
    <mergeCell ref="I28:J28"/>
    <mergeCell ref="J46:K46"/>
    <mergeCell ref="B46:B48"/>
    <mergeCell ref="G47:H47"/>
    <mergeCell ref="I47:J47"/>
    <mergeCell ref="B33:B36"/>
    <mergeCell ref="B37:B39"/>
    <mergeCell ref="F46:G46"/>
    <mergeCell ref="H46:I46"/>
    <mergeCell ref="B42:B45"/>
    <mergeCell ref="F37:G37"/>
    <mergeCell ref="H37:I37"/>
    <mergeCell ref="J37:K37"/>
    <mergeCell ref="I38:J38"/>
    <mergeCell ref="F38:G38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pageSetUpPr fitToPage="1"/>
  </sheetPr>
  <dimension ref="A1:S49"/>
  <sheetViews>
    <sheetView zoomScale="55" zoomScaleNormal="55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44927</v>
      </c>
      <c r="F3" s="1450"/>
      <c r="G3" s="1450"/>
      <c r="H3" s="1451" t="s">
        <v>1940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>
        <v>1</v>
      </c>
      <c r="F5" s="175">
        <v>2</v>
      </c>
      <c r="G5" s="175">
        <v>3</v>
      </c>
      <c r="H5" s="175">
        <v>4</v>
      </c>
      <c r="I5" s="175">
        <v>5</v>
      </c>
      <c r="J5" s="175">
        <f>I5+1</f>
        <v>6</v>
      </c>
      <c r="K5" s="175">
        <f>J5+1</f>
        <v>7</v>
      </c>
      <c r="L5" s="90"/>
      <c r="M5" s="90"/>
      <c r="N5" s="90"/>
      <c r="R5" s="11"/>
      <c r="S5" s="90"/>
    </row>
    <row r="6" spans="1:19" s="5" customFormat="1" ht="24.6" customHeight="1">
      <c r="B6" s="1467" t="s">
        <v>1951</v>
      </c>
      <c r="C6" s="324" t="s">
        <v>1946</v>
      </c>
      <c r="D6" s="265"/>
      <c r="E6" s="396"/>
      <c r="F6" s="396"/>
      <c r="G6" s="492"/>
      <c r="H6" s="492"/>
      <c r="I6" s="492"/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499"/>
      <c r="G7" s="396"/>
      <c r="H7" s="396"/>
      <c r="I7" s="413" t="s">
        <v>2534</v>
      </c>
      <c r="J7" s="413" t="s">
        <v>2535</v>
      </c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1943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1944</v>
      </c>
      <c r="D9" s="265"/>
      <c r="E9" s="396"/>
      <c r="F9" s="477"/>
      <c r="G9" s="477"/>
      <c r="H9" s="396"/>
      <c r="I9" s="481"/>
      <c r="J9" s="481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1952</v>
      </c>
      <c r="C10" s="324" t="s">
        <v>1946</v>
      </c>
      <c r="D10" s="265"/>
      <c r="E10" s="396"/>
      <c r="F10" s="1556" t="s">
        <v>2635</v>
      </c>
      <c r="G10" s="1557"/>
      <c r="H10" s="1556" t="s">
        <v>2636</v>
      </c>
      <c r="I10" s="1557"/>
      <c r="J10" s="1556" t="s">
        <v>2710</v>
      </c>
      <c r="K10" s="1557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1947</v>
      </c>
      <c r="D11" s="265"/>
      <c r="E11" s="396"/>
      <c r="F11" s="1522" t="s">
        <v>2543</v>
      </c>
      <c r="G11" s="1545"/>
      <c r="H11" s="1523" t="s">
        <v>2524</v>
      </c>
      <c r="I11" s="1523"/>
      <c r="J11" s="333" t="s">
        <v>2641</v>
      </c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1944</v>
      </c>
      <c r="D12" s="265"/>
      <c r="E12" s="396"/>
      <c r="F12" s="349" t="s">
        <v>2561</v>
      </c>
      <c r="G12" s="349" t="s">
        <v>2561</v>
      </c>
      <c r="H12" s="349" t="s">
        <v>2561</v>
      </c>
      <c r="I12" s="349" t="s">
        <v>2563</v>
      </c>
      <c r="J12" s="349" t="s">
        <v>2563</v>
      </c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1953</v>
      </c>
      <c r="C13" s="125" t="s">
        <v>1954</v>
      </c>
      <c r="D13" s="265"/>
      <c r="E13" s="396"/>
      <c r="F13" s="396"/>
      <c r="G13" s="396"/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8</v>
      </c>
      <c r="F14" s="65">
        <f t="shared" ref="F14:K14" si="0">E14+1</f>
        <v>9</v>
      </c>
      <c r="G14" s="65">
        <f t="shared" si="0"/>
        <v>10</v>
      </c>
      <c r="H14" s="65">
        <f t="shared" si="0"/>
        <v>11</v>
      </c>
      <c r="I14" s="65">
        <f t="shared" si="0"/>
        <v>12</v>
      </c>
      <c r="J14" s="65">
        <f t="shared" si="0"/>
        <v>13</v>
      </c>
      <c r="K14" s="65">
        <f t="shared" si="0"/>
        <v>14</v>
      </c>
    </row>
    <row r="15" spans="1:19" ht="24.6" customHeight="1">
      <c r="A15" s="84"/>
      <c r="B15" s="1467" t="s">
        <v>1951</v>
      </c>
      <c r="C15" s="324" t="s">
        <v>1946</v>
      </c>
      <c r="D15" s="265"/>
      <c r="E15" s="301"/>
      <c r="F15" s="301"/>
      <c r="G15" s="301"/>
      <c r="H15" s="301"/>
      <c r="I15" s="301"/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301"/>
      <c r="G16" s="301"/>
      <c r="H16" s="413" t="s">
        <v>2537</v>
      </c>
      <c r="I16" s="413" t="s">
        <v>2538</v>
      </c>
      <c r="J16" s="413" t="s">
        <v>2539</v>
      </c>
      <c r="K16" s="301"/>
    </row>
    <row r="17" spans="1:19" ht="24.6" customHeight="1">
      <c r="A17" s="84"/>
      <c r="B17" s="1467"/>
      <c r="C17" s="163" t="s">
        <v>1943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1944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1952</v>
      </c>
      <c r="C19" s="324" t="s">
        <v>1946</v>
      </c>
      <c r="D19" s="265"/>
      <c r="E19" s="301"/>
      <c r="F19" s="1556" t="s">
        <v>2646</v>
      </c>
      <c r="G19" s="1557"/>
      <c r="H19" s="1556" t="s">
        <v>2644</v>
      </c>
      <c r="I19" s="1557"/>
      <c r="J19" s="1556" t="s">
        <v>2670</v>
      </c>
      <c r="K19" s="1557"/>
    </row>
    <row r="20" spans="1:19" ht="24" customHeight="1">
      <c r="A20" s="84"/>
      <c r="B20" s="1467"/>
      <c r="C20" s="290" t="s">
        <v>1947</v>
      </c>
      <c r="D20" s="265"/>
      <c r="E20" s="301"/>
      <c r="F20" s="416" t="s">
        <v>2641</v>
      </c>
      <c r="G20" s="1589" t="s">
        <v>2642</v>
      </c>
      <c r="H20" s="1590"/>
      <c r="I20" s="1578" t="s">
        <v>2633</v>
      </c>
      <c r="J20" s="1578"/>
      <c r="K20" s="301"/>
    </row>
    <row r="21" spans="1:19" ht="24" customHeight="1">
      <c r="A21" s="84"/>
      <c r="B21" s="1467"/>
      <c r="C21" s="325" t="s">
        <v>1944</v>
      </c>
      <c r="D21" s="265"/>
      <c r="E21" s="301"/>
      <c r="F21" s="349" t="s">
        <v>2566</v>
      </c>
      <c r="G21" s="349" t="s">
        <v>2566</v>
      </c>
      <c r="H21" s="349" t="s">
        <v>2566</v>
      </c>
      <c r="I21" s="349" t="s">
        <v>2567</v>
      </c>
      <c r="J21" s="349" t="s">
        <v>2567</v>
      </c>
      <c r="K21" s="301"/>
    </row>
    <row r="22" spans="1:19" ht="24.6" customHeight="1">
      <c r="A22" s="84"/>
      <c r="B22" s="397" t="s">
        <v>1953</v>
      </c>
      <c r="C22" s="125" t="s">
        <v>1954</v>
      </c>
      <c r="D22" s="265"/>
      <c r="E22" s="301"/>
      <c r="F22" s="301"/>
      <c r="G22" s="301"/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15</v>
      </c>
      <c r="F23" s="175">
        <f t="shared" ref="F23:K23" si="1">E23+1</f>
        <v>16</v>
      </c>
      <c r="G23" s="175">
        <f t="shared" si="1"/>
        <v>17</v>
      </c>
      <c r="H23" s="175">
        <f t="shared" si="1"/>
        <v>18</v>
      </c>
      <c r="I23" s="175">
        <f t="shared" si="1"/>
        <v>19</v>
      </c>
      <c r="J23" s="175">
        <f t="shared" si="1"/>
        <v>20</v>
      </c>
      <c r="K23" s="175">
        <f t="shared" si="1"/>
        <v>21</v>
      </c>
      <c r="M23" s="203"/>
      <c r="N23" s="203"/>
      <c r="O23" s="203"/>
    </row>
    <row r="24" spans="1:19" ht="24.6" customHeight="1">
      <c r="A24" s="84"/>
      <c r="B24" s="1467" t="s">
        <v>1951</v>
      </c>
      <c r="C24" s="324" t="s">
        <v>1946</v>
      </c>
      <c r="D24" s="265"/>
      <c r="E24" s="396"/>
      <c r="F24" s="396"/>
      <c r="G24" s="492"/>
      <c r="H24" s="513"/>
      <c r="I24" s="492"/>
      <c r="J24" s="513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413" t="s">
        <v>2541</v>
      </c>
      <c r="G25" s="413" t="s">
        <v>2542</v>
      </c>
      <c r="H25" s="413" t="s">
        <v>2540</v>
      </c>
      <c r="I25" s="513"/>
      <c r="J25" s="413" t="s">
        <v>2648</v>
      </c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1943</v>
      </c>
      <c r="D26" s="265"/>
      <c r="E26" s="396"/>
      <c r="F26" s="396"/>
      <c r="G26" s="396"/>
      <c r="H26" s="396"/>
      <c r="I26" s="396"/>
      <c r="J26" s="396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1944</v>
      </c>
      <c r="D27" s="265"/>
      <c r="E27" s="396"/>
      <c r="F27" s="481"/>
      <c r="G27" s="481"/>
      <c r="H27" s="396"/>
      <c r="I27" s="477"/>
      <c r="J27" s="477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1952</v>
      </c>
      <c r="C28" s="324" t="s">
        <v>9</v>
      </c>
      <c r="D28" s="265"/>
      <c r="E28" s="1556" t="s">
        <v>2695</v>
      </c>
      <c r="F28" s="1557"/>
      <c r="G28" s="1556" t="s">
        <v>2664</v>
      </c>
      <c r="H28" s="1557"/>
      <c r="I28" s="1556" t="s">
        <v>2649</v>
      </c>
      <c r="J28" s="1557"/>
      <c r="K28" s="469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1947</v>
      </c>
      <c r="D29" s="265"/>
      <c r="E29" s="396"/>
      <c r="F29" s="1578" t="s">
        <v>2645</v>
      </c>
      <c r="G29" s="1578"/>
      <c r="H29" s="1578" t="s">
        <v>2527</v>
      </c>
      <c r="I29" s="1578"/>
      <c r="J29" s="416" t="s">
        <v>2532</v>
      </c>
      <c r="K29" s="39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265"/>
      <c r="E30" s="396"/>
      <c r="F30" s="349" t="s">
        <v>2569</v>
      </c>
      <c r="G30" s="361" t="s">
        <v>2570</v>
      </c>
      <c r="H30" s="361" t="s">
        <v>2570</v>
      </c>
      <c r="I30" s="349" t="s">
        <v>2571</v>
      </c>
      <c r="J30" s="361" t="s">
        <v>2572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317</v>
      </c>
      <c r="C31" s="125" t="s">
        <v>228</v>
      </c>
      <c r="D31" s="265"/>
      <c r="E31" s="396"/>
      <c r="F31" s="396"/>
      <c r="G31" s="396"/>
      <c r="H31" s="396"/>
      <c r="I31" s="396"/>
      <c r="J31" s="396"/>
      <c r="K31" s="386" t="s">
        <v>1995</v>
      </c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22</v>
      </c>
      <c r="F32" s="304">
        <f t="shared" ref="F32:K32" si="2">E32+1</f>
        <v>23</v>
      </c>
      <c r="G32" s="304">
        <f t="shared" si="2"/>
        <v>24</v>
      </c>
      <c r="H32" s="304">
        <f t="shared" si="2"/>
        <v>25</v>
      </c>
      <c r="I32" s="304">
        <f t="shared" si="2"/>
        <v>26</v>
      </c>
      <c r="J32" s="304">
        <f t="shared" si="2"/>
        <v>27</v>
      </c>
      <c r="K32" s="65">
        <f t="shared" si="2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1966</v>
      </c>
      <c r="C33" s="324" t="s">
        <v>1970</v>
      </c>
      <c r="D33" s="265"/>
      <c r="E33" s="301"/>
      <c r="F33" s="301"/>
      <c r="G33" s="301"/>
      <c r="H33" s="301"/>
      <c r="I33" s="301"/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301"/>
      <c r="G34" s="301"/>
      <c r="H34" s="413" t="s">
        <v>2536</v>
      </c>
      <c r="I34" s="413" t="s">
        <v>2657</v>
      </c>
      <c r="J34" s="413" t="s">
        <v>2639</v>
      </c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1964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1968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1969</v>
      </c>
      <c r="C37" s="324" t="s">
        <v>1970</v>
      </c>
      <c r="D37" s="265"/>
      <c r="E37" s="301"/>
      <c r="F37" s="301"/>
      <c r="G37" s="301"/>
      <c r="H37" s="1556" t="s">
        <v>2671</v>
      </c>
      <c r="I37" s="1574"/>
      <c r="J37" s="1556" t="s">
        <v>2685</v>
      </c>
      <c r="K37" s="1557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1971</v>
      </c>
      <c r="D38" s="265"/>
      <c r="E38" s="301"/>
      <c r="F38" s="301"/>
      <c r="G38" s="301"/>
      <c r="H38" s="1610" t="s">
        <v>2532</v>
      </c>
      <c r="I38" s="1611"/>
      <c r="J38" s="416" t="s">
        <v>2647</v>
      </c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1968</v>
      </c>
      <c r="D39" s="265"/>
      <c r="E39" s="301"/>
      <c r="F39" s="301"/>
      <c r="G39" s="301"/>
      <c r="H39" s="349" t="s">
        <v>2573</v>
      </c>
      <c r="I39" s="361" t="s">
        <v>2574</v>
      </c>
      <c r="J39" s="361" t="s">
        <v>2574</v>
      </c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97" t="s">
        <v>1973</v>
      </c>
      <c r="C40" s="125" t="s">
        <v>1974</v>
      </c>
      <c r="D40" s="265"/>
      <c r="E40" s="386" t="s">
        <v>1996</v>
      </c>
      <c r="F40" s="386" t="s">
        <v>1996</v>
      </c>
      <c r="G40" s="386" t="s">
        <v>1996</v>
      </c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70">
        <f>K32+1</f>
        <v>29</v>
      </c>
      <c r="F41" s="175">
        <f>E41+1</f>
        <v>30</v>
      </c>
      <c r="G41" s="175">
        <f>F41+1</f>
        <v>31</v>
      </c>
      <c r="H41" s="175"/>
      <c r="I41" s="175"/>
      <c r="J41" s="175"/>
      <c r="K41" s="175"/>
      <c r="L41" s="84"/>
      <c r="M41" s="84"/>
      <c r="N41" s="84">
        <v>1</v>
      </c>
      <c r="O41" s="84"/>
      <c r="P41" s="84"/>
      <c r="Q41" s="84"/>
      <c r="R41" s="84"/>
      <c r="S41" s="84"/>
    </row>
    <row r="42" spans="1:19" ht="24.6" customHeight="1">
      <c r="A42" s="84"/>
      <c r="B42" s="1467" t="s">
        <v>1966</v>
      </c>
      <c r="C42" s="324" t="s">
        <v>1970</v>
      </c>
      <c r="D42" s="265"/>
      <c r="E42" s="396"/>
      <c r="F42" s="523"/>
      <c r="G42" s="282" t="s">
        <v>2666</v>
      </c>
      <c r="H42" s="492"/>
      <c r="I42" s="492"/>
      <c r="J42" s="396"/>
      <c r="K42" s="396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265"/>
      <c r="E43" s="396"/>
      <c r="F43" s="512"/>
      <c r="G43" s="512"/>
      <c r="H43" s="396"/>
      <c r="I43" s="396"/>
      <c r="J43" s="396"/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1964</v>
      </c>
      <c r="D44" s="265"/>
      <c r="E44" s="396"/>
      <c r="F44" s="396"/>
      <c r="G44" s="396"/>
      <c r="H44" s="396"/>
      <c r="I44" s="396"/>
      <c r="J44" s="396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1968</v>
      </c>
      <c r="D45" s="265"/>
      <c r="E45" s="396"/>
      <c r="F45" s="481"/>
      <c r="G45" s="514"/>
      <c r="H45" s="396"/>
      <c r="I45" s="396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1969</v>
      </c>
      <c r="C46" s="324" t="s">
        <v>1970</v>
      </c>
      <c r="D46" s="265"/>
      <c r="E46" s="396"/>
      <c r="F46" s="1556" t="s">
        <v>2902</v>
      </c>
      <c r="G46" s="1557"/>
      <c r="H46" s="396"/>
      <c r="I46" s="396"/>
      <c r="J46" s="396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1971</v>
      </c>
      <c r="D47" s="265"/>
      <c r="E47" s="396"/>
      <c r="F47" s="1610" t="s">
        <v>2656</v>
      </c>
      <c r="G47" s="1611"/>
      <c r="H47" s="515"/>
      <c r="I47" s="481"/>
      <c r="J47" s="396"/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1968</v>
      </c>
      <c r="D48" s="265"/>
      <c r="E48" s="396"/>
      <c r="F48" s="325" t="s">
        <v>2575</v>
      </c>
      <c r="G48" s="325" t="s">
        <v>2576</v>
      </c>
      <c r="H48" s="434"/>
      <c r="I48" s="396"/>
      <c r="J48" s="396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97" t="s">
        <v>1973</v>
      </c>
      <c r="C49" s="125" t="s">
        <v>1974</v>
      </c>
      <c r="D49" s="265"/>
      <c r="E49" s="396"/>
      <c r="F49" s="396"/>
      <c r="G49" s="396"/>
      <c r="H49" s="396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</sheetData>
  <mergeCells count="32">
    <mergeCell ref="E3:G3"/>
    <mergeCell ref="H3:K3"/>
    <mergeCell ref="B6:B9"/>
    <mergeCell ref="B10:B12"/>
    <mergeCell ref="F10:G10"/>
    <mergeCell ref="H10:I10"/>
    <mergeCell ref="J10:K10"/>
    <mergeCell ref="F11:G11"/>
    <mergeCell ref="H11:I11"/>
    <mergeCell ref="G20:H20"/>
    <mergeCell ref="I20:J20"/>
    <mergeCell ref="B15:B18"/>
    <mergeCell ref="B19:B21"/>
    <mergeCell ref="F19:G19"/>
    <mergeCell ref="H19:I19"/>
    <mergeCell ref="J19:K19"/>
    <mergeCell ref="J37:K37"/>
    <mergeCell ref="I28:J28"/>
    <mergeCell ref="F29:G29"/>
    <mergeCell ref="H29:I29"/>
    <mergeCell ref="B24:B27"/>
    <mergeCell ref="B42:B45"/>
    <mergeCell ref="B46:B48"/>
    <mergeCell ref="B28:B30"/>
    <mergeCell ref="F46:G46"/>
    <mergeCell ref="G28:H28"/>
    <mergeCell ref="E28:F28"/>
    <mergeCell ref="B37:B39"/>
    <mergeCell ref="B33:B36"/>
    <mergeCell ref="H37:I37"/>
    <mergeCell ref="H38:I38"/>
    <mergeCell ref="F47:G47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pageSetUpPr fitToPage="1"/>
  </sheetPr>
  <dimension ref="A1:S55"/>
  <sheetViews>
    <sheetView zoomScale="55" zoomScaleNormal="55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44958</v>
      </c>
      <c r="F3" s="1450"/>
      <c r="G3" s="1450"/>
      <c r="H3" s="1451" t="s">
        <v>1940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>
        <v>1</v>
      </c>
      <c r="I5" s="175">
        <v>2</v>
      </c>
      <c r="J5" s="175">
        <f>I5+1</f>
        <v>3</v>
      </c>
      <c r="K5" s="175">
        <f>J5+1</f>
        <v>4</v>
      </c>
      <c r="L5" s="90"/>
      <c r="M5" s="90"/>
      <c r="N5" s="90"/>
      <c r="R5" s="11"/>
      <c r="S5" s="90"/>
    </row>
    <row r="6" spans="1:19" s="5" customFormat="1" ht="24.6" customHeight="1">
      <c r="B6" s="1467" t="s">
        <v>1951</v>
      </c>
      <c r="C6" s="324" t="s">
        <v>1946</v>
      </c>
      <c r="D6" s="265"/>
      <c r="E6" s="396"/>
      <c r="F6" s="396"/>
      <c r="G6" s="396"/>
      <c r="H6" s="525"/>
      <c r="I6" s="492"/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525"/>
      <c r="I7" s="516"/>
      <c r="J7" s="516"/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1943</v>
      </c>
      <c r="D8" s="265"/>
      <c r="E8" s="396"/>
      <c r="F8" s="396"/>
      <c r="G8" s="396"/>
      <c r="H8" s="396"/>
      <c r="I8" s="481"/>
      <c r="J8" s="481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1944</v>
      </c>
      <c r="D9" s="265"/>
      <c r="E9" s="396"/>
      <c r="F9" s="396"/>
      <c r="G9" s="396"/>
      <c r="H9" s="396"/>
      <c r="I9" s="514"/>
      <c r="J9" s="396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1952</v>
      </c>
      <c r="C10" s="324" t="s">
        <v>1946</v>
      </c>
      <c r="D10" s="265"/>
      <c r="E10" s="396"/>
      <c r="F10" s="396"/>
      <c r="G10" s="396"/>
      <c r="H10" s="522"/>
      <c r="I10" s="1556" t="s">
        <v>2658</v>
      </c>
      <c r="J10" s="1557"/>
      <c r="K10" s="499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1947</v>
      </c>
      <c r="D11" s="265"/>
      <c r="E11" s="396"/>
      <c r="F11" s="396"/>
      <c r="G11" s="396"/>
      <c r="H11" s="1610" t="s">
        <v>2530</v>
      </c>
      <c r="I11" s="1621"/>
      <c r="J11" s="367" t="s">
        <v>2650</v>
      </c>
      <c r="K11" s="501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1944</v>
      </c>
      <c r="D12" s="265"/>
      <c r="E12" s="396"/>
      <c r="F12" s="396"/>
      <c r="G12" s="396"/>
      <c r="H12" s="325" t="s">
        <v>2577</v>
      </c>
      <c r="I12" s="325" t="s">
        <v>2577</v>
      </c>
      <c r="J12" s="325" t="s">
        <v>2577</v>
      </c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1953</v>
      </c>
      <c r="C13" s="125" t="s">
        <v>1954</v>
      </c>
      <c r="D13" s="265"/>
      <c r="E13" s="396"/>
      <c r="F13" s="396"/>
      <c r="G13" s="396"/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5</v>
      </c>
      <c r="F14" s="65">
        <f t="shared" ref="F14:K14" si="0">E14+1</f>
        <v>6</v>
      </c>
      <c r="G14" s="65">
        <f t="shared" si="0"/>
        <v>7</v>
      </c>
      <c r="H14" s="65">
        <f t="shared" si="0"/>
        <v>8</v>
      </c>
      <c r="I14" s="65">
        <f t="shared" si="0"/>
        <v>9</v>
      </c>
      <c r="J14" s="65">
        <f t="shared" si="0"/>
        <v>10</v>
      </c>
      <c r="K14" s="65">
        <f t="shared" si="0"/>
        <v>11</v>
      </c>
    </row>
    <row r="15" spans="1:19" ht="24.6" customHeight="1">
      <c r="A15" s="84"/>
      <c r="B15" s="1467" t="s">
        <v>1951</v>
      </c>
      <c r="C15" s="324" t="s">
        <v>1946</v>
      </c>
      <c r="D15" s="265"/>
      <c r="E15" s="301"/>
      <c r="F15" s="1506" t="s">
        <v>2665</v>
      </c>
      <c r="G15" s="1625"/>
      <c r="H15" s="1625"/>
      <c r="I15" s="1625"/>
      <c r="J15" s="1507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301"/>
      <c r="K16" s="301"/>
    </row>
    <row r="17" spans="1:19" ht="24.6" customHeight="1">
      <c r="A17" s="84"/>
      <c r="B17" s="1467"/>
      <c r="C17" s="163" t="s">
        <v>1943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1944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1952</v>
      </c>
      <c r="C19" s="324" t="s">
        <v>1946</v>
      </c>
      <c r="D19" s="265"/>
      <c r="E19" s="301"/>
      <c r="F19" s="301"/>
      <c r="G19" s="301"/>
      <c r="H19" s="301"/>
      <c r="I19" s="301"/>
      <c r="J19" s="527" t="s">
        <v>2691</v>
      </c>
      <c r="K19" s="527" t="s">
        <v>2690</v>
      </c>
    </row>
    <row r="20" spans="1:19" ht="24" customHeight="1">
      <c r="A20" s="84"/>
      <c r="B20" s="1467"/>
      <c r="C20" s="290" t="s">
        <v>1947</v>
      </c>
      <c r="D20" s="265"/>
      <c r="E20" s="301"/>
      <c r="F20" s="519" t="s">
        <v>2650</v>
      </c>
      <c r="G20" s="1610" t="s">
        <v>2629</v>
      </c>
      <c r="H20" s="1611"/>
      <c r="I20" s="301"/>
      <c r="J20" s="301"/>
      <c r="K20" s="301"/>
    </row>
    <row r="21" spans="1:19" ht="24" customHeight="1">
      <c r="A21" s="84"/>
      <c r="B21" s="1467"/>
      <c r="C21" s="325" t="s">
        <v>1944</v>
      </c>
      <c r="D21" s="265"/>
      <c r="E21" s="301"/>
      <c r="F21" s="503" t="s">
        <v>2578</v>
      </c>
      <c r="G21" s="349" t="s">
        <v>2674</v>
      </c>
      <c r="H21" s="349" t="s">
        <v>2674</v>
      </c>
      <c r="I21" s="349" t="s">
        <v>2674</v>
      </c>
      <c r="J21" s="361" t="s">
        <v>2673</v>
      </c>
      <c r="K21" s="301"/>
    </row>
    <row r="22" spans="1:19" ht="24.6" customHeight="1">
      <c r="A22" s="84"/>
      <c r="B22" s="397" t="s">
        <v>1953</v>
      </c>
      <c r="C22" s="125" t="s">
        <v>1954</v>
      </c>
      <c r="D22" s="265"/>
      <c r="E22" s="301"/>
      <c r="F22" s="301"/>
      <c r="G22" s="301"/>
      <c r="H22" s="301"/>
      <c r="I22" s="301"/>
      <c r="J22" s="301"/>
      <c r="K22" s="301"/>
    </row>
    <row r="23" spans="1:19" ht="24.6" customHeight="1">
      <c r="A23" s="84"/>
      <c r="B23" s="84"/>
      <c r="C23" s="5"/>
      <c r="D23" s="5"/>
      <c r="E23" s="26">
        <f>K14+1</f>
        <v>12</v>
      </c>
      <c r="F23" s="175">
        <f t="shared" ref="F23:K23" si="1">E23+1</f>
        <v>13</v>
      </c>
      <c r="G23" s="175">
        <f t="shared" si="1"/>
        <v>14</v>
      </c>
      <c r="H23" s="175">
        <f t="shared" si="1"/>
        <v>15</v>
      </c>
      <c r="I23" s="175">
        <f t="shared" si="1"/>
        <v>16</v>
      </c>
      <c r="J23" s="175">
        <f t="shared" si="1"/>
        <v>17</v>
      </c>
      <c r="K23" s="175">
        <f t="shared" si="1"/>
        <v>18</v>
      </c>
      <c r="M23" s="1453"/>
      <c r="N23" s="1453"/>
      <c r="O23" s="1453"/>
    </row>
    <row r="24" spans="1:19" ht="24.6" customHeight="1">
      <c r="A24" s="84"/>
      <c r="B24" s="1467" t="s">
        <v>1951</v>
      </c>
      <c r="C24" s="324" t="s">
        <v>1946</v>
      </c>
      <c r="D24" s="265"/>
      <c r="E24" s="396"/>
      <c r="F24" s="396"/>
      <c r="G24" s="396"/>
      <c r="H24" s="396"/>
      <c r="I24" s="282" t="s">
        <v>2667</v>
      </c>
      <c r="J24" s="396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520"/>
      <c r="G25" s="466" t="s">
        <v>2651</v>
      </c>
      <c r="H25" s="531"/>
      <c r="I25" s="524"/>
      <c r="J25" s="525"/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1943</v>
      </c>
      <c r="D26" s="265"/>
      <c r="E26" s="396"/>
      <c r="F26" s="396"/>
      <c r="G26" s="396"/>
      <c r="H26" s="396"/>
      <c r="I26" s="396"/>
      <c r="J26" s="396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1944</v>
      </c>
      <c r="D27" s="265"/>
      <c r="E27" s="396"/>
      <c r="F27" s="396"/>
      <c r="G27" s="517"/>
      <c r="H27" s="515"/>
      <c r="I27" s="518"/>
      <c r="J27" s="518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1952</v>
      </c>
      <c r="C28" s="324" t="s">
        <v>1946</v>
      </c>
      <c r="D28" s="265"/>
      <c r="E28" s="396"/>
      <c r="F28" s="396"/>
      <c r="G28" s="396"/>
      <c r="H28" s="396"/>
      <c r="I28" s="518"/>
      <c r="J28" s="518"/>
      <c r="K28" s="518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1947</v>
      </c>
      <c r="D29" s="265"/>
      <c r="E29" s="396"/>
      <c r="F29" s="1578" t="s">
        <v>2643</v>
      </c>
      <c r="G29" s="1578"/>
      <c r="H29" s="1624" t="s">
        <v>2661</v>
      </c>
      <c r="I29" s="1624"/>
      <c r="J29" s="528"/>
      <c r="K29" s="518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290"/>
      <c r="D30" s="265"/>
      <c r="E30" s="528"/>
      <c r="F30" s="528"/>
      <c r="G30" s="1622" t="s">
        <v>2660</v>
      </c>
      <c r="H30" s="1623"/>
      <c r="I30" s="1523" t="s">
        <v>2632</v>
      </c>
      <c r="J30" s="1545"/>
      <c r="K30" s="528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325" t="s">
        <v>1944</v>
      </c>
      <c r="D31" s="265"/>
      <c r="E31" s="396"/>
      <c r="F31" s="361" t="s">
        <v>2673</v>
      </c>
      <c r="G31" s="361" t="s">
        <v>2673</v>
      </c>
      <c r="H31" s="361" t="s">
        <v>2673</v>
      </c>
      <c r="I31" s="361" t="s">
        <v>2672</v>
      </c>
      <c r="J31" s="361" t="s">
        <v>2672</v>
      </c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397" t="s">
        <v>1953</v>
      </c>
      <c r="C32" s="125" t="s">
        <v>1954</v>
      </c>
      <c r="D32" s="265"/>
      <c r="E32" s="396"/>
      <c r="F32" s="396"/>
      <c r="G32" s="396"/>
      <c r="H32" s="396"/>
      <c r="I32" s="396"/>
      <c r="J32" s="396"/>
      <c r="K32" s="396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84"/>
      <c r="C33" s="5"/>
      <c r="D33" s="5"/>
      <c r="E33" s="266">
        <f>K23+1</f>
        <v>19</v>
      </c>
      <c r="F33" s="304">
        <f t="shared" ref="F33:K33" si="2">E33+1</f>
        <v>20</v>
      </c>
      <c r="G33" s="304">
        <f t="shared" si="2"/>
        <v>21</v>
      </c>
      <c r="H33" s="304">
        <f t="shared" si="2"/>
        <v>22</v>
      </c>
      <c r="I33" s="304">
        <f t="shared" si="2"/>
        <v>23</v>
      </c>
      <c r="J33" s="304">
        <f t="shared" si="2"/>
        <v>24</v>
      </c>
      <c r="K33" s="65">
        <f t="shared" si="2"/>
        <v>25</v>
      </c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 t="s">
        <v>1951</v>
      </c>
      <c r="C34" s="324" t="s">
        <v>1946</v>
      </c>
      <c r="D34" s="265"/>
      <c r="E34" s="301"/>
      <c r="F34" s="419" t="s">
        <v>2699</v>
      </c>
      <c r="G34" s="301"/>
      <c r="H34" s="419" t="s">
        <v>2700</v>
      </c>
      <c r="I34" s="301"/>
      <c r="J34" s="419" t="s">
        <v>2701</v>
      </c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290" t="s">
        <v>7</v>
      </c>
      <c r="D35" s="265"/>
      <c r="E35" s="301"/>
      <c r="F35" s="301"/>
      <c r="G35" s="416" t="s">
        <v>2652</v>
      </c>
      <c r="H35" s="301"/>
      <c r="I35" s="416" t="s">
        <v>2653</v>
      </c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163" t="s">
        <v>1943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325" t="s">
        <v>1944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" customHeight="1">
      <c r="A38" s="84"/>
      <c r="B38" s="1467" t="s">
        <v>1952</v>
      </c>
      <c r="C38" s="324" t="s">
        <v>1946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290" t="s">
        <v>1947</v>
      </c>
      <c r="D39" s="265"/>
      <c r="E39" s="301"/>
      <c r="F39" s="1522" t="s">
        <v>2696</v>
      </c>
      <c r="G39" s="1523"/>
      <c r="H39" s="301"/>
      <c r="I39" s="1610" t="s">
        <v>2659</v>
      </c>
      <c r="J39" s="161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325" t="s">
        <v>1944</v>
      </c>
      <c r="D40" s="265"/>
      <c r="E40" s="301"/>
      <c r="F40" s="349" t="s">
        <v>2675</v>
      </c>
      <c r="G40" s="349" t="s">
        <v>2675</v>
      </c>
      <c r="H40" s="349" t="s">
        <v>2675</v>
      </c>
      <c r="I40" s="349" t="s">
        <v>2571</v>
      </c>
      <c r="J40" s="349" t="s">
        <v>2571</v>
      </c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397" t="s">
        <v>1953</v>
      </c>
      <c r="C41" s="125" t="s">
        <v>1954</v>
      </c>
      <c r="D41" s="265"/>
      <c r="E41" s="345"/>
      <c r="F41" s="301"/>
      <c r="G41" s="301"/>
      <c r="H41" s="301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84"/>
      <c r="C42" s="269"/>
      <c r="D42" s="265"/>
      <c r="E42" s="26">
        <f>K33+1</f>
        <v>26</v>
      </c>
      <c r="F42" s="175">
        <f>E42+1</f>
        <v>27</v>
      </c>
      <c r="G42" s="175">
        <f>F42+1</f>
        <v>28</v>
      </c>
      <c r="H42" s="175"/>
      <c r="I42" s="175"/>
      <c r="J42" s="175"/>
      <c r="K42" s="175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 t="s">
        <v>1951</v>
      </c>
      <c r="C43" s="324" t="s">
        <v>1946</v>
      </c>
      <c r="D43" s="265"/>
      <c r="E43" s="396"/>
      <c r="F43" s="419" t="s">
        <v>2703</v>
      </c>
      <c r="G43" s="419" t="s">
        <v>2706</v>
      </c>
      <c r="H43" s="396"/>
      <c r="I43" s="396"/>
      <c r="J43" s="396"/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290" t="s">
        <v>7</v>
      </c>
      <c r="D44" s="265"/>
      <c r="E44" s="396"/>
      <c r="F44" s="396"/>
      <c r="G44" s="396"/>
      <c r="H44" s="396"/>
      <c r="I44" s="396"/>
      <c r="J44" s="396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163" t="s">
        <v>1943</v>
      </c>
      <c r="D45" s="265"/>
      <c r="E45" s="396"/>
      <c r="F45" s="396"/>
      <c r="G45" s="396"/>
      <c r="H45" s="396"/>
      <c r="I45" s="396"/>
      <c r="J45" s="396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325" t="s">
        <v>1944</v>
      </c>
      <c r="D46" s="265"/>
      <c r="E46" s="396"/>
      <c r="F46" s="481"/>
      <c r="G46" s="533"/>
      <c r="H46" s="396"/>
      <c r="I46" s="396"/>
      <c r="J46" s="396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 t="s">
        <v>1952</v>
      </c>
      <c r="C47" s="324" t="s">
        <v>1946</v>
      </c>
      <c r="D47" s="265"/>
      <c r="E47" s="396"/>
      <c r="F47" s="533"/>
      <c r="G47" s="533"/>
      <c r="H47" s="396"/>
      <c r="I47" s="396"/>
      <c r="J47" s="396"/>
      <c r="K47" s="39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290" t="s">
        <v>1947</v>
      </c>
      <c r="D48" s="265"/>
      <c r="E48" s="396"/>
      <c r="F48" s="536"/>
      <c r="G48" s="536"/>
      <c r="H48" s="517"/>
      <c r="I48" s="396"/>
      <c r="J48" s="396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325" t="s">
        <v>1944</v>
      </c>
      <c r="D49" s="265"/>
      <c r="E49" s="396"/>
      <c r="F49" s="503" t="s">
        <v>2676</v>
      </c>
      <c r="G49" s="503" t="s">
        <v>2677</v>
      </c>
      <c r="H49" s="396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397" t="s">
        <v>1953</v>
      </c>
      <c r="C50" s="125" t="s">
        <v>1954</v>
      </c>
      <c r="D50" s="265"/>
      <c r="E50" s="396"/>
      <c r="F50" s="396"/>
      <c r="G50" s="396"/>
      <c r="H50" s="396"/>
      <c r="I50" s="396"/>
      <c r="J50" s="396"/>
      <c r="K50" s="396"/>
      <c r="L50" s="84"/>
      <c r="M50" s="84"/>
      <c r="N50" s="84"/>
      <c r="O50" s="84"/>
      <c r="P50" s="84"/>
      <c r="Q50" s="84"/>
      <c r="R50" s="84"/>
      <c r="S50" s="84"/>
    </row>
    <row r="55" spans="1:19">
      <c r="H55" s="521"/>
    </row>
  </sheetData>
  <mergeCells count="23">
    <mergeCell ref="B6:B9"/>
    <mergeCell ref="B10:B12"/>
    <mergeCell ref="B15:B18"/>
    <mergeCell ref="F29:G29"/>
    <mergeCell ref="I10:J10"/>
    <mergeCell ref="G20:H20"/>
    <mergeCell ref="B24:B27"/>
    <mergeCell ref="E3:G3"/>
    <mergeCell ref="H3:K3"/>
    <mergeCell ref="H11:I11"/>
    <mergeCell ref="F15:J15"/>
    <mergeCell ref="M23:O23"/>
    <mergeCell ref="F39:G39"/>
    <mergeCell ref="B47:B49"/>
    <mergeCell ref="B19:B21"/>
    <mergeCell ref="B34:B37"/>
    <mergeCell ref="B38:B40"/>
    <mergeCell ref="B28:B31"/>
    <mergeCell ref="B43:B46"/>
    <mergeCell ref="G30:H30"/>
    <mergeCell ref="H29:I29"/>
    <mergeCell ref="I30:J30"/>
    <mergeCell ref="I39:J39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pageSetUpPr fitToPage="1"/>
  </sheetPr>
  <dimension ref="A1:S49"/>
  <sheetViews>
    <sheetView topLeftCell="A4" zoomScale="55" zoomScaleNormal="55" workbookViewId="0">
      <selection activeCell="F42" sqref="F42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44986</v>
      </c>
      <c r="F3" s="1450"/>
      <c r="G3" s="1450"/>
      <c r="H3" s="1451" t="s">
        <v>1940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>
        <v>1</v>
      </c>
      <c r="I5" s="175">
        <v>2</v>
      </c>
      <c r="J5" s="175">
        <f>I5+1</f>
        <v>3</v>
      </c>
      <c r="K5" s="175">
        <f>J5+1</f>
        <v>4</v>
      </c>
      <c r="L5" s="90"/>
      <c r="M5" s="90"/>
      <c r="N5" s="90"/>
      <c r="R5" s="11"/>
      <c r="S5" s="90"/>
    </row>
    <row r="6" spans="1:19" s="5" customFormat="1" ht="24.6" customHeight="1">
      <c r="B6" s="1467" t="s">
        <v>1951</v>
      </c>
      <c r="C6" s="324" t="s">
        <v>1946</v>
      </c>
      <c r="D6" s="265"/>
      <c r="E6" s="396"/>
      <c r="F6" s="396"/>
      <c r="G6" s="396"/>
      <c r="H6" s="396"/>
      <c r="I6" s="419" t="s">
        <v>2704</v>
      </c>
      <c r="J6" s="396"/>
      <c r="K6" s="396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396"/>
      <c r="F7" s="396"/>
      <c r="G7" s="396"/>
      <c r="H7" s="396"/>
      <c r="I7" s="396"/>
      <c r="J7" s="396"/>
      <c r="K7" s="396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1943</v>
      </c>
      <c r="D8" s="265"/>
      <c r="E8" s="396"/>
      <c r="F8" s="396"/>
      <c r="G8" s="396"/>
      <c r="H8" s="396"/>
      <c r="I8" s="396"/>
      <c r="J8" s="396"/>
      <c r="K8" s="396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1944</v>
      </c>
      <c r="D9" s="265"/>
      <c r="E9" s="396"/>
      <c r="F9" s="396"/>
      <c r="G9" s="396"/>
      <c r="H9" s="396"/>
      <c r="I9" s="517"/>
      <c r="J9" s="481"/>
      <c r="K9" s="396"/>
      <c r="L9" s="90"/>
      <c r="M9" s="90"/>
      <c r="N9" s="90"/>
      <c r="R9" s="11"/>
      <c r="S9" s="90"/>
    </row>
    <row r="10" spans="1:19" s="5" customFormat="1" ht="24.6" customHeight="1">
      <c r="B10" s="1467" t="s">
        <v>1952</v>
      </c>
      <c r="C10" s="324" t="s">
        <v>1946</v>
      </c>
      <c r="D10" s="265"/>
      <c r="E10" s="396"/>
      <c r="F10" s="396"/>
      <c r="G10" s="396"/>
      <c r="H10" s="396"/>
      <c r="I10" s="536"/>
      <c r="J10" s="536"/>
      <c r="K10" s="396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1947</v>
      </c>
      <c r="D11" s="265"/>
      <c r="E11" s="396"/>
      <c r="F11" s="396"/>
      <c r="G11" s="396"/>
      <c r="H11" s="396"/>
      <c r="I11" s="1618" t="s">
        <v>2655</v>
      </c>
      <c r="J11" s="1619"/>
      <c r="K11" s="396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1944</v>
      </c>
      <c r="D12" s="265"/>
      <c r="E12" s="396"/>
      <c r="F12" s="396"/>
      <c r="G12" s="396"/>
      <c r="H12" s="386" t="s">
        <v>1998</v>
      </c>
      <c r="I12" s="503" t="s">
        <v>2678</v>
      </c>
      <c r="J12" s="349" t="s">
        <v>2679</v>
      </c>
      <c r="K12" s="396"/>
      <c r="L12" s="90"/>
      <c r="M12" s="90"/>
      <c r="N12" s="90"/>
      <c r="R12" s="11"/>
      <c r="S12" s="90"/>
    </row>
    <row r="13" spans="1:19" s="5" customFormat="1" ht="24.6" customHeight="1">
      <c r="B13" s="397" t="s">
        <v>1953</v>
      </c>
      <c r="C13" s="125" t="s">
        <v>1954</v>
      </c>
      <c r="D13" s="265"/>
      <c r="E13" s="396"/>
      <c r="F13" s="396"/>
      <c r="G13" s="396"/>
      <c r="H13" s="396"/>
      <c r="I13" s="396"/>
      <c r="J13" s="396"/>
      <c r="K13" s="396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5</v>
      </c>
      <c r="F14" s="65">
        <f t="shared" ref="F14:K14" si="0">E14+1</f>
        <v>6</v>
      </c>
      <c r="G14" s="65">
        <f t="shared" si="0"/>
        <v>7</v>
      </c>
      <c r="H14" s="65">
        <f t="shared" si="0"/>
        <v>8</v>
      </c>
      <c r="I14" s="65">
        <f t="shared" si="0"/>
        <v>9</v>
      </c>
      <c r="J14" s="65">
        <f t="shared" si="0"/>
        <v>10</v>
      </c>
      <c r="K14" s="65">
        <f t="shared" si="0"/>
        <v>11</v>
      </c>
    </row>
    <row r="15" spans="1:19" ht="24.6" customHeight="1">
      <c r="A15" s="84"/>
      <c r="B15" s="1467" t="s">
        <v>1951</v>
      </c>
      <c r="C15" s="324" t="s">
        <v>1946</v>
      </c>
      <c r="D15" s="265"/>
      <c r="E15" s="301"/>
      <c r="F15" s="301"/>
      <c r="G15" s="419" t="s">
        <v>2708</v>
      </c>
      <c r="H15" s="537" t="s">
        <v>2711</v>
      </c>
      <c r="I15" s="534" t="s">
        <v>2712</v>
      </c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301"/>
      <c r="K16" s="301"/>
    </row>
    <row r="17" spans="1:19" ht="24.6" customHeight="1">
      <c r="A17" s="84"/>
      <c r="B17" s="1467"/>
      <c r="C17" s="163" t="s">
        <v>1943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1944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1952</v>
      </c>
      <c r="C19" s="324" t="s">
        <v>1946</v>
      </c>
      <c r="D19" s="265"/>
      <c r="E19" s="301"/>
      <c r="F19" s="301"/>
      <c r="G19" s="301"/>
      <c r="H19" s="301"/>
      <c r="I19" s="301"/>
      <c r="J19" s="301"/>
      <c r="K19" s="301"/>
    </row>
    <row r="20" spans="1:19" ht="24" customHeight="1">
      <c r="A20" s="84"/>
      <c r="B20" s="1467"/>
      <c r="C20" s="290" t="s">
        <v>1947</v>
      </c>
      <c r="D20" s="265"/>
      <c r="E20" s="301"/>
      <c r="F20" s="1610" t="s">
        <v>2654</v>
      </c>
      <c r="G20" s="1611"/>
      <c r="H20" s="519" t="s">
        <v>2709</v>
      </c>
      <c r="I20" s="412" t="s">
        <v>2697</v>
      </c>
      <c r="J20" s="367" t="s">
        <v>2662</v>
      </c>
      <c r="K20" s="301"/>
    </row>
    <row r="21" spans="1:19" ht="24" customHeight="1">
      <c r="A21" s="84"/>
      <c r="B21" s="1467"/>
      <c r="C21" s="325" t="s">
        <v>1944</v>
      </c>
      <c r="D21" s="265"/>
      <c r="E21" s="301"/>
      <c r="F21" s="503" t="s">
        <v>2680</v>
      </c>
      <c r="G21" s="503" t="s">
        <v>2679</v>
      </c>
      <c r="H21" s="503" t="s">
        <v>2681</v>
      </c>
      <c r="I21" s="503" t="s">
        <v>2681</v>
      </c>
      <c r="J21" s="503" t="s">
        <v>2682</v>
      </c>
      <c r="K21" s="301"/>
    </row>
    <row r="22" spans="1:19" ht="24.6" customHeight="1">
      <c r="A22" s="84"/>
      <c r="B22" s="397" t="s">
        <v>1953</v>
      </c>
      <c r="C22" s="125" t="s">
        <v>1954</v>
      </c>
      <c r="D22" s="265"/>
      <c r="E22" s="301"/>
      <c r="F22" s="301"/>
      <c r="G22" s="301"/>
      <c r="H22" s="301"/>
      <c r="I22" s="301"/>
      <c r="J22" s="125" t="s">
        <v>2727</v>
      </c>
      <c r="K22" s="301"/>
    </row>
    <row r="23" spans="1:19" ht="24.6" customHeight="1">
      <c r="A23" s="84"/>
      <c r="B23" s="84"/>
      <c r="C23" s="5"/>
      <c r="D23" s="5"/>
      <c r="E23" s="26">
        <f>K14+1</f>
        <v>12</v>
      </c>
      <c r="F23" s="175">
        <f t="shared" ref="F23:K23" si="1">E23+1</f>
        <v>13</v>
      </c>
      <c r="G23" s="175">
        <f t="shared" si="1"/>
        <v>14</v>
      </c>
      <c r="H23" s="175">
        <f t="shared" si="1"/>
        <v>15</v>
      </c>
      <c r="I23" s="175">
        <f t="shared" si="1"/>
        <v>16</v>
      </c>
      <c r="J23" s="175">
        <f t="shared" si="1"/>
        <v>17</v>
      </c>
      <c r="K23" s="175">
        <f t="shared" si="1"/>
        <v>18</v>
      </c>
      <c r="M23" s="203"/>
      <c r="N23" s="203"/>
      <c r="O23" s="203"/>
    </row>
    <row r="24" spans="1:19" ht="24.6" customHeight="1">
      <c r="A24" s="84"/>
      <c r="B24" s="1467" t="s">
        <v>1951</v>
      </c>
      <c r="C24" s="324" t="s">
        <v>1946</v>
      </c>
      <c r="D24" s="265"/>
      <c r="E24" s="396"/>
      <c r="F24" s="529" t="s">
        <v>2698</v>
      </c>
      <c r="G24" s="540" t="s">
        <v>2715</v>
      </c>
      <c r="H24" s="541" t="s">
        <v>2716</v>
      </c>
      <c r="I24" s="541" t="s">
        <v>2718</v>
      </c>
      <c r="J24" s="532"/>
      <c r="K24" s="396"/>
    </row>
    <row r="25" spans="1:19" ht="24.6" customHeight="1">
      <c r="A25" s="84"/>
      <c r="B25" s="1467"/>
      <c r="C25" s="290" t="s">
        <v>7</v>
      </c>
      <c r="D25" s="265"/>
      <c r="E25" s="396"/>
      <c r="F25" s="535"/>
      <c r="G25" s="396"/>
      <c r="H25" s="396"/>
      <c r="I25" s="396"/>
      <c r="J25" s="396"/>
      <c r="K25" s="396"/>
      <c r="L25" s="84"/>
      <c r="M25" s="84"/>
      <c r="N25" s="84"/>
      <c r="O25" s="84"/>
      <c r="P25" s="84"/>
      <c r="Q25" s="84"/>
      <c r="R25" s="84"/>
      <c r="S25" s="84"/>
    </row>
    <row r="26" spans="1:19" ht="24.6" customHeight="1">
      <c r="A26" s="84"/>
      <c r="B26" s="1467"/>
      <c r="C26" s="163" t="s">
        <v>1943</v>
      </c>
      <c r="D26" s="265"/>
      <c r="E26" s="396"/>
      <c r="F26" s="396"/>
      <c r="G26" s="396"/>
      <c r="H26" s="396"/>
      <c r="I26" s="396"/>
      <c r="J26" s="396"/>
      <c r="K26" s="396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325" t="s">
        <v>1944</v>
      </c>
      <c r="D27" s="265"/>
      <c r="E27" s="396"/>
      <c r="F27" s="396"/>
      <c r="G27" s="396"/>
      <c r="H27" s="396"/>
      <c r="I27" s="396"/>
      <c r="J27" s="396"/>
      <c r="K27" s="396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 t="s">
        <v>1952</v>
      </c>
      <c r="C28" s="324" t="s">
        <v>1946</v>
      </c>
      <c r="D28" s="265"/>
      <c r="E28" s="396"/>
      <c r="F28" s="536"/>
      <c r="G28" s="536"/>
      <c r="H28" s="396"/>
      <c r="I28" s="488"/>
      <c r="J28" s="488"/>
      <c r="K28" s="396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290" t="s">
        <v>1947</v>
      </c>
      <c r="D29" s="265"/>
      <c r="E29" s="396"/>
      <c r="F29" s="1610" t="s">
        <v>2630</v>
      </c>
      <c r="G29" s="1611"/>
      <c r="H29" s="1610" t="s">
        <v>2705</v>
      </c>
      <c r="I29" s="1611"/>
      <c r="J29" s="243" t="s">
        <v>2724</v>
      </c>
      <c r="K29" s="536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1944</v>
      </c>
      <c r="D30" s="265"/>
      <c r="E30" s="396"/>
      <c r="F30" s="504" t="s">
        <v>2683</v>
      </c>
      <c r="G30" s="504" t="s">
        <v>2684</v>
      </c>
      <c r="H30" s="503" t="s">
        <v>2686</v>
      </c>
      <c r="I30" s="503" t="s">
        <v>2687</v>
      </c>
      <c r="J30" s="503" t="s">
        <v>2688</v>
      </c>
      <c r="K30" s="396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397" t="s">
        <v>1953</v>
      </c>
      <c r="C31" s="125" t="s">
        <v>1954</v>
      </c>
      <c r="D31" s="265"/>
      <c r="E31" s="396"/>
      <c r="F31" s="396"/>
      <c r="G31" s="396"/>
      <c r="H31" s="396"/>
      <c r="I31" s="396"/>
      <c r="J31" s="396"/>
      <c r="K31" s="396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84"/>
      <c r="C32" s="5"/>
      <c r="D32" s="5"/>
      <c r="E32" s="266">
        <f>K23+1</f>
        <v>19</v>
      </c>
      <c r="F32" s="304">
        <f t="shared" ref="F32:K32" si="2">E32+1</f>
        <v>20</v>
      </c>
      <c r="G32" s="304">
        <f t="shared" si="2"/>
        <v>21</v>
      </c>
      <c r="H32" s="304">
        <f t="shared" si="2"/>
        <v>22</v>
      </c>
      <c r="I32" s="304">
        <f t="shared" si="2"/>
        <v>23</v>
      </c>
      <c r="J32" s="304">
        <f t="shared" si="2"/>
        <v>24</v>
      </c>
      <c r="K32" s="65">
        <f t="shared" si="2"/>
        <v>25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1951</v>
      </c>
      <c r="C33" s="324" t="s">
        <v>1946</v>
      </c>
      <c r="D33" s="265"/>
      <c r="E33" s="301"/>
      <c r="F33" s="301"/>
      <c r="G33" s="541" t="s">
        <v>2726</v>
      </c>
      <c r="H33" s="541" t="s">
        <v>2808</v>
      </c>
      <c r="I33" s="541" t="s">
        <v>2810</v>
      </c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G34" s="301"/>
      <c r="H34" s="301"/>
      <c r="I34" s="301"/>
      <c r="J34" s="301"/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1944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1952</v>
      </c>
      <c r="C37" s="324" t="s">
        <v>9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290" t="s">
        <v>292</v>
      </c>
      <c r="D38" s="265"/>
      <c r="E38" s="301"/>
      <c r="F38" s="243" t="s">
        <v>2724</v>
      </c>
      <c r="G38" s="412" t="s">
        <v>2707</v>
      </c>
      <c r="H38" s="412" t="s">
        <v>2725</v>
      </c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1944</v>
      </c>
      <c r="D39" s="265"/>
      <c r="E39" s="301"/>
      <c r="F39" s="503" t="s">
        <v>2689</v>
      </c>
      <c r="G39" s="503" t="s">
        <v>2689</v>
      </c>
      <c r="H39" s="503" t="s">
        <v>2689</v>
      </c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397" t="s">
        <v>1953</v>
      </c>
      <c r="C40" s="125" t="s">
        <v>1954</v>
      </c>
      <c r="D40" s="265"/>
      <c r="E40" s="345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84"/>
      <c r="C41" s="269"/>
      <c r="D41" s="265"/>
      <c r="E41" s="26">
        <f>K32+1</f>
        <v>26</v>
      </c>
      <c r="F41" s="175">
        <f>E41+1</f>
        <v>27</v>
      </c>
      <c r="G41" s="175">
        <f>F41+1</f>
        <v>28</v>
      </c>
      <c r="H41" s="175">
        <f>G41+1</f>
        <v>29</v>
      </c>
      <c r="I41" s="175">
        <f>H41+1</f>
        <v>30</v>
      </c>
      <c r="J41" s="175">
        <f>I41+1</f>
        <v>31</v>
      </c>
      <c r="K41" s="175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 t="s">
        <v>1951</v>
      </c>
      <c r="C42" s="324" t="s">
        <v>1946</v>
      </c>
      <c r="D42" s="265"/>
      <c r="E42" s="396"/>
      <c r="F42" s="541" t="s">
        <v>2729</v>
      </c>
      <c r="G42" s="530" t="s">
        <v>2728</v>
      </c>
      <c r="H42" s="547"/>
      <c r="I42" s="535"/>
      <c r="J42" s="532"/>
      <c r="K42" s="396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290" t="s">
        <v>7</v>
      </c>
      <c r="D43" s="265"/>
      <c r="E43" s="396"/>
      <c r="F43" s="538"/>
      <c r="G43" s="532"/>
      <c r="H43" s="545"/>
      <c r="I43" s="417" t="s">
        <v>2699</v>
      </c>
      <c r="J43" s="415" t="s">
        <v>2702</v>
      </c>
      <c r="K43" s="396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163" t="s">
        <v>389</v>
      </c>
      <c r="D44" s="265"/>
      <c r="E44" s="396"/>
      <c r="F44" s="396"/>
      <c r="G44" s="396"/>
      <c r="H44" s="396"/>
      <c r="I44" s="528"/>
      <c r="J44" s="528"/>
      <c r="K44" s="396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325" t="s">
        <v>1944</v>
      </c>
      <c r="D45" s="265"/>
      <c r="E45" s="396"/>
      <c r="F45" s="396"/>
      <c r="G45" s="396"/>
      <c r="H45" s="396"/>
      <c r="I45" s="528"/>
      <c r="J45" s="528"/>
      <c r="K45" s="396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1952</v>
      </c>
      <c r="C46" s="324" t="s">
        <v>1946</v>
      </c>
      <c r="D46" s="265"/>
      <c r="E46" s="396"/>
      <c r="F46" s="1556" t="s">
        <v>2663</v>
      </c>
      <c r="G46" s="1557"/>
      <c r="H46" s="396"/>
      <c r="I46" s="481"/>
      <c r="J46" s="481"/>
      <c r="K46" s="396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292</v>
      </c>
      <c r="D47" s="265"/>
      <c r="E47" s="396"/>
      <c r="F47" s="1610" t="s">
        <v>2743</v>
      </c>
      <c r="G47" s="1621"/>
      <c r="H47" s="548"/>
      <c r="I47" s="548"/>
      <c r="J47" s="548"/>
      <c r="K47" s="536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1944</v>
      </c>
      <c r="D48" s="265"/>
      <c r="E48" s="396"/>
      <c r="F48" s="499"/>
      <c r="G48" s="499"/>
      <c r="H48" s="528"/>
      <c r="I48" s="528"/>
      <c r="J48" s="499"/>
      <c r="K48" s="396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397" t="s">
        <v>1953</v>
      </c>
      <c r="C49" s="125" t="s">
        <v>1954</v>
      </c>
      <c r="D49" s="265"/>
      <c r="E49" s="396"/>
      <c r="F49" s="396"/>
      <c r="G49" s="396"/>
      <c r="H49" s="396"/>
      <c r="I49" s="396"/>
      <c r="J49" s="396"/>
      <c r="K49" s="396"/>
      <c r="L49" s="84"/>
      <c r="M49" s="84"/>
      <c r="N49" s="84"/>
      <c r="O49" s="84"/>
      <c r="P49" s="84"/>
      <c r="Q49" s="84"/>
      <c r="R49" s="84"/>
      <c r="S49" s="84"/>
    </row>
  </sheetData>
  <mergeCells count="18">
    <mergeCell ref="I11:J11"/>
    <mergeCell ref="B24:B27"/>
    <mergeCell ref="B28:B30"/>
    <mergeCell ref="E3:G3"/>
    <mergeCell ref="H3:K3"/>
    <mergeCell ref="B6:B9"/>
    <mergeCell ref="B10:B12"/>
    <mergeCell ref="B15:B18"/>
    <mergeCell ref="F29:G29"/>
    <mergeCell ref="F46:G46"/>
    <mergeCell ref="H29:I29"/>
    <mergeCell ref="B19:B21"/>
    <mergeCell ref="F20:G20"/>
    <mergeCell ref="B46:B48"/>
    <mergeCell ref="B42:B45"/>
    <mergeCell ref="F47:G47"/>
    <mergeCell ref="B33:B36"/>
    <mergeCell ref="B37:B39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8">
    <pageSetUpPr fitToPage="1"/>
  </sheetPr>
  <dimension ref="A1:R52"/>
  <sheetViews>
    <sheetView topLeftCell="A10" zoomScale="55" zoomScaleNormal="55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9.6640625" style="90" bestFit="1" customWidth="1"/>
    <col min="15" max="15" width="45.21875" style="90" bestFit="1" customWidth="1"/>
    <col min="16" max="16" width="38.5546875" style="90" bestFit="1" customWidth="1"/>
    <col min="17" max="18" width="6.6640625" style="90" customWidth="1"/>
    <col min="19" max="16384" width="8.88671875" style="84"/>
  </cols>
  <sheetData>
    <row r="1" spans="1:18" ht="19.149999999999999">
      <c r="A1" s="84"/>
      <c r="B1" s="84"/>
      <c r="C1" s="5"/>
      <c r="D1" s="5"/>
    </row>
    <row r="2" spans="1:18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8" ht="57">
      <c r="A3" s="84"/>
      <c r="B3" s="84"/>
      <c r="C3" s="5"/>
      <c r="D3" s="5"/>
      <c r="E3" s="1450">
        <v>45017</v>
      </c>
      <c r="F3" s="1450"/>
      <c r="G3" s="1450"/>
      <c r="H3" s="1451" t="s">
        <v>10</v>
      </c>
      <c r="I3" s="1452"/>
      <c r="J3" s="1452"/>
      <c r="K3" s="1452"/>
    </row>
    <row r="4" spans="1:18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1628" t="s">
        <v>2732</v>
      </c>
      <c r="O4" s="1627"/>
      <c r="P4" s="552" t="s">
        <v>2738</v>
      </c>
      <c r="R4" s="90"/>
    </row>
    <row r="5" spans="1:18" s="5" customFormat="1" ht="24.6" customHeight="1">
      <c r="E5" s="26"/>
      <c r="F5" s="175"/>
      <c r="G5" s="175"/>
      <c r="H5" s="175"/>
      <c r="I5" s="175"/>
      <c r="J5" s="175"/>
      <c r="K5" s="175">
        <v>1</v>
      </c>
      <c r="L5" s="90"/>
      <c r="M5" s="90"/>
      <c r="N5" s="553" t="s">
        <v>2733</v>
      </c>
      <c r="O5" s="550" t="s">
        <v>2734</v>
      </c>
      <c r="P5" s="549" t="s">
        <v>2741</v>
      </c>
      <c r="R5" s="90"/>
    </row>
    <row r="6" spans="1:18" s="5" customFormat="1" ht="24.6" customHeight="1">
      <c r="B6" s="1467" t="s">
        <v>286</v>
      </c>
      <c r="C6" s="324" t="s">
        <v>9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553" t="s">
        <v>2733</v>
      </c>
      <c r="O6" s="551" t="s">
        <v>2742</v>
      </c>
      <c r="P6" s="549" t="s">
        <v>2741</v>
      </c>
      <c r="R6" s="90"/>
    </row>
    <row r="7" spans="1:18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553" t="s">
        <v>2735</v>
      </c>
      <c r="O7" s="551" t="s">
        <v>2668</v>
      </c>
      <c r="P7" s="549" t="s">
        <v>2740</v>
      </c>
      <c r="R7" s="90"/>
    </row>
    <row r="8" spans="1:18" s="5" customFormat="1" ht="24.6" customHeight="1">
      <c r="B8" s="1467"/>
      <c r="C8" s="163" t="s">
        <v>389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553" t="s">
        <v>2736</v>
      </c>
      <c r="O8" s="551" t="s">
        <v>2669</v>
      </c>
      <c r="P8" s="549" t="s">
        <v>2739</v>
      </c>
      <c r="R8" s="90"/>
    </row>
    <row r="9" spans="1:18" s="5" customFormat="1" ht="24.6" customHeight="1">
      <c r="B9" s="1467"/>
      <c r="C9" s="325" t="s">
        <v>316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553" t="s">
        <v>2736</v>
      </c>
      <c r="O9" s="551" t="s">
        <v>2720</v>
      </c>
      <c r="P9" s="549" t="s">
        <v>2739</v>
      </c>
      <c r="R9" s="90"/>
    </row>
    <row r="10" spans="1:18" s="5" customFormat="1" ht="24.6" customHeight="1">
      <c r="B10" s="1467" t="s">
        <v>287</v>
      </c>
      <c r="C10" s="324" t="s">
        <v>9</v>
      </c>
      <c r="D10" s="265"/>
      <c r="E10" s="499"/>
      <c r="F10" s="499"/>
      <c r="G10" s="499"/>
      <c r="H10" s="499"/>
      <c r="I10" s="499"/>
      <c r="J10" s="499"/>
      <c r="K10" s="499"/>
      <c r="L10" s="90"/>
      <c r="M10" s="90"/>
      <c r="N10" s="553" t="s">
        <v>2736</v>
      </c>
      <c r="O10" s="551" t="s">
        <v>2721</v>
      </c>
      <c r="P10" s="549" t="s">
        <v>2739</v>
      </c>
      <c r="R10" s="90"/>
    </row>
    <row r="11" spans="1:18" s="5" customFormat="1" ht="24.6" customHeight="1">
      <c r="B11" s="1467"/>
      <c r="C11" s="290" t="s">
        <v>292</v>
      </c>
      <c r="D11" s="265"/>
      <c r="E11" s="499"/>
      <c r="F11" s="499"/>
      <c r="G11" s="499"/>
      <c r="H11" s="499"/>
      <c r="I11" s="499"/>
      <c r="J11" s="499"/>
      <c r="K11" s="499"/>
      <c r="L11" s="90"/>
      <c r="M11" s="90"/>
      <c r="N11" s="553" t="s">
        <v>2736</v>
      </c>
      <c r="O11" s="551" t="s">
        <v>2722</v>
      </c>
      <c r="P11" s="549" t="s">
        <v>2739</v>
      </c>
      <c r="R11" s="90"/>
    </row>
    <row r="12" spans="1:18" s="5" customFormat="1" ht="24.6" customHeight="1">
      <c r="B12" s="1467"/>
      <c r="C12" s="325" t="s">
        <v>316</v>
      </c>
      <c r="D12" s="265"/>
      <c r="E12" s="499"/>
      <c r="F12" s="499"/>
      <c r="G12" s="499"/>
      <c r="H12" s="499"/>
      <c r="I12" s="499"/>
      <c r="J12" s="499"/>
      <c r="K12" s="499"/>
      <c r="L12" s="90"/>
      <c r="M12" s="90"/>
      <c r="N12" s="90"/>
      <c r="R12" s="90"/>
    </row>
    <row r="13" spans="1:18" s="5" customFormat="1" ht="24.6" customHeight="1">
      <c r="B13" s="500" t="s">
        <v>317</v>
      </c>
      <c r="C13" s="125" t="s">
        <v>2579</v>
      </c>
      <c r="D13" s="265"/>
      <c r="E13" s="499"/>
      <c r="F13" s="499"/>
      <c r="G13" s="499"/>
      <c r="H13" s="499"/>
      <c r="I13" s="499"/>
      <c r="J13" s="499"/>
      <c r="K13" s="499"/>
      <c r="L13" s="90"/>
      <c r="M13" s="90"/>
      <c r="N13" s="1626" t="s">
        <v>2746</v>
      </c>
      <c r="O13" s="1627"/>
      <c r="P13" s="552" t="s">
        <v>2749</v>
      </c>
      <c r="Q13" s="11"/>
      <c r="R13" s="90"/>
    </row>
    <row r="14" spans="1:18" ht="24.6" customHeight="1">
      <c r="A14" s="84"/>
      <c r="B14" s="84"/>
      <c r="C14" s="5"/>
      <c r="D14" s="5"/>
      <c r="E14" s="266">
        <f>K5+1</f>
        <v>2</v>
      </c>
      <c r="F14" s="65">
        <f t="shared" ref="F14:K14" si="0">E14+1</f>
        <v>3</v>
      </c>
      <c r="G14" s="65">
        <f t="shared" si="0"/>
        <v>4</v>
      </c>
      <c r="H14" s="65">
        <f t="shared" si="0"/>
        <v>5</v>
      </c>
      <c r="I14" s="65">
        <f t="shared" si="0"/>
        <v>6</v>
      </c>
      <c r="J14" s="65">
        <f t="shared" si="0"/>
        <v>7</v>
      </c>
      <c r="K14" s="65">
        <f t="shared" si="0"/>
        <v>8</v>
      </c>
      <c r="N14" s="90">
        <v>1</v>
      </c>
      <c r="O14" s="90" t="s">
        <v>2747</v>
      </c>
      <c r="P14" s="90" t="s">
        <v>2751</v>
      </c>
    </row>
    <row r="15" spans="1:18" ht="24.6" customHeight="1">
      <c r="A15" s="84"/>
      <c r="B15" s="1467" t="s">
        <v>286</v>
      </c>
      <c r="C15" s="324" t="s">
        <v>9</v>
      </c>
      <c r="D15" s="265"/>
      <c r="E15" s="301"/>
      <c r="F15" s="301"/>
      <c r="G15" s="530" t="s">
        <v>2811</v>
      </c>
      <c r="H15" s="530" t="s">
        <v>2813</v>
      </c>
      <c r="I15" s="301"/>
      <c r="J15" s="301"/>
      <c r="K15" s="301"/>
      <c r="N15" s="90">
        <v>2</v>
      </c>
      <c r="O15" s="90" t="s">
        <v>2748</v>
      </c>
      <c r="P15" s="90" t="s">
        <v>2750</v>
      </c>
    </row>
    <row r="16" spans="1:18" ht="24.6" customHeight="1">
      <c r="A16" s="84"/>
      <c r="B16" s="1467"/>
      <c r="C16" s="290" t="s">
        <v>7</v>
      </c>
      <c r="D16" s="265"/>
      <c r="E16" s="301"/>
      <c r="F16" s="417" t="s">
        <v>2701</v>
      </c>
      <c r="G16" s="301"/>
      <c r="H16" s="301"/>
      <c r="I16" s="301"/>
      <c r="J16" s="301"/>
      <c r="K16" s="301"/>
      <c r="N16" s="90">
        <v>3</v>
      </c>
      <c r="O16" s="90" t="s">
        <v>2752</v>
      </c>
      <c r="P16" s="90" t="s">
        <v>2753</v>
      </c>
    </row>
    <row r="17" spans="1:18" ht="24.6" customHeight="1">
      <c r="A17" s="84"/>
      <c r="B17" s="1467"/>
      <c r="C17" s="163" t="s">
        <v>389</v>
      </c>
      <c r="D17" s="265"/>
      <c r="E17" s="301"/>
      <c r="F17" s="301"/>
      <c r="G17" s="301"/>
      <c r="H17" s="301"/>
      <c r="I17" s="301"/>
      <c r="J17" s="301"/>
      <c r="K17" s="301"/>
    </row>
    <row r="18" spans="1:18" ht="24.6" customHeight="1">
      <c r="A18" s="84"/>
      <c r="B18" s="1467"/>
      <c r="C18" s="325" t="s">
        <v>316</v>
      </c>
      <c r="D18" s="265"/>
      <c r="E18" s="301"/>
      <c r="F18" s="301"/>
      <c r="G18" s="301"/>
      <c r="H18" s="301"/>
      <c r="I18" s="301"/>
      <c r="J18" s="301"/>
      <c r="K18" s="301"/>
    </row>
    <row r="19" spans="1:18" ht="24.6" customHeight="1">
      <c r="A19" s="84"/>
      <c r="B19" s="1467" t="s">
        <v>287</v>
      </c>
      <c r="C19" s="324" t="s">
        <v>9</v>
      </c>
      <c r="D19" s="265"/>
      <c r="E19" s="301"/>
      <c r="F19" s="1540" t="s">
        <v>2745</v>
      </c>
      <c r="G19" s="1541"/>
      <c r="H19" s="1540" t="s">
        <v>2754</v>
      </c>
      <c r="I19" s="1541"/>
      <c r="J19" s="1556" t="s">
        <v>2792</v>
      </c>
      <c r="K19" s="1557"/>
    </row>
    <row r="20" spans="1:18" ht="24" customHeight="1">
      <c r="A20" s="84"/>
      <c r="B20" s="1467"/>
      <c r="C20" s="290" t="s">
        <v>292</v>
      </c>
      <c r="D20" s="265"/>
      <c r="E20" s="301"/>
      <c r="F20" s="301"/>
      <c r="G20" s="301"/>
      <c r="H20" s="301"/>
      <c r="I20" s="301"/>
      <c r="J20" s="301"/>
      <c r="K20" s="301"/>
    </row>
    <row r="21" spans="1:18" ht="24" customHeight="1">
      <c r="A21" s="84"/>
      <c r="B21" s="1467"/>
      <c r="C21" s="325" t="s">
        <v>316</v>
      </c>
      <c r="D21" s="265"/>
      <c r="E21" s="301"/>
      <c r="F21" s="301"/>
      <c r="G21" s="301"/>
      <c r="H21" s="301"/>
      <c r="I21" s="301"/>
      <c r="J21" s="301"/>
      <c r="K21" s="301"/>
    </row>
    <row r="22" spans="1:18" ht="24.6" customHeight="1">
      <c r="A22" s="84"/>
      <c r="B22" s="500" t="s">
        <v>2580</v>
      </c>
      <c r="C22" s="125" t="s">
        <v>228</v>
      </c>
      <c r="D22" s="265"/>
      <c r="E22" s="301"/>
      <c r="F22" s="301"/>
      <c r="G22" s="301"/>
      <c r="H22" s="125" t="s">
        <v>2723</v>
      </c>
      <c r="I22" s="125" t="s">
        <v>2723</v>
      </c>
      <c r="J22" s="125" t="s">
        <v>2723</v>
      </c>
      <c r="K22" s="301"/>
    </row>
    <row r="23" spans="1:18" ht="24.6" customHeight="1">
      <c r="A23" s="84"/>
      <c r="B23" s="84"/>
      <c r="C23" s="5"/>
      <c r="D23" s="5"/>
      <c r="E23" s="26">
        <f>K14+1</f>
        <v>9</v>
      </c>
      <c r="F23" s="175">
        <f t="shared" ref="F23:K23" si="1">E23+1</f>
        <v>10</v>
      </c>
      <c r="G23" s="175">
        <f t="shared" si="1"/>
        <v>11</v>
      </c>
      <c r="H23" s="175">
        <f t="shared" si="1"/>
        <v>12</v>
      </c>
      <c r="I23" s="175">
        <f t="shared" si="1"/>
        <v>13</v>
      </c>
      <c r="J23" s="175">
        <f t="shared" si="1"/>
        <v>14</v>
      </c>
      <c r="K23" s="175">
        <f t="shared" si="1"/>
        <v>15</v>
      </c>
      <c r="M23" s="203"/>
      <c r="N23" s="203"/>
      <c r="O23" s="203"/>
    </row>
    <row r="24" spans="1:18" ht="24.6" customHeight="1">
      <c r="A24" s="84"/>
      <c r="B24" s="1467" t="s">
        <v>286</v>
      </c>
      <c r="C24" s="324" t="s">
        <v>9</v>
      </c>
      <c r="D24" s="265"/>
      <c r="E24" s="499"/>
      <c r="F24" s="544"/>
      <c r="G24" s="530" t="s">
        <v>2744</v>
      </c>
      <c r="H24" s="546"/>
      <c r="I24" s="532"/>
      <c r="J24" s="499"/>
      <c r="K24" s="499"/>
    </row>
    <row r="25" spans="1:18" ht="24.6" customHeight="1">
      <c r="A25" s="84"/>
      <c r="B25" s="1467"/>
      <c r="C25" s="290" t="s">
        <v>7</v>
      </c>
      <c r="D25" s="265"/>
      <c r="E25" s="499"/>
      <c r="F25" s="543"/>
      <c r="G25" s="499"/>
      <c r="H25" s="417" t="s">
        <v>2713</v>
      </c>
      <c r="I25" s="417" t="s">
        <v>2714</v>
      </c>
      <c r="J25" s="570" t="s">
        <v>2820</v>
      </c>
      <c r="K25" s="499"/>
      <c r="L25" s="84"/>
      <c r="M25" s="84"/>
      <c r="N25" s="84"/>
      <c r="O25" s="84"/>
      <c r="P25" s="84"/>
      <c r="Q25" s="84"/>
      <c r="R25" s="84"/>
    </row>
    <row r="26" spans="1:18" ht="24.6" customHeight="1">
      <c r="A26" s="84"/>
      <c r="B26" s="1467"/>
      <c r="C26" s="163" t="s">
        <v>389</v>
      </c>
      <c r="D26" s="265"/>
      <c r="E26" s="499"/>
      <c r="F26" s="499"/>
      <c r="G26" s="499"/>
      <c r="H26" s="499"/>
      <c r="I26" s="499"/>
      <c r="J26" s="499"/>
      <c r="K26" s="499"/>
      <c r="L26" s="84"/>
      <c r="M26" s="84"/>
      <c r="N26" s="84"/>
      <c r="O26" s="84"/>
      <c r="P26" s="84"/>
      <c r="Q26" s="84"/>
      <c r="R26" s="84"/>
    </row>
    <row r="27" spans="1:18" ht="24.6" customHeight="1">
      <c r="A27" s="84"/>
      <c r="B27" s="1467"/>
      <c r="C27" s="325" t="s">
        <v>316</v>
      </c>
      <c r="D27" s="265"/>
      <c r="E27" s="499"/>
      <c r="F27" s="554"/>
      <c r="G27" s="554"/>
      <c r="H27" s="554"/>
      <c r="I27" s="554"/>
      <c r="J27" s="554"/>
      <c r="K27" s="554"/>
      <c r="L27" s="84"/>
      <c r="M27" s="84"/>
      <c r="N27" s="84"/>
      <c r="O27" s="84"/>
      <c r="P27" s="84"/>
      <c r="Q27" s="84"/>
      <c r="R27" s="84"/>
    </row>
    <row r="28" spans="1:18" ht="24.6" customHeight="1">
      <c r="A28" s="84"/>
      <c r="B28" s="1467" t="s">
        <v>287</v>
      </c>
      <c r="C28" s="324" t="s">
        <v>9</v>
      </c>
      <c r="D28" s="265"/>
      <c r="E28" s="499"/>
      <c r="F28" s="1556" t="s">
        <v>2794</v>
      </c>
      <c r="G28" s="1557"/>
      <c r="H28" s="1556" t="s">
        <v>2796</v>
      </c>
      <c r="I28" s="1574"/>
      <c r="J28" s="1556" t="s">
        <v>2797</v>
      </c>
      <c r="K28" s="1557"/>
      <c r="L28" s="84"/>
      <c r="M28" s="84"/>
      <c r="N28" s="84"/>
      <c r="O28" s="84"/>
      <c r="P28" s="84"/>
      <c r="Q28" s="84"/>
      <c r="R28" s="84"/>
    </row>
    <row r="29" spans="1:18" ht="24.6" customHeight="1">
      <c r="A29" s="84"/>
      <c r="B29" s="1467"/>
      <c r="C29" s="290" t="s">
        <v>292</v>
      </c>
      <c r="D29" s="265"/>
      <c r="E29" s="499"/>
      <c r="F29" s="290" t="s">
        <v>2818</v>
      </c>
      <c r="G29" s="548"/>
      <c r="H29" s="548"/>
      <c r="I29" s="290" t="s">
        <v>2730</v>
      </c>
      <c r="J29" s="555"/>
      <c r="K29" s="499"/>
      <c r="L29" s="84"/>
      <c r="M29" s="84"/>
      <c r="N29" s="84"/>
      <c r="O29" s="84"/>
      <c r="P29" s="84"/>
      <c r="Q29" s="84"/>
      <c r="R29" s="84"/>
    </row>
    <row r="30" spans="1:18" ht="24.6" customHeight="1">
      <c r="A30" s="84"/>
      <c r="B30" s="1467"/>
      <c r="C30" s="290"/>
      <c r="D30" s="265"/>
      <c r="E30" s="539"/>
      <c r="F30" s="505"/>
      <c r="G30" s="548"/>
      <c r="H30" s="548"/>
      <c r="I30" s="548"/>
      <c r="J30" s="548"/>
      <c r="K30" s="539"/>
      <c r="L30" s="84"/>
      <c r="M30" s="84"/>
      <c r="N30" s="84"/>
      <c r="O30" s="84"/>
      <c r="P30" s="84"/>
      <c r="Q30" s="84"/>
      <c r="R30" s="84"/>
    </row>
    <row r="31" spans="1:18" ht="24.6" customHeight="1">
      <c r="A31" s="84"/>
      <c r="B31" s="1467"/>
      <c r="C31" s="325" t="s">
        <v>316</v>
      </c>
      <c r="D31" s="265"/>
      <c r="E31" s="499"/>
      <c r="F31" s="325" t="s">
        <v>2582</v>
      </c>
      <c r="G31" s="325" t="s">
        <v>2758</v>
      </c>
      <c r="H31" s="325" t="s">
        <v>2758</v>
      </c>
      <c r="I31" s="325" t="s">
        <v>2759</v>
      </c>
      <c r="J31" s="325" t="s">
        <v>2760</v>
      </c>
      <c r="K31" s="499"/>
      <c r="L31" s="84"/>
      <c r="M31" s="84"/>
      <c r="N31" s="84"/>
      <c r="O31" s="84"/>
      <c r="P31" s="84"/>
      <c r="Q31" s="84"/>
      <c r="R31" s="84"/>
    </row>
    <row r="32" spans="1:18" ht="24.6" customHeight="1">
      <c r="A32" s="84"/>
      <c r="B32" s="500" t="s">
        <v>317</v>
      </c>
      <c r="C32" s="125" t="s">
        <v>228</v>
      </c>
      <c r="D32" s="265"/>
      <c r="E32" s="499"/>
      <c r="F32" s="125" t="s">
        <v>2723</v>
      </c>
      <c r="G32" s="499"/>
      <c r="H32" s="125" t="s">
        <v>2737</v>
      </c>
      <c r="I32" s="499"/>
      <c r="J32" s="499"/>
      <c r="K32" s="499"/>
      <c r="L32" s="84"/>
      <c r="M32" s="84"/>
      <c r="N32" s="84"/>
      <c r="O32" s="84"/>
      <c r="P32" s="84"/>
      <c r="Q32" s="84"/>
      <c r="R32" s="84"/>
    </row>
    <row r="33" spans="1:18" ht="24.6" customHeight="1">
      <c r="A33" s="84"/>
      <c r="B33" s="84"/>
      <c r="C33" s="5"/>
      <c r="D33" s="5"/>
      <c r="E33" s="266">
        <f>K23+1</f>
        <v>16</v>
      </c>
      <c r="F33" s="304">
        <f t="shared" ref="F33:K33" si="2">E33+1</f>
        <v>17</v>
      </c>
      <c r="G33" s="304">
        <f t="shared" si="2"/>
        <v>18</v>
      </c>
      <c r="H33" s="304">
        <f t="shared" si="2"/>
        <v>19</v>
      </c>
      <c r="I33" s="304">
        <f t="shared" si="2"/>
        <v>20</v>
      </c>
      <c r="J33" s="304">
        <f t="shared" si="2"/>
        <v>21</v>
      </c>
      <c r="K33" s="65">
        <f t="shared" si="2"/>
        <v>22</v>
      </c>
      <c r="L33" s="84"/>
      <c r="M33" s="84"/>
      <c r="N33" s="84"/>
      <c r="O33" s="84"/>
      <c r="P33" s="84"/>
      <c r="Q33" s="84"/>
      <c r="R33" s="84"/>
    </row>
    <row r="34" spans="1:18" ht="24.6" customHeight="1">
      <c r="A34" s="84"/>
      <c r="B34" s="1467" t="s">
        <v>286</v>
      </c>
      <c r="C34" s="324" t="s">
        <v>9</v>
      </c>
      <c r="D34" s="265"/>
      <c r="E34" s="301"/>
      <c r="F34" s="301"/>
      <c r="G34" s="537" t="s">
        <v>2804</v>
      </c>
      <c r="H34" s="301"/>
      <c r="I34" s="301"/>
      <c r="J34" s="301"/>
      <c r="K34" s="301"/>
      <c r="L34" s="84"/>
      <c r="M34" s="84"/>
      <c r="N34" s="84"/>
      <c r="O34" s="84"/>
      <c r="P34" s="84"/>
      <c r="Q34" s="84"/>
      <c r="R34" s="84"/>
    </row>
    <row r="35" spans="1:18" ht="24.6" customHeight="1">
      <c r="A35" s="84"/>
      <c r="B35" s="1467"/>
      <c r="C35" s="290" t="s">
        <v>7</v>
      </c>
      <c r="D35" s="265"/>
      <c r="E35" s="301"/>
      <c r="F35" s="301"/>
      <c r="G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</row>
    <row r="36" spans="1:18" ht="24.6" customHeight="1">
      <c r="A36" s="84"/>
      <c r="B36" s="1467"/>
      <c r="C36" s="163" t="s">
        <v>389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</row>
    <row r="37" spans="1:18" ht="24.6" customHeight="1">
      <c r="A37" s="84"/>
      <c r="B37" s="1467"/>
      <c r="C37" s="325" t="s">
        <v>2581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</row>
    <row r="38" spans="1:18" ht="24" customHeight="1">
      <c r="A38" s="84"/>
      <c r="B38" s="1467" t="s">
        <v>287</v>
      </c>
      <c r="C38" s="324" t="s">
        <v>9</v>
      </c>
      <c r="D38" s="265"/>
      <c r="E38" s="301"/>
      <c r="F38" s="1556" t="s">
        <v>2802</v>
      </c>
      <c r="G38" s="1557"/>
      <c r="H38" s="1540" t="s">
        <v>2805</v>
      </c>
      <c r="I38" s="1541"/>
      <c r="J38" s="1556" t="s">
        <v>2833</v>
      </c>
      <c r="K38" s="1557"/>
      <c r="L38" s="84"/>
      <c r="M38" s="84"/>
      <c r="N38" s="84"/>
      <c r="O38" s="84"/>
      <c r="P38" s="84"/>
      <c r="Q38" s="84"/>
      <c r="R38" s="84"/>
    </row>
    <row r="39" spans="1:18" ht="24.6" customHeight="1">
      <c r="A39" s="84"/>
      <c r="B39" s="1467"/>
      <c r="C39" s="290" t="s">
        <v>292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</row>
    <row r="40" spans="1:18" ht="24.6" customHeight="1">
      <c r="A40" s="84"/>
      <c r="B40" s="1467"/>
      <c r="C40" s="290" t="s">
        <v>292</v>
      </c>
      <c r="D40" s="265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</row>
    <row r="41" spans="1:18" ht="24.6" customHeight="1">
      <c r="A41" s="84"/>
      <c r="B41" s="1467"/>
      <c r="C41" s="325" t="s">
        <v>316</v>
      </c>
      <c r="D41" s="265"/>
      <c r="E41" s="301"/>
      <c r="F41" s="325" t="s">
        <v>2760</v>
      </c>
      <c r="G41" s="325" t="s">
        <v>2761</v>
      </c>
      <c r="H41" s="325" t="s">
        <v>2762</v>
      </c>
      <c r="I41" s="325" t="s">
        <v>2763</v>
      </c>
      <c r="J41" s="325" t="s">
        <v>2763</v>
      </c>
      <c r="K41" s="301"/>
      <c r="L41" s="84"/>
      <c r="M41" s="84"/>
      <c r="N41" s="84"/>
      <c r="O41" s="84"/>
      <c r="P41" s="84"/>
      <c r="Q41" s="84"/>
      <c r="R41" s="84"/>
    </row>
    <row r="42" spans="1:18" ht="24.6" customHeight="1">
      <c r="A42" s="84"/>
      <c r="B42" s="500" t="s">
        <v>2580</v>
      </c>
      <c r="C42" s="125" t="s">
        <v>228</v>
      </c>
      <c r="D42" s="265"/>
      <c r="E42" s="345"/>
      <c r="F42" s="301"/>
      <c r="G42" s="301"/>
      <c r="H42" s="301"/>
      <c r="I42" s="301"/>
      <c r="J42" s="301"/>
      <c r="K42" s="301"/>
      <c r="L42" s="84"/>
      <c r="M42" s="84"/>
      <c r="N42" s="84"/>
      <c r="O42" s="84"/>
      <c r="P42" s="84"/>
      <c r="Q42" s="84"/>
      <c r="R42" s="84"/>
    </row>
    <row r="43" spans="1:18" ht="24.6" customHeight="1">
      <c r="A43" s="84"/>
      <c r="B43" s="84"/>
      <c r="C43" s="269"/>
      <c r="D43" s="265"/>
      <c r="E43" s="26">
        <f>K33+1</f>
        <v>23</v>
      </c>
      <c r="F43" s="175">
        <f t="shared" ref="F43:K43" si="3">E43+1</f>
        <v>24</v>
      </c>
      <c r="G43" s="175">
        <f t="shared" si="3"/>
        <v>25</v>
      </c>
      <c r="H43" s="175">
        <f t="shared" si="3"/>
        <v>26</v>
      </c>
      <c r="I43" s="175">
        <f t="shared" si="3"/>
        <v>27</v>
      </c>
      <c r="J43" s="175">
        <f t="shared" si="3"/>
        <v>28</v>
      </c>
      <c r="K43" s="175">
        <f t="shared" si="3"/>
        <v>29</v>
      </c>
      <c r="L43" s="84"/>
      <c r="M43" s="84"/>
      <c r="N43" s="84"/>
      <c r="O43" s="84"/>
      <c r="P43" s="84"/>
      <c r="Q43" s="84"/>
      <c r="R43" s="84"/>
    </row>
    <row r="44" spans="1:18" ht="24.6" customHeight="1">
      <c r="A44" s="84"/>
      <c r="B44" s="1467" t="s">
        <v>286</v>
      </c>
      <c r="C44" s="324" t="s">
        <v>9</v>
      </c>
      <c r="D44" s="265"/>
      <c r="E44" s="499"/>
      <c r="F44" s="529" t="s">
        <v>2698</v>
      </c>
      <c r="G44" s="529" t="s">
        <v>2698</v>
      </c>
      <c r="H44" s="546"/>
      <c r="I44" s="499"/>
      <c r="J44" s="499"/>
      <c r="K44" s="499"/>
      <c r="L44" s="84"/>
      <c r="M44" s="84"/>
      <c r="N44" s="84"/>
      <c r="O44" s="84"/>
      <c r="P44" s="84"/>
      <c r="Q44" s="84"/>
      <c r="R44" s="84"/>
    </row>
    <row r="45" spans="1:18" ht="24.6" customHeight="1">
      <c r="A45" s="84"/>
      <c r="B45" s="1467"/>
      <c r="C45" s="290" t="s">
        <v>7</v>
      </c>
      <c r="D45" s="265"/>
      <c r="E45" s="499"/>
      <c r="F45" s="542"/>
      <c r="G45" s="499"/>
      <c r="H45" s="417" t="s">
        <v>2717</v>
      </c>
      <c r="I45" s="417" t="s">
        <v>2719</v>
      </c>
      <c r="J45" s="417" t="s">
        <v>2809</v>
      </c>
      <c r="K45" s="499"/>
      <c r="L45" s="84"/>
      <c r="M45" s="84"/>
      <c r="N45" s="84"/>
      <c r="O45" s="84"/>
      <c r="P45" s="84"/>
      <c r="Q45" s="84"/>
      <c r="R45" s="84"/>
    </row>
    <row r="46" spans="1:18" ht="24.6" customHeight="1">
      <c r="A46" s="84"/>
      <c r="B46" s="1467"/>
      <c r="C46" s="163" t="s">
        <v>389</v>
      </c>
      <c r="D46" s="265"/>
      <c r="E46" s="499"/>
      <c r="F46" s="499"/>
      <c r="G46" s="499"/>
      <c r="H46" s="499"/>
      <c r="I46" s="499"/>
      <c r="J46" s="499"/>
      <c r="K46" s="499"/>
      <c r="L46" s="84"/>
      <c r="M46" s="84"/>
      <c r="N46" s="84"/>
      <c r="O46" s="84"/>
      <c r="P46" s="84"/>
      <c r="Q46" s="84"/>
      <c r="R46" s="84"/>
    </row>
    <row r="47" spans="1:18" ht="24.6" customHeight="1">
      <c r="A47" s="84"/>
      <c r="B47" s="1467"/>
      <c r="C47" s="325" t="s">
        <v>316</v>
      </c>
      <c r="D47" s="265"/>
      <c r="E47" s="499"/>
      <c r="F47" s="564"/>
      <c r="G47" s="564"/>
      <c r="H47" s="563"/>
      <c r="I47" s="563"/>
      <c r="J47" s="563"/>
      <c r="K47" s="563"/>
      <c r="L47" s="84"/>
      <c r="M47" s="84"/>
      <c r="N47" s="84"/>
      <c r="O47" s="84"/>
      <c r="P47" s="84"/>
      <c r="Q47" s="84"/>
      <c r="R47" s="84"/>
    </row>
    <row r="48" spans="1:18" ht="24.6" customHeight="1">
      <c r="A48" s="84"/>
      <c r="B48" s="1467" t="s">
        <v>287</v>
      </c>
      <c r="C48" s="324" t="s">
        <v>9</v>
      </c>
      <c r="D48" s="265"/>
      <c r="E48" s="499"/>
      <c r="F48" s="1556" t="s">
        <v>2806</v>
      </c>
      <c r="G48" s="1557"/>
      <c r="H48" s="1574" t="s">
        <v>2816</v>
      </c>
      <c r="I48" s="1574"/>
      <c r="J48" s="1574" t="s">
        <v>2817</v>
      </c>
      <c r="K48" s="1557"/>
      <c r="L48" s="84"/>
      <c r="M48" s="84"/>
      <c r="N48" s="84"/>
      <c r="O48" s="84"/>
      <c r="P48" s="84"/>
      <c r="Q48" s="84"/>
      <c r="R48" s="84"/>
    </row>
    <row r="49" spans="1:18" ht="24.6" customHeight="1">
      <c r="A49" s="84"/>
      <c r="B49" s="1467"/>
      <c r="C49" s="290" t="s">
        <v>292</v>
      </c>
      <c r="D49" s="265"/>
      <c r="E49" s="499"/>
      <c r="F49" s="1509" t="s">
        <v>2793</v>
      </c>
      <c r="G49" s="1510"/>
      <c r="H49" s="499"/>
      <c r="I49" s="566"/>
      <c r="J49" s="566"/>
      <c r="K49" s="499"/>
      <c r="L49" s="84"/>
      <c r="M49" s="84"/>
      <c r="N49" s="84"/>
      <c r="O49" s="84"/>
      <c r="P49" s="84"/>
      <c r="Q49" s="84"/>
      <c r="R49" s="84"/>
    </row>
    <row r="50" spans="1:18" ht="24.6" customHeight="1">
      <c r="A50" s="84"/>
      <c r="B50" s="1467"/>
      <c r="C50" s="290" t="s">
        <v>292</v>
      </c>
      <c r="D50" s="265"/>
      <c r="E50" s="526"/>
      <c r="F50" s="526"/>
      <c r="G50" s="557"/>
      <c r="H50" s="1509" t="s">
        <v>2795</v>
      </c>
      <c r="I50" s="1510"/>
      <c r="J50" s="505"/>
      <c r="K50" s="526"/>
      <c r="L50" s="84"/>
      <c r="M50" s="84"/>
      <c r="N50" s="84"/>
      <c r="O50" s="84"/>
      <c r="P50" s="84"/>
      <c r="Q50" s="84"/>
      <c r="R50" s="84"/>
    </row>
    <row r="51" spans="1:18" ht="24.6" customHeight="1">
      <c r="A51" s="84"/>
      <c r="B51" s="1467"/>
      <c r="C51" s="325" t="s">
        <v>2581</v>
      </c>
      <c r="D51" s="265"/>
      <c r="E51" s="499"/>
      <c r="F51" s="325" t="s">
        <v>2763</v>
      </c>
      <c r="G51" s="325" t="s">
        <v>2764</v>
      </c>
      <c r="H51" s="325" t="s">
        <v>2764</v>
      </c>
      <c r="I51" s="325" t="s">
        <v>2765</v>
      </c>
      <c r="J51" s="325" t="s">
        <v>2765</v>
      </c>
      <c r="K51" s="499"/>
      <c r="L51" s="84"/>
      <c r="M51" s="84"/>
      <c r="N51" s="84"/>
      <c r="O51" s="84"/>
      <c r="P51" s="84"/>
      <c r="Q51" s="84"/>
      <c r="R51" s="84"/>
    </row>
    <row r="52" spans="1:18" ht="24.6" customHeight="1">
      <c r="A52" s="84"/>
      <c r="B52" s="500" t="s">
        <v>317</v>
      </c>
      <c r="C52" s="125" t="s">
        <v>228</v>
      </c>
      <c r="D52" s="265"/>
      <c r="E52" s="499"/>
      <c r="F52" s="499"/>
      <c r="G52" s="499"/>
      <c r="H52" s="499"/>
      <c r="I52" s="499"/>
      <c r="J52" s="499"/>
      <c r="K52" s="499"/>
      <c r="L52" s="84"/>
      <c r="M52" s="84"/>
      <c r="N52" s="84"/>
      <c r="O52" s="84"/>
      <c r="P52" s="84"/>
      <c r="Q52" s="84"/>
      <c r="R52" s="84"/>
    </row>
  </sheetData>
  <mergeCells count="28">
    <mergeCell ref="N13:O13"/>
    <mergeCell ref="N4:O4"/>
    <mergeCell ref="B19:B21"/>
    <mergeCell ref="F19:G19"/>
    <mergeCell ref="H19:I19"/>
    <mergeCell ref="J19:K19"/>
    <mergeCell ref="B34:B37"/>
    <mergeCell ref="B38:B41"/>
    <mergeCell ref="F38:G38"/>
    <mergeCell ref="E3:G3"/>
    <mergeCell ref="H3:K3"/>
    <mergeCell ref="B6:B9"/>
    <mergeCell ref="B10:B12"/>
    <mergeCell ref="B15:B18"/>
    <mergeCell ref="H38:I38"/>
    <mergeCell ref="J38:K38"/>
    <mergeCell ref="B24:B27"/>
    <mergeCell ref="B28:B31"/>
    <mergeCell ref="F28:G28"/>
    <mergeCell ref="H28:I28"/>
    <mergeCell ref="J28:K28"/>
    <mergeCell ref="B44:B47"/>
    <mergeCell ref="B48:B51"/>
    <mergeCell ref="F48:G48"/>
    <mergeCell ref="H48:I48"/>
    <mergeCell ref="J48:K48"/>
    <mergeCell ref="F49:G49"/>
    <mergeCell ref="H50:I50"/>
  </mergeCells>
  <phoneticPr fontId="6" type="noConversion"/>
  <pageMargins left="0.7" right="0.7" top="0.75" bottom="0.75" header="0.3" footer="0.3"/>
  <pageSetup paperSize="9" scale="34" orientation="landscape" r:id="rId1"/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9">
    <pageSetUpPr fitToPage="1"/>
  </sheetPr>
  <dimension ref="A1:S53"/>
  <sheetViews>
    <sheetView topLeftCell="A34" zoomScale="70" zoomScaleNormal="70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45047</v>
      </c>
      <c r="F3" s="1450"/>
      <c r="G3" s="1450"/>
      <c r="H3" s="1451" t="s">
        <v>2583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>
        <v>1</v>
      </c>
      <c r="G5" s="175">
        <v>2</v>
      </c>
      <c r="H5" s="175">
        <v>3</v>
      </c>
      <c r="I5" s="175">
        <v>4</v>
      </c>
      <c r="J5" s="175">
        <v>5</v>
      </c>
      <c r="K5" s="175">
        <v>6</v>
      </c>
      <c r="L5" s="90"/>
      <c r="M5" s="90"/>
      <c r="N5" s="90"/>
      <c r="R5" s="11"/>
      <c r="S5" s="90"/>
    </row>
    <row r="6" spans="1:19" s="5" customFormat="1" ht="24.6" customHeight="1">
      <c r="B6" s="1467" t="s">
        <v>2584</v>
      </c>
      <c r="C6" s="324" t="s">
        <v>2585</v>
      </c>
      <c r="D6" s="265"/>
      <c r="E6" s="499"/>
      <c r="F6" s="1630" t="s">
        <v>2819</v>
      </c>
      <c r="G6" s="1631"/>
      <c r="H6" s="1631"/>
      <c r="I6" s="1631"/>
      <c r="J6" s="1632"/>
      <c r="K6" s="499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17" t="s">
        <v>2807</v>
      </c>
      <c r="H7" s="417" t="s">
        <v>2731</v>
      </c>
      <c r="I7" s="568"/>
      <c r="J7" s="566"/>
      <c r="K7" s="49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389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316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90"/>
      <c r="R9" s="11"/>
      <c r="S9" s="90"/>
    </row>
    <row r="10" spans="1:19" s="5" customFormat="1" ht="24.6" customHeight="1">
      <c r="B10" s="1467" t="s">
        <v>287</v>
      </c>
      <c r="C10" s="324" t="s">
        <v>9</v>
      </c>
      <c r="D10" s="265"/>
      <c r="E10" s="499"/>
      <c r="F10" s="1556" t="s">
        <v>2842</v>
      </c>
      <c r="G10" s="1574"/>
      <c r="H10" s="1556" t="s">
        <v>2844</v>
      </c>
      <c r="I10" s="1574"/>
      <c r="J10" s="499"/>
      <c r="K10" s="499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292</v>
      </c>
      <c r="D11" s="265"/>
      <c r="E11" s="499"/>
      <c r="F11" s="526"/>
      <c r="G11" s="412" t="s">
        <v>2814</v>
      </c>
      <c r="H11" s="565"/>
      <c r="I11" s="499"/>
      <c r="J11" s="499"/>
      <c r="K11" s="499"/>
      <c r="L11" s="90"/>
      <c r="M11" s="90"/>
      <c r="N11" s="90"/>
      <c r="R11" s="11"/>
      <c r="S11" s="90"/>
    </row>
    <row r="12" spans="1:19" s="5" customFormat="1" ht="24.6" customHeight="1">
      <c r="B12" s="1467"/>
      <c r="C12" s="290"/>
      <c r="D12" s="265"/>
      <c r="E12" s="499"/>
      <c r="F12" s="499"/>
      <c r="G12" s="526"/>
      <c r="H12" s="412" t="s">
        <v>2815</v>
      </c>
      <c r="I12" s="560"/>
      <c r="J12" s="499"/>
      <c r="K12" s="499"/>
      <c r="L12" s="90"/>
      <c r="M12" s="90"/>
      <c r="N12" s="90"/>
      <c r="R12" s="11"/>
      <c r="S12" s="90"/>
    </row>
    <row r="13" spans="1:19" s="5" customFormat="1" ht="24.6" customHeight="1">
      <c r="B13" s="1467"/>
      <c r="C13" s="325" t="s">
        <v>2581</v>
      </c>
      <c r="D13" s="265"/>
      <c r="E13" s="499"/>
      <c r="F13" s="526"/>
      <c r="G13" s="325" t="s">
        <v>2765</v>
      </c>
      <c r="H13" s="325" t="s">
        <v>2766</v>
      </c>
      <c r="I13" s="325" t="s">
        <v>2766</v>
      </c>
      <c r="J13" s="499"/>
      <c r="K13" s="499"/>
      <c r="L13" s="90"/>
      <c r="M13" s="90"/>
      <c r="N13" s="90"/>
      <c r="R13" s="11"/>
      <c r="S13" s="90"/>
    </row>
    <row r="14" spans="1:19" s="5" customFormat="1" ht="24.6" customHeight="1">
      <c r="B14" s="500" t="s">
        <v>2580</v>
      </c>
      <c r="C14" s="125" t="s">
        <v>228</v>
      </c>
      <c r="D14" s="265"/>
      <c r="E14" s="499"/>
      <c r="F14" s="125" t="s">
        <v>541</v>
      </c>
      <c r="G14" s="499"/>
      <c r="H14" s="499"/>
      <c r="I14" s="499"/>
      <c r="J14" s="125" t="s">
        <v>92</v>
      </c>
      <c r="K14" s="499"/>
      <c r="L14" s="90"/>
      <c r="M14" s="90"/>
      <c r="N14" s="90"/>
      <c r="R14" s="11"/>
      <c r="S14" s="90"/>
    </row>
    <row r="15" spans="1:19" ht="24.6" customHeight="1">
      <c r="A15" s="84"/>
      <c r="B15" s="84"/>
      <c r="C15" s="5"/>
      <c r="D15" s="5"/>
      <c r="E15" s="266">
        <f>K5+1</f>
        <v>7</v>
      </c>
      <c r="F15" s="65">
        <f t="shared" ref="F15:K15" si="0">E15+1</f>
        <v>8</v>
      </c>
      <c r="G15" s="65">
        <f t="shared" si="0"/>
        <v>9</v>
      </c>
      <c r="H15" s="65">
        <f t="shared" si="0"/>
        <v>10</v>
      </c>
      <c r="I15" s="65">
        <f t="shared" si="0"/>
        <v>11</v>
      </c>
      <c r="J15" s="65">
        <f t="shared" si="0"/>
        <v>12</v>
      </c>
      <c r="K15" s="65">
        <f t="shared" si="0"/>
        <v>13</v>
      </c>
    </row>
    <row r="16" spans="1:19" ht="24.6" customHeight="1">
      <c r="A16" s="84"/>
      <c r="B16" s="1467" t="s">
        <v>286</v>
      </c>
      <c r="C16" s="324" t="s">
        <v>9</v>
      </c>
      <c r="D16" s="265"/>
      <c r="E16" s="301"/>
      <c r="F16" s="301"/>
      <c r="G16" s="572" t="s">
        <v>2803</v>
      </c>
      <c r="H16" s="573" t="s">
        <v>2823</v>
      </c>
      <c r="I16" s="573" t="s">
        <v>2827</v>
      </c>
      <c r="J16" s="301"/>
      <c r="K16" s="301"/>
    </row>
    <row r="17" spans="1:19" ht="24.6" customHeight="1">
      <c r="A17" s="84"/>
      <c r="B17" s="1467"/>
      <c r="C17" s="290" t="s">
        <v>7</v>
      </c>
      <c r="D17" s="265"/>
      <c r="E17" s="301"/>
      <c r="F17" s="301"/>
      <c r="G17" s="301"/>
      <c r="H17" s="301"/>
      <c r="I17" s="301"/>
      <c r="J17" s="417" t="s">
        <v>2803</v>
      </c>
      <c r="K17" s="301"/>
    </row>
    <row r="18" spans="1:19" ht="24.6" customHeight="1">
      <c r="A18" s="84"/>
      <c r="B18" s="1467"/>
      <c r="C18" s="163" t="s">
        <v>2586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/>
      <c r="C19" s="325" t="s">
        <v>316</v>
      </c>
      <c r="D19" s="265"/>
      <c r="E19" s="301"/>
      <c r="F19" s="301"/>
      <c r="G19" s="301"/>
      <c r="H19" s="301"/>
      <c r="I19" s="301"/>
      <c r="J19" s="301"/>
      <c r="K19" s="301"/>
    </row>
    <row r="20" spans="1:19" ht="24.6" customHeight="1">
      <c r="A20" s="84"/>
      <c r="B20" s="1467" t="s">
        <v>287</v>
      </c>
      <c r="C20" s="324" t="s">
        <v>9</v>
      </c>
      <c r="D20" s="265"/>
      <c r="E20" s="301"/>
      <c r="F20" s="1556" t="s">
        <v>2845</v>
      </c>
      <c r="G20" s="1557"/>
      <c r="H20" s="1556" t="s">
        <v>2821</v>
      </c>
      <c r="I20" s="1557"/>
      <c r="J20" s="1556" t="s">
        <v>2822</v>
      </c>
      <c r="K20" s="1557"/>
    </row>
    <row r="21" spans="1:19" ht="24" customHeight="1">
      <c r="A21" s="84"/>
      <c r="B21" s="1467"/>
      <c r="C21" s="290" t="s">
        <v>292</v>
      </c>
      <c r="D21" s="265"/>
      <c r="E21" s="301"/>
      <c r="F21" s="1522" t="s">
        <v>2805</v>
      </c>
      <c r="G21" s="1523"/>
      <c r="H21" s="1610" t="s">
        <v>2832</v>
      </c>
      <c r="I21" s="1621"/>
      <c r="J21" s="1611"/>
      <c r="K21" s="301"/>
    </row>
    <row r="22" spans="1:19" ht="24" customHeight="1">
      <c r="A22" s="84"/>
      <c r="B22" s="1467"/>
      <c r="C22" s="290"/>
      <c r="D22" s="265"/>
      <c r="E22" s="301"/>
      <c r="F22" s="301"/>
      <c r="G22" s="301"/>
      <c r="H22" s="301"/>
      <c r="I22" s="301"/>
      <c r="J22" s="301"/>
      <c r="K22" s="301"/>
    </row>
    <row r="23" spans="1:19" ht="24" customHeight="1">
      <c r="A23" s="84"/>
      <c r="B23" s="1467"/>
      <c r="C23" s="325" t="s">
        <v>316</v>
      </c>
      <c r="D23" s="265"/>
      <c r="E23" s="301"/>
      <c r="F23" s="325" t="s">
        <v>2767</v>
      </c>
      <c r="G23" s="325" t="s">
        <v>2767</v>
      </c>
      <c r="H23" s="325" t="s">
        <v>2767</v>
      </c>
      <c r="I23" s="325" t="s">
        <v>2768</v>
      </c>
      <c r="J23" s="325" t="s">
        <v>2768</v>
      </c>
      <c r="K23" s="301"/>
    </row>
    <row r="24" spans="1:19" ht="24.6" customHeight="1">
      <c r="A24" s="84"/>
      <c r="B24" s="500" t="s">
        <v>2589</v>
      </c>
      <c r="C24" s="125" t="s">
        <v>2590</v>
      </c>
      <c r="D24" s="265"/>
      <c r="E24" s="301"/>
      <c r="F24" s="301"/>
      <c r="G24" s="301"/>
      <c r="H24" s="301"/>
      <c r="I24" s="301"/>
      <c r="J24" s="301"/>
      <c r="K24" s="301"/>
      <c r="P24" s="562"/>
    </row>
    <row r="25" spans="1:19" ht="24.6" customHeight="1">
      <c r="A25" s="84"/>
      <c r="B25" s="84"/>
      <c r="C25" s="5"/>
      <c r="D25" s="5"/>
      <c r="E25" s="26">
        <f>K15+1</f>
        <v>14</v>
      </c>
      <c r="F25" s="175">
        <f t="shared" ref="F25:K25" si="1">E25+1</f>
        <v>15</v>
      </c>
      <c r="G25" s="175">
        <f t="shared" si="1"/>
        <v>16</v>
      </c>
      <c r="H25" s="175">
        <f t="shared" si="1"/>
        <v>17</v>
      </c>
      <c r="I25" s="175">
        <f t="shared" si="1"/>
        <v>18</v>
      </c>
      <c r="J25" s="175">
        <f t="shared" si="1"/>
        <v>19</v>
      </c>
      <c r="K25" s="175">
        <f t="shared" si="1"/>
        <v>20</v>
      </c>
      <c r="M25" s="203"/>
      <c r="N25" s="203"/>
      <c r="P25" s="562"/>
    </row>
    <row r="26" spans="1:19" ht="24.6" customHeight="1">
      <c r="A26" s="84"/>
      <c r="B26" s="1467" t="s">
        <v>286</v>
      </c>
      <c r="C26" s="324" t="s">
        <v>9</v>
      </c>
      <c r="D26" s="265"/>
      <c r="E26" s="499"/>
      <c r="F26" s="569"/>
      <c r="G26" s="530" t="s">
        <v>2831</v>
      </c>
      <c r="H26" s="571"/>
      <c r="I26" s="530" t="s">
        <v>2830</v>
      </c>
      <c r="J26" s="499"/>
      <c r="K26" s="499"/>
    </row>
    <row r="27" spans="1:19" ht="24.6" customHeight="1">
      <c r="A27" s="84"/>
      <c r="B27" s="1467"/>
      <c r="C27" s="290" t="s">
        <v>7</v>
      </c>
      <c r="D27" s="265"/>
      <c r="E27" s="499"/>
      <c r="F27" s="417" t="s">
        <v>2729</v>
      </c>
      <c r="G27" s="567"/>
      <c r="H27" s="569"/>
      <c r="I27" s="574"/>
      <c r="J27" s="417" t="s">
        <v>2813</v>
      </c>
      <c r="K27" s="499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/>
      <c r="C28" s="163" t="s">
        <v>389</v>
      </c>
      <c r="D28" s="265"/>
      <c r="E28" s="499"/>
      <c r="F28" s="499"/>
      <c r="G28" s="499"/>
      <c r="H28" s="499"/>
      <c r="I28" s="499"/>
      <c r="J28" s="499"/>
      <c r="K28" s="499"/>
      <c r="L28" s="84"/>
      <c r="M28" s="84"/>
      <c r="N28" s="84"/>
      <c r="P28" s="84"/>
      <c r="Q28" s="84"/>
      <c r="R28" s="84"/>
      <c r="S28" s="84"/>
    </row>
    <row r="29" spans="1:19" ht="24.6" customHeight="1">
      <c r="A29" s="84"/>
      <c r="B29" s="1467"/>
      <c r="C29" s="325" t="s">
        <v>316</v>
      </c>
      <c r="D29" s="265"/>
      <c r="E29" s="499"/>
      <c r="F29" s="561"/>
      <c r="G29" s="561"/>
      <c r="H29" s="499"/>
      <c r="I29" s="499"/>
      <c r="J29" s="499"/>
      <c r="K29" s="499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 t="s">
        <v>287</v>
      </c>
      <c r="C30" s="324" t="s">
        <v>9</v>
      </c>
      <c r="D30" s="265"/>
      <c r="E30" s="499"/>
      <c r="F30" s="1556" t="s">
        <v>2828</v>
      </c>
      <c r="G30" s="1557"/>
      <c r="H30" s="1556" t="s">
        <v>2829</v>
      </c>
      <c r="I30" s="1557"/>
      <c r="J30" s="1556" t="s">
        <v>2849</v>
      </c>
      <c r="K30" s="1557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1561" t="s">
        <v>292</v>
      </c>
      <c r="D31" s="265"/>
      <c r="E31" s="499"/>
      <c r="F31" s="1622" t="s">
        <v>2756</v>
      </c>
      <c r="G31" s="1623"/>
      <c r="H31" s="360" t="s">
        <v>2798</v>
      </c>
      <c r="I31" s="360" t="s">
        <v>2757</v>
      </c>
      <c r="J31" s="412" t="s">
        <v>2852</v>
      </c>
      <c r="K31" s="499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1561"/>
      <c r="D32" s="265"/>
      <c r="E32" s="499"/>
      <c r="F32" s="575"/>
      <c r="G32" s="575"/>
      <c r="H32" s="575"/>
      <c r="I32" s="575"/>
      <c r="J32" s="575"/>
      <c r="K32" s="499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325" t="s">
        <v>2591</v>
      </c>
      <c r="D33" s="265"/>
      <c r="E33" s="499"/>
      <c r="F33" s="325" t="s">
        <v>2769</v>
      </c>
      <c r="G33" s="325" t="s">
        <v>2769</v>
      </c>
      <c r="H33" s="325" t="s">
        <v>2769</v>
      </c>
      <c r="I33" s="325" t="s">
        <v>2770</v>
      </c>
      <c r="J33" s="325" t="s">
        <v>2770</v>
      </c>
      <c r="K33" s="499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500" t="s">
        <v>317</v>
      </c>
      <c r="C34" s="125" t="s">
        <v>2590</v>
      </c>
      <c r="D34" s="265"/>
      <c r="E34" s="499"/>
      <c r="F34" s="499"/>
      <c r="G34" s="499"/>
      <c r="H34" s="499"/>
      <c r="I34" s="499"/>
      <c r="J34" s="499"/>
      <c r="K34" s="499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66">
        <f>K25+1</f>
        <v>21</v>
      </c>
      <c r="F35" s="304">
        <f t="shared" ref="F35:K35" si="2">E35+1</f>
        <v>22</v>
      </c>
      <c r="G35" s="304">
        <f t="shared" si="2"/>
        <v>23</v>
      </c>
      <c r="H35" s="304">
        <f t="shared" si="2"/>
        <v>24</v>
      </c>
      <c r="I35" s="304">
        <f t="shared" si="2"/>
        <v>25</v>
      </c>
      <c r="J35" s="304">
        <f t="shared" si="2"/>
        <v>26</v>
      </c>
      <c r="K35" s="65">
        <f t="shared" si="2"/>
        <v>27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286</v>
      </c>
      <c r="C36" s="324" t="s">
        <v>9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290" t="s">
        <v>7</v>
      </c>
      <c r="D37" s="265"/>
      <c r="E37" s="301"/>
      <c r="F37" s="301"/>
      <c r="G37" s="417" t="s">
        <v>2812</v>
      </c>
      <c r="H37" s="417" t="s">
        <v>2744</v>
      </c>
      <c r="I37" s="301"/>
      <c r="J37" s="417" t="s">
        <v>2855</v>
      </c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63" t="s">
        <v>389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2591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" customHeight="1">
      <c r="A40" s="84"/>
      <c r="B40" s="1467" t="s">
        <v>287</v>
      </c>
      <c r="C40" s="324" t="s">
        <v>2585</v>
      </c>
      <c r="D40" s="265"/>
      <c r="E40" s="301"/>
      <c r="F40" s="1556" t="s">
        <v>2850</v>
      </c>
      <c r="G40" s="1557"/>
      <c r="H40" s="1556" t="s">
        <v>2858</v>
      </c>
      <c r="I40" s="1557"/>
      <c r="J40" s="1556" t="s">
        <v>2851</v>
      </c>
      <c r="K40" s="1557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290" t="s">
        <v>2592</v>
      </c>
      <c r="D41" s="265"/>
      <c r="E41" s="301"/>
      <c r="F41" s="1522" t="s">
        <v>2854</v>
      </c>
      <c r="G41" s="1545"/>
      <c r="H41" s="1522" t="s">
        <v>2824</v>
      </c>
      <c r="I41" s="1545"/>
      <c r="J41" s="476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290"/>
      <c r="D42" s="265"/>
      <c r="E42" s="301"/>
      <c r="F42" s="301"/>
      <c r="G42" s="1629" t="s">
        <v>2853</v>
      </c>
      <c r="H42" s="1578"/>
      <c r="I42" s="1578" t="s">
        <v>2755</v>
      </c>
      <c r="J42" s="1578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325" t="s">
        <v>316</v>
      </c>
      <c r="D43" s="265"/>
      <c r="E43" s="301"/>
      <c r="F43" s="325" t="s">
        <v>2587</v>
      </c>
      <c r="G43" s="325" t="s">
        <v>2587</v>
      </c>
      <c r="H43" s="325" t="s">
        <v>2587</v>
      </c>
      <c r="I43" s="325" t="s">
        <v>2863</v>
      </c>
      <c r="J43" s="325" t="s">
        <v>2588</v>
      </c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500" t="s">
        <v>317</v>
      </c>
      <c r="C44" s="125" t="s">
        <v>228</v>
      </c>
      <c r="D44" s="265"/>
      <c r="E44" s="345"/>
      <c r="F44" s="301"/>
      <c r="G44" s="301"/>
      <c r="H44" s="301"/>
      <c r="I44" s="301"/>
      <c r="J44" s="301"/>
      <c r="K44" s="125" t="s">
        <v>616</v>
      </c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269"/>
      <c r="D45" s="265"/>
      <c r="E45" s="26">
        <f>K35+1</f>
        <v>28</v>
      </c>
      <c r="F45" s="175">
        <f>E45+1</f>
        <v>29</v>
      </c>
      <c r="G45" s="175">
        <f>F45+1</f>
        <v>30</v>
      </c>
      <c r="H45" s="175">
        <f>G45+1</f>
        <v>31</v>
      </c>
      <c r="I45" s="175"/>
      <c r="J45" s="175"/>
      <c r="K45" s="175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324" t="s">
        <v>9</v>
      </c>
      <c r="D46" s="265"/>
      <c r="E46" s="499"/>
      <c r="F46" s="499"/>
      <c r="G46" s="499"/>
      <c r="H46" s="530" t="s">
        <v>2867</v>
      </c>
      <c r="I46" s="499"/>
      <c r="J46" s="499"/>
      <c r="K46" s="499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7</v>
      </c>
      <c r="D47" s="265"/>
      <c r="E47" s="499"/>
      <c r="F47" s="499"/>
      <c r="G47" s="499"/>
      <c r="H47" s="499"/>
      <c r="I47" s="499"/>
      <c r="J47" s="499"/>
      <c r="K47" s="499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3" t="s">
        <v>389</v>
      </c>
      <c r="D48" s="265"/>
      <c r="E48" s="499"/>
      <c r="F48" s="499"/>
      <c r="G48" s="571"/>
      <c r="H48" s="571"/>
      <c r="I48" s="499"/>
      <c r="J48" s="499"/>
      <c r="K48" s="499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325" t="s">
        <v>316</v>
      </c>
      <c r="D49" s="265"/>
      <c r="E49" s="499"/>
      <c r="F49" s="499"/>
      <c r="G49" s="499"/>
      <c r="H49" s="499"/>
      <c r="I49" s="499"/>
      <c r="J49" s="499"/>
      <c r="K49" s="499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2593</v>
      </c>
      <c r="C50" s="324" t="s">
        <v>9</v>
      </c>
      <c r="D50" s="265"/>
      <c r="E50" s="499"/>
      <c r="F50" s="1556" t="s">
        <v>2864</v>
      </c>
      <c r="G50" s="1557"/>
      <c r="H50" s="1556" t="s">
        <v>2857</v>
      </c>
      <c r="I50" s="1557"/>
      <c r="J50" s="499"/>
      <c r="K50" s="499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290" t="s">
        <v>292</v>
      </c>
      <c r="D51" s="265"/>
      <c r="E51" s="499"/>
      <c r="F51" s="576"/>
      <c r="G51" s="1522" t="s">
        <v>2834</v>
      </c>
      <c r="H51" s="1545"/>
      <c r="I51" s="499"/>
      <c r="J51" s="499"/>
      <c r="K51" s="499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325" t="s">
        <v>316</v>
      </c>
      <c r="D52" s="265"/>
      <c r="E52" s="499"/>
      <c r="F52" s="325" t="s">
        <v>2771</v>
      </c>
      <c r="G52" s="325" t="s">
        <v>2771</v>
      </c>
      <c r="H52" s="325" t="s">
        <v>2771</v>
      </c>
      <c r="I52" s="499"/>
      <c r="J52" s="499"/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500" t="s">
        <v>2580</v>
      </c>
      <c r="C53" s="125" t="s">
        <v>2594</v>
      </c>
      <c r="D53" s="265"/>
      <c r="E53" s="499"/>
      <c r="F53" s="125" t="s">
        <v>16</v>
      </c>
      <c r="G53" s="499"/>
      <c r="H53" s="499"/>
      <c r="I53" s="499"/>
      <c r="J53" s="499"/>
      <c r="K53" s="499"/>
      <c r="L53" s="84"/>
      <c r="M53" s="84"/>
      <c r="N53" s="84"/>
      <c r="O53" s="84"/>
      <c r="P53" s="84"/>
      <c r="Q53" s="84"/>
      <c r="R53" s="84"/>
      <c r="S53" s="84"/>
    </row>
  </sheetData>
  <mergeCells count="35">
    <mergeCell ref="E3:G3"/>
    <mergeCell ref="H3:K3"/>
    <mergeCell ref="B6:B9"/>
    <mergeCell ref="B10:B13"/>
    <mergeCell ref="F10:G10"/>
    <mergeCell ref="H10:I10"/>
    <mergeCell ref="F6:J6"/>
    <mergeCell ref="B16:B19"/>
    <mergeCell ref="B20:B23"/>
    <mergeCell ref="F20:G20"/>
    <mergeCell ref="H20:I20"/>
    <mergeCell ref="J20:K20"/>
    <mergeCell ref="F21:G21"/>
    <mergeCell ref="H21:J21"/>
    <mergeCell ref="J30:K30"/>
    <mergeCell ref="F31:G31"/>
    <mergeCell ref="J40:K40"/>
    <mergeCell ref="B36:B39"/>
    <mergeCell ref="B40:B43"/>
    <mergeCell ref="F40:G40"/>
    <mergeCell ref="H40:I40"/>
    <mergeCell ref="G42:H42"/>
    <mergeCell ref="I42:J42"/>
    <mergeCell ref="B26:B29"/>
    <mergeCell ref="B30:B33"/>
    <mergeCell ref="F30:G30"/>
    <mergeCell ref="H30:I30"/>
    <mergeCell ref="F41:G41"/>
    <mergeCell ref="C31:C32"/>
    <mergeCell ref="H41:I41"/>
    <mergeCell ref="B46:B49"/>
    <mergeCell ref="B50:B52"/>
    <mergeCell ref="F50:G50"/>
    <mergeCell ref="H50:I50"/>
    <mergeCell ref="G51:H51"/>
  </mergeCells>
  <phoneticPr fontId="6" type="noConversion"/>
  <pageMargins left="0.7" right="0.7" top="0.75" bottom="0.75" header="0.3" footer="0.3"/>
  <pageSetup paperSize="9" scale="37" orientation="landscape"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0">
    <pageSetUpPr fitToPage="1"/>
  </sheetPr>
  <dimension ref="A1:S53"/>
  <sheetViews>
    <sheetView topLeftCell="A13" zoomScale="70" zoomScaleNormal="70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5" width="9.6640625" style="90" bestFit="1" customWidth="1"/>
    <col min="16" max="16" width="30.77734375" style="90" bestFit="1" customWidth="1"/>
    <col min="17" max="17" width="105.5546875" style="90" bestFit="1" customWidth="1"/>
    <col min="18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45078</v>
      </c>
      <c r="F3" s="1450"/>
      <c r="G3" s="1450"/>
      <c r="H3" s="1451" t="s">
        <v>2583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>
        <v>1</v>
      </c>
      <c r="J5" s="175">
        <f>I5+1</f>
        <v>2</v>
      </c>
      <c r="K5" s="175">
        <f>J5+1</f>
        <v>3</v>
      </c>
      <c r="L5" s="90"/>
      <c r="M5" s="90"/>
      <c r="N5" s="90"/>
      <c r="O5" s="1628" t="s">
        <v>2732</v>
      </c>
      <c r="P5" s="1627"/>
      <c r="Q5" s="552" t="s">
        <v>228</v>
      </c>
      <c r="R5" s="11"/>
      <c r="S5" s="90"/>
    </row>
    <row r="6" spans="1:19" s="5" customFormat="1" ht="24.6" customHeight="1">
      <c r="B6" s="1467" t="s">
        <v>2584</v>
      </c>
      <c r="C6" s="324" t="s">
        <v>2585</v>
      </c>
      <c r="D6" s="265"/>
      <c r="E6" s="499"/>
      <c r="F6" s="499"/>
      <c r="G6" s="499"/>
      <c r="H6" s="499"/>
      <c r="I6" s="530" t="s">
        <v>2866</v>
      </c>
      <c r="J6" s="577"/>
      <c r="K6" s="499"/>
      <c r="L6" s="90"/>
      <c r="M6" s="90"/>
      <c r="N6" s="90"/>
      <c r="O6" s="553" t="s">
        <v>2835</v>
      </c>
      <c r="P6" s="550" t="s">
        <v>2837</v>
      </c>
      <c r="Q6" s="549" t="s">
        <v>2836</v>
      </c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90"/>
      <c r="O7" s="553" t="s">
        <v>2838</v>
      </c>
      <c r="P7" s="551" t="s">
        <v>2840</v>
      </c>
      <c r="Q7" s="549" t="s">
        <v>2839</v>
      </c>
      <c r="R7" s="11"/>
      <c r="S7" s="90"/>
    </row>
    <row r="8" spans="1:19" s="5" customFormat="1" ht="24.6" customHeight="1">
      <c r="B8" s="1467"/>
      <c r="C8" s="163" t="s">
        <v>2595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O8" s="553"/>
      <c r="P8" s="551" t="s">
        <v>2875</v>
      </c>
      <c r="Q8" s="549"/>
      <c r="R8" s="11"/>
      <c r="S8" s="90"/>
    </row>
    <row r="9" spans="1:19" s="5" customFormat="1" ht="24.6" customHeight="1">
      <c r="B9" s="1467"/>
      <c r="C9" s="325" t="s">
        <v>2581</v>
      </c>
      <c r="D9" s="265"/>
      <c r="E9" s="499"/>
      <c r="F9" s="499"/>
      <c r="G9" s="499"/>
      <c r="H9" s="499"/>
      <c r="I9" s="571"/>
      <c r="J9" s="571"/>
      <c r="K9" s="499"/>
      <c r="L9" s="90"/>
      <c r="M9" s="90"/>
      <c r="N9" s="90"/>
      <c r="O9" s="553"/>
      <c r="P9" s="551" t="s">
        <v>2877</v>
      </c>
      <c r="Q9" s="549"/>
      <c r="R9" s="11"/>
      <c r="S9" s="90"/>
    </row>
    <row r="10" spans="1:19" s="5" customFormat="1" ht="24.6" customHeight="1">
      <c r="B10" s="1467" t="s">
        <v>2593</v>
      </c>
      <c r="C10" s="324" t="s">
        <v>2585</v>
      </c>
      <c r="D10" s="265"/>
      <c r="E10" s="499"/>
      <c r="F10" s="499"/>
      <c r="G10" s="499"/>
      <c r="H10" s="499"/>
      <c r="I10" s="499"/>
      <c r="J10" s="1556" t="s">
        <v>2865</v>
      </c>
      <c r="K10" s="1557"/>
      <c r="L10" s="90"/>
      <c r="M10" s="90"/>
      <c r="N10" s="90"/>
      <c r="O10" s="553"/>
      <c r="P10" s="551" t="s">
        <v>2878</v>
      </c>
      <c r="Q10" s="549"/>
      <c r="R10" s="11"/>
      <c r="S10" s="90"/>
    </row>
    <row r="11" spans="1:19" s="5" customFormat="1" ht="24.6" customHeight="1">
      <c r="B11" s="1467"/>
      <c r="C11" s="290" t="s">
        <v>2592</v>
      </c>
      <c r="D11" s="265"/>
      <c r="E11" s="499"/>
      <c r="F11" s="499"/>
      <c r="G11" s="499"/>
      <c r="H11" s="499"/>
      <c r="I11" s="1522" t="s">
        <v>2825</v>
      </c>
      <c r="J11" s="1545"/>
      <c r="K11" s="499"/>
      <c r="L11" s="90"/>
      <c r="M11" s="90"/>
      <c r="N11" s="90"/>
      <c r="O11" s="553"/>
      <c r="P11" s="551"/>
      <c r="Q11" s="549"/>
      <c r="R11" s="11"/>
      <c r="S11" s="90"/>
    </row>
    <row r="12" spans="1:19" s="5" customFormat="1" ht="24.6" customHeight="1">
      <c r="B12" s="1467"/>
      <c r="C12" s="325" t="s">
        <v>2581</v>
      </c>
      <c r="D12" s="265"/>
      <c r="E12" s="499"/>
      <c r="F12" s="499"/>
      <c r="G12" s="499"/>
      <c r="H12" s="499"/>
      <c r="I12" s="325" t="s">
        <v>2772</v>
      </c>
      <c r="J12" s="325" t="s">
        <v>2773</v>
      </c>
      <c r="K12" s="499"/>
      <c r="L12" s="90"/>
      <c r="M12" s="90"/>
      <c r="N12" s="90"/>
      <c r="O12" s="553"/>
      <c r="P12" s="551"/>
      <c r="Q12" s="549"/>
      <c r="R12" s="11"/>
      <c r="S12" s="90"/>
    </row>
    <row r="13" spans="1:19" s="5" customFormat="1" ht="24.6" customHeight="1">
      <c r="B13" s="500" t="s">
        <v>2580</v>
      </c>
      <c r="C13" s="125" t="s">
        <v>2579</v>
      </c>
      <c r="D13" s="265"/>
      <c r="E13" s="499"/>
      <c r="F13" s="499"/>
      <c r="G13" s="499"/>
      <c r="H13" s="499"/>
      <c r="I13" s="499"/>
      <c r="J13" s="499"/>
      <c r="K13" s="499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4</v>
      </c>
      <c r="F14" s="65">
        <f t="shared" ref="F14:K14" si="0">E14+1</f>
        <v>5</v>
      </c>
      <c r="G14" s="65">
        <f t="shared" si="0"/>
        <v>6</v>
      </c>
      <c r="H14" s="65">
        <f t="shared" si="0"/>
        <v>7</v>
      </c>
      <c r="I14" s="65">
        <f t="shared" si="0"/>
        <v>8</v>
      </c>
      <c r="J14" s="65">
        <f t="shared" si="0"/>
        <v>9</v>
      </c>
      <c r="K14" s="65">
        <f t="shared" si="0"/>
        <v>10</v>
      </c>
    </row>
    <row r="15" spans="1:19" ht="24.6" customHeight="1">
      <c r="A15" s="84"/>
      <c r="B15" s="1467" t="s">
        <v>2584</v>
      </c>
      <c r="C15" s="324" t="s">
        <v>2585</v>
      </c>
      <c r="D15" s="265"/>
      <c r="E15" s="301"/>
      <c r="F15" s="301"/>
      <c r="G15" s="301"/>
      <c r="H15" s="301"/>
      <c r="I15" s="541" t="s">
        <v>2868</v>
      </c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301"/>
      <c r="K16" s="301"/>
    </row>
    <row r="17" spans="1:19" ht="24.6" customHeight="1">
      <c r="A17" s="84"/>
      <c r="B17" s="1467"/>
      <c r="C17" s="163" t="s">
        <v>2595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2581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2593</v>
      </c>
      <c r="C19" s="324" t="s">
        <v>2585</v>
      </c>
      <c r="D19" s="265"/>
      <c r="E19" s="301"/>
      <c r="F19" s="301"/>
      <c r="G19" s="301"/>
      <c r="H19" s="1556" t="s">
        <v>2869</v>
      </c>
      <c r="I19" s="1557"/>
      <c r="J19" s="1556" t="s">
        <v>2870</v>
      </c>
      <c r="K19" s="1557"/>
    </row>
    <row r="20" spans="1:19" ht="24" customHeight="1">
      <c r="A20" s="84"/>
      <c r="B20" s="1467"/>
      <c r="C20" s="290" t="s">
        <v>2592</v>
      </c>
      <c r="D20" s="265"/>
      <c r="E20" s="301"/>
      <c r="F20" s="301"/>
      <c r="G20" s="301"/>
      <c r="H20" s="1522" t="s">
        <v>2826</v>
      </c>
      <c r="I20" s="1545"/>
      <c r="J20" s="301"/>
      <c r="K20" s="301"/>
    </row>
    <row r="21" spans="1:19" ht="24" customHeight="1">
      <c r="A21" s="84"/>
      <c r="B21" s="1467"/>
      <c r="C21" s="290"/>
      <c r="D21" s="265"/>
      <c r="E21" s="301"/>
      <c r="F21" s="301"/>
      <c r="G21" s="301"/>
      <c r="H21" s="301"/>
      <c r="I21" s="301"/>
      <c r="J21" s="290" t="s">
        <v>2884</v>
      </c>
      <c r="K21" s="301"/>
    </row>
    <row r="22" spans="1:19" ht="24" customHeight="1">
      <c r="A22" s="84"/>
      <c r="B22" s="1467"/>
      <c r="C22" s="325" t="s">
        <v>2581</v>
      </c>
      <c r="D22" s="265"/>
      <c r="E22" s="301"/>
      <c r="F22" s="325" t="s">
        <v>2774</v>
      </c>
      <c r="G22" s="301"/>
      <c r="H22" s="325" t="s">
        <v>2774</v>
      </c>
      <c r="I22" s="325" t="s">
        <v>2774</v>
      </c>
      <c r="J22" s="325" t="s">
        <v>2775</v>
      </c>
      <c r="K22" s="301"/>
    </row>
    <row r="23" spans="1:19" ht="24.6" customHeight="1">
      <c r="A23" s="84"/>
      <c r="B23" s="500" t="s">
        <v>2580</v>
      </c>
      <c r="C23" s="125" t="s">
        <v>2579</v>
      </c>
      <c r="D23" s="265"/>
      <c r="E23" s="301"/>
      <c r="F23" s="125" t="s">
        <v>2799</v>
      </c>
      <c r="G23" s="125" t="s">
        <v>91</v>
      </c>
      <c r="H23" s="301"/>
      <c r="I23" s="301"/>
      <c r="J23" s="301"/>
      <c r="K23" s="301"/>
    </row>
    <row r="24" spans="1:19" ht="24.6" customHeight="1">
      <c r="A24" s="84"/>
      <c r="B24" s="84"/>
      <c r="C24" s="5"/>
      <c r="D24" s="5"/>
      <c r="E24" s="26">
        <f>K14+1</f>
        <v>11</v>
      </c>
      <c r="F24" s="175">
        <f t="shared" ref="F24:K24" si="1">E24+1</f>
        <v>12</v>
      </c>
      <c r="G24" s="175">
        <f t="shared" si="1"/>
        <v>13</v>
      </c>
      <c r="H24" s="175">
        <f t="shared" si="1"/>
        <v>14</v>
      </c>
      <c r="I24" s="175">
        <f t="shared" si="1"/>
        <v>15</v>
      </c>
      <c r="J24" s="175">
        <f t="shared" si="1"/>
        <v>16</v>
      </c>
      <c r="K24" s="175">
        <f t="shared" si="1"/>
        <v>17</v>
      </c>
      <c r="M24" s="1453"/>
      <c r="N24" s="1453"/>
      <c r="O24" s="1453"/>
    </row>
    <row r="25" spans="1:19" ht="24.6" customHeight="1">
      <c r="A25" s="84"/>
      <c r="B25" s="1467" t="s">
        <v>2584</v>
      </c>
      <c r="C25" s="324" t="s">
        <v>2585</v>
      </c>
      <c r="D25" s="265"/>
      <c r="E25" s="499"/>
      <c r="F25" s="578"/>
      <c r="G25" s="530" t="s">
        <v>2874</v>
      </c>
      <c r="H25" s="581"/>
      <c r="I25" s="582" t="s">
        <v>2880</v>
      </c>
      <c r="J25" s="499"/>
      <c r="K25" s="499"/>
    </row>
    <row r="26" spans="1:19" ht="24.6" customHeight="1">
      <c r="A26" s="84"/>
      <c r="B26" s="1467"/>
      <c r="C26" s="290" t="s">
        <v>7</v>
      </c>
      <c r="D26" s="265"/>
      <c r="E26" s="499"/>
      <c r="F26" s="499"/>
      <c r="G26" s="499"/>
      <c r="H26" s="499"/>
      <c r="I26" s="499"/>
      <c r="J26" s="499"/>
      <c r="K26" s="499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3" t="s">
        <v>389</v>
      </c>
      <c r="D27" s="265"/>
      <c r="E27" s="499"/>
      <c r="F27" s="499"/>
      <c r="G27" s="499"/>
      <c r="H27" s="499"/>
      <c r="I27" s="580"/>
      <c r="J27" s="580"/>
      <c r="K27" s="499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/>
      <c r="C28" s="325" t="s">
        <v>2581</v>
      </c>
      <c r="D28" s="265"/>
      <c r="E28" s="499"/>
      <c r="F28" s="576"/>
      <c r="G28" s="576"/>
      <c r="H28" s="499"/>
      <c r="I28" s="576"/>
      <c r="J28" s="576"/>
      <c r="K28" s="499"/>
      <c r="L28" s="84"/>
      <c r="M28" s="84"/>
      <c r="P28" s="84"/>
      <c r="Q28" s="84"/>
      <c r="R28" s="84"/>
      <c r="S28" s="84"/>
    </row>
    <row r="29" spans="1:19" ht="24.6" customHeight="1">
      <c r="A29" s="84"/>
      <c r="B29" s="1467" t="s">
        <v>2593</v>
      </c>
      <c r="C29" s="324" t="s">
        <v>9</v>
      </c>
      <c r="D29" s="265"/>
      <c r="E29" s="499"/>
      <c r="F29" s="1556" t="s">
        <v>2873</v>
      </c>
      <c r="G29" s="1557"/>
      <c r="H29" s="1556" t="s">
        <v>2879</v>
      </c>
      <c r="I29" s="1557"/>
      <c r="J29" s="1556" t="s">
        <v>2885</v>
      </c>
      <c r="K29" s="1557"/>
      <c r="L29" s="84"/>
      <c r="M29" s="84"/>
      <c r="P29" s="84"/>
      <c r="Q29" s="84"/>
      <c r="R29" s="84"/>
      <c r="S29" s="84"/>
    </row>
    <row r="30" spans="1:19" ht="24.6" customHeight="1">
      <c r="A30" s="84"/>
      <c r="B30" s="1467"/>
      <c r="C30" s="290" t="s">
        <v>2592</v>
      </c>
      <c r="D30" s="265"/>
      <c r="E30" s="499"/>
      <c r="F30" s="1522" t="s">
        <v>2843</v>
      </c>
      <c r="G30" s="1523"/>
      <c r="H30" s="499"/>
      <c r="I30" s="1522" t="s">
        <v>2846</v>
      </c>
      <c r="J30" s="1523"/>
      <c r="K30" s="499"/>
      <c r="L30" s="84"/>
      <c r="M30" s="84"/>
      <c r="P30" s="84"/>
      <c r="Q30" s="84"/>
      <c r="R30" s="84"/>
      <c r="S30" s="84"/>
    </row>
    <row r="31" spans="1:19" ht="24.6" customHeight="1">
      <c r="A31" s="84"/>
      <c r="B31" s="1467"/>
      <c r="C31" s="290"/>
      <c r="D31" s="265"/>
      <c r="E31" s="499"/>
      <c r="F31" s="579"/>
      <c r="G31" s="579"/>
      <c r="H31" s="417" t="s">
        <v>2856</v>
      </c>
      <c r="I31" s="505"/>
      <c r="J31" s="505"/>
      <c r="K31" s="499"/>
      <c r="L31" s="84"/>
      <c r="M31" s="84"/>
      <c r="P31" s="84"/>
      <c r="Q31" s="84"/>
      <c r="R31" s="84"/>
      <c r="S31" s="84"/>
    </row>
    <row r="32" spans="1:19" ht="24.6" customHeight="1">
      <c r="A32" s="84"/>
      <c r="B32" s="1467"/>
      <c r="C32" s="325" t="s">
        <v>2581</v>
      </c>
      <c r="D32" s="265"/>
      <c r="E32" s="499"/>
      <c r="F32" s="325" t="s">
        <v>2775</v>
      </c>
      <c r="G32" s="325" t="s">
        <v>2776</v>
      </c>
      <c r="H32" s="325" t="s">
        <v>2776</v>
      </c>
      <c r="I32" s="325" t="s">
        <v>2776</v>
      </c>
      <c r="J32" s="325" t="s">
        <v>2692</v>
      </c>
      <c r="K32" s="499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500" t="s">
        <v>2580</v>
      </c>
      <c r="C33" s="125" t="s">
        <v>2579</v>
      </c>
      <c r="D33" s="265"/>
      <c r="E33" s="499"/>
      <c r="F33" s="499"/>
      <c r="G33" s="556"/>
      <c r="H33" s="499"/>
      <c r="I33" s="499"/>
      <c r="J33" s="499"/>
      <c r="K33" s="499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84"/>
      <c r="C34" s="5"/>
      <c r="D34" s="5"/>
      <c r="E34" s="266">
        <f>K24+1</f>
        <v>18</v>
      </c>
      <c r="F34" s="304">
        <f t="shared" ref="F34:K34" si="2">E34+1</f>
        <v>19</v>
      </c>
      <c r="G34" s="304">
        <f t="shared" si="2"/>
        <v>20</v>
      </c>
      <c r="H34" s="304">
        <f t="shared" si="2"/>
        <v>21</v>
      </c>
      <c r="I34" s="304">
        <f t="shared" si="2"/>
        <v>22</v>
      </c>
      <c r="J34" s="304">
        <f t="shared" si="2"/>
        <v>23</v>
      </c>
      <c r="K34" s="65">
        <f t="shared" si="2"/>
        <v>24</v>
      </c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 t="s">
        <v>2584</v>
      </c>
      <c r="C35" s="324" t="s">
        <v>2585</v>
      </c>
      <c r="D35" s="265"/>
      <c r="E35" s="301"/>
      <c r="F35" s="529" t="s">
        <v>2861</v>
      </c>
      <c r="G35" s="582" t="s">
        <v>2881</v>
      </c>
      <c r="H35" s="530" t="s">
        <v>2889</v>
      </c>
      <c r="I35" s="582" t="s">
        <v>2890</v>
      </c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290" t="s">
        <v>7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63" t="s">
        <v>2595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325" t="s">
        <v>2581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" customHeight="1">
      <c r="A39" s="84"/>
      <c r="B39" s="1467" t="s">
        <v>2593</v>
      </c>
      <c r="C39" s="324" t="s">
        <v>2585</v>
      </c>
      <c r="D39" s="265"/>
      <c r="E39" s="301"/>
      <c r="F39" s="1556" t="s">
        <v>2886</v>
      </c>
      <c r="G39" s="1557"/>
      <c r="H39" s="1556" t="s">
        <v>2887</v>
      </c>
      <c r="I39" s="1557"/>
      <c r="J39" s="1556" t="s">
        <v>2888</v>
      </c>
      <c r="K39" s="1557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290" t="s">
        <v>2592</v>
      </c>
      <c r="D40" s="265"/>
      <c r="E40" s="301"/>
      <c r="F40" s="1522" t="s">
        <v>2882</v>
      </c>
      <c r="G40" s="1545"/>
      <c r="H40" s="301"/>
      <c r="I40" s="1522" t="s">
        <v>2903</v>
      </c>
      <c r="J40" s="1523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290"/>
      <c r="D41" s="265"/>
      <c r="E41" s="301"/>
      <c r="F41" s="506"/>
      <c r="G41" s="1522" t="s">
        <v>2883</v>
      </c>
      <c r="H41" s="1523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325" t="s">
        <v>2581</v>
      </c>
      <c r="D42" s="265"/>
      <c r="E42" s="301"/>
      <c r="F42" s="325" t="s">
        <v>2692</v>
      </c>
      <c r="G42" s="325" t="s">
        <v>2777</v>
      </c>
      <c r="H42" s="325" t="s">
        <v>2777</v>
      </c>
      <c r="I42" s="325" t="s">
        <v>2777</v>
      </c>
      <c r="J42" s="325" t="s">
        <v>2778</v>
      </c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500" t="s">
        <v>2580</v>
      </c>
      <c r="C43" s="125" t="s">
        <v>2579</v>
      </c>
      <c r="D43" s="265"/>
      <c r="E43" s="345"/>
      <c r="F43" s="301"/>
      <c r="G43" s="301"/>
      <c r="H43" s="301"/>
      <c r="I43" s="301"/>
      <c r="J43" s="301"/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84"/>
      <c r="C44" s="269"/>
      <c r="D44" s="265"/>
      <c r="E44" s="26">
        <f>K34+1</f>
        <v>25</v>
      </c>
      <c r="F44" s="175">
        <f>E44+1</f>
        <v>26</v>
      </c>
      <c r="G44" s="175">
        <f>F44+1</f>
        <v>27</v>
      </c>
      <c r="H44" s="175">
        <f>G44+1</f>
        <v>28</v>
      </c>
      <c r="I44" s="175">
        <f>H44+1</f>
        <v>29</v>
      </c>
      <c r="J44" s="175">
        <f>I44+1</f>
        <v>30</v>
      </c>
      <c r="K44" s="175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 t="s">
        <v>2584</v>
      </c>
      <c r="C45" s="324" t="s">
        <v>2585</v>
      </c>
      <c r="D45" s="265"/>
      <c r="E45" s="499"/>
      <c r="F45" s="529" t="s">
        <v>2862</v>
      </c>
      <c r="G45" s="582" t="s">
        <v>2921</v>
      </c>
      <c r="H45" s="530" t="s">
        <v>2922</v>
      </c>
      <c r="I45" s="582" t="s">
        <v>2923</v>
      </c>
      <c r="J45" s="499"/>
      <c r="K45" s="499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290" t="s">
        <v>7</v>
      </c>
      <c r="D46" s="265"/>
      <c r="E46" s="499"/>
      <c r="F46" s="499"/>
      <c r="G46" s="499"/>
      <c r="H46" s="499"/>
      <c r="I46" s="576"/>
      <c r="J46" s="576"/>
      <c r="K46" s="499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63" t="s">
        <v>2595</v>
      </c>
      <c r="D47" s="265"/>
      <c r="E47" s="499"/>
      <c r="F47" s="583"/>
      <c r="G47" s="583"/>
      <c r="H47" s="499"/>
      <c r="I47" s="576"/>
      <c r="J47" s="576"/>
      <c r="K47" s="499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2581</v>
      </c>
      <c r="D48" s="265"/>
      <c r="E48" s="499"/>
      <c r="F48" s="583"/>
      <c r="G48" s="583"/>
      <c r="H48" s="583"/>
      <c r="I48" s="583"/>
      <c r="J48" s="583"/>
      <c r="K48" s="499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 t="s">
        <v>2593</v>
      </c>
      <c r="C49" s="324" t="s">
        <v>2585</v>
      </c>
      <c r="D49" s="265"/>
      <c r="E49" s="499"/>
      <c r="F49" s="1556" t="s">
        <v>2891</v>
      </c>
      <c r="G49" s="1557"/>
      <c r="H49" s="1556" t="s">
        <v>2892</v>
      </c>
      <c r="I49" s="1557"/>
      <c r="J49" s="1556" t="s">
        <v>2871</v>
      </c>
      <c r="K49" s="1557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290" t="s">
        <v>2592</v>
      </c>
      <c r="D50" s="265"/>
      <c r="E50" s="499"/>
      <c r="F50" s="1522" t="s">
        <v>2848</v>
      </c>
      <c r="G50" s="1523"/>
      <c r="H50" s="499"/>
      <c r="I50" s="1523" t="s">
        <v>2909</v>
      </c>
      <c r="J50" s="1545"/>
      <c r="K50" s="499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290"/>
      <c r="D51" s="265"/>
      <c r="E51" s="499"/>
      <c r="F51" s="505"/>
      <c r="G51" s="1522" t="s">
        <v>2908</v>
      </c>
      <c r="H51" s="1523"/>
      <c r="I51" s="499"/>
      <c r="J51" s="499"/>
      <c r="K51" s="499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325" t="s">
        <v>2581</v>
      </c>
      <c r="D52" s="265"/>
      <c r="E52" s="499"/>
      <c r="F52" s="325" t="s">
        <v>2778</v>
      </c>
      <c r="G52" s="325" t="s">
        <v>2779</v>
      </c>
      <c r="H52" s="325" t="s">
        <v>2779</v>
      </c>
      <c r="I52" s="325" t="s">
        <v>2779</v>
      </c>
      <c r="J52" s="325" t="s">
        <v>2780</v>
      </c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500" t="s">
        <v>2580</v>
      </c>
      <c r="C53" s="125" t="s">
        <v>2579</v>
      </c>
      <c r="D53" s="265"/>
      <c r="E53" s="499"/>
      <c r="F53" s="499"/>
      <c r="G53" s="499"/>
      <c r="H53" s="499"/>
      <c r="I53" s="499"/>
      <c r="J53" s="499"/>
      <c r="K53" s="499"/>
      <c r="L53" s="84"/>
      <c r="M53" s="84"/>
      <c r="N53" s="84"/>
      <c r="O53" s="84"/>
      <c r="P53" s="84"/>
      <c r="Q53" s="84"/>
      <c r="R53" s="84"/>
      <c r="S53" s="84"/>
    </row>
  </sheetData>
  <mergeCells count="36">
    <mergeCell ref="M24:O24"/>
    <mergeCell ref="E3:G3"/>
    <mergeCell ref="H3:K3"/>
    <mergeCell ref="B6:B9"/>
    <mergeCell ref="B10:B12"/>
    <mergeCell ref="J10:K10"/>
    <mergeCell ref="B15:B18"/>
    <mergeCell ref="B19:B22"/>
    <mergeCell ref="H19:I19"/>
    <mergeCell ref="J19:K19"/>
    <mergeCell ref="H20:I20"/>
    <mergeCell ref="I11:J11"/>
    <mergeCell ref="O5:P5"/>
    <mergeCell ref="B25:B28"/>
    <mergeCell ref="B29:B32"/>
    <mergeCell ref="J29:K29"/>
    <mergeCell ref="F39:G39"/>
    <mergeCell ref="H39:I39"/>
    <mergeCell ref="F30:G30"/>
    <mergeCell ref="B35:B38"/>
    <mergeCell ref="B39:B42"/>
    <mergeCell ref="I30:J30"/>
    <mergeCell ref="I40:J40"/>
    <mergeCell ref="F29:G29"/>
    <mergeCell ref="H29:I29"/>
    <mergeCell ref="G41:H41"/>
    <mergeCell ref="J49:K49"/>
    <mergeCell ref="J39:K39"/>
    <mergeCell ref="F49:G49"/>
    <mergeCell ref="F40:G40"/>
    <mergeCell ref="B45:B48"/>
    <mergeCell ref="B49:B52"/>
    <mergeCell ref="G51:H51"/>
    <mergeCell ref="F50:G50"/>
    <mergeCell ref="I50:J50"/>
    <mergeCell ref="H49:I49"/>
  </mergeCells>
  <phoneticPr fontId="6" type="noConversion"/>
  <pageMargins left="0.7" right="0.7" top="0.75" bottom="0.75" header="0.3" footer="0.3"/>
  <pageSetup paperSize="9" scale="28" orientation="landscape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1">
    <pageSetUpPr fitToPage="1"/>
  </sheetPr>
  <dimension ref="A1:S65"/>
  <sheetViews>
    <sheetView topLeftCell="A34" zoomScale="70" zoomScaleNormal="70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5" width="6.6640625" style="90" customWidth="1"/>
    <col min="16" max="17" width="20" style="90" customWidth="1"/>
    <col min="18" max="18" width="12.33203125" style="90" bestFit="1" customWidth="1"/>
    <col min="19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45108</v>
      </c>
      <c r="F3" s="1450"/>
      <c r="G3" s="1450"/>
      <c r="H3" s="1451" t="s">
        <v>2583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/>
      <c r="J5" s="175"/>
      <c r="K5" s="175">
        <v>1</v>
      </c>
      <c r="L5" s="90"/>
      <c r="M5" s="90"/>
      <c r="N5" s="90"/>
      <c r="R5" s="11"/>
      <c r="S5" s="90"/>
    </row>
    <row r="6" spans="1:19" s="5" customFormat="1" ht="24.6" customHeight="1">
      <c r="B6" s="1467" t="s">
        <v>2584</v>
      </c>
      <c r="C6" s="324" t="s">
        <v>2585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2595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2581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90"/>
      <c r="R9" s="11"/>
      <c r="S9" s="90"/>
    </row>
    <row r="10" spans="1:19" s="5" customFormat="1" ht="24.6" customHeight="1">
      <c r="B10" s="1467" t="s">
        <v>2593</v>
      </c>
      <c r="C10" s="324" t="s">
        <v>2585</v>
      </c>
      <c r="D10" s="265"/>
      <c r="E10" s="499"/>
      <c r="F10" s="499"/>
      <c r="G10" s="499"/>
      <c r="H10" s="499"/>
      <c r="I10" s="499"/>
      <c r="J10" s="499"/>
      <c r="K10" s="499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2592</v>
      </c>
      <c r="D11" s="265"/>
      <c r="E11" s="499"/>
      <c r="F11" s="499"/>
      <c r="G11" s="499"/>
      <c r="H11" s="499"/>
      <c r="I11" s="499"/>
      <c r="J11" s="499"/>
      <c r="K11" s="499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2581</v>
      </c>
      <c r="D12" s="265"/>
      <c r="E12" s="499"/>
      <c r="F12" s="499"/>
      <c r="G12" s="499"/>
      <c r="H12" s="499"/>
      <c r="I12" s="499"/>
      <c r="J12" s="499"/>
      <c r="K12" s="499"/>
      <c r="L12" s="90"/>
      <c r="M12" s="90"/>
      <c r="N12" s="90"/>
      <c r="R12" s="11"/>
      <c r="S12" s="90"/>
    </row>
    <row r="13" spans="1:19" s="5" customFormat="1" ht="24.6" customHeight="1">
      <c r="B13" s="500" t="s">
        <v>2580</v>
      </c>
      <c r="C13" s="125" t="s">
        <v>2579</v>
      </c>
      <c r="D13" s="265"/>
      <c r="E13" s="499"/>
      <c r="F13" s="499"/>
      <c r="G13" s="499"/>
      <c r="H13" s="499"/>
      <c r="I13" s="499"/>
      <c r="J13" s="499"/>
      <c r="K13" s="499"/>
      <c r="L13" s="90"/>
      <c r="M13" s="90"/>
      <c r="N13" s="90"/>
      <c r="O13" s="5" t="s">
        <v>2916</v>
      </c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2</v>
      </c>
      <c r="F14" s="65">
        <f t="shared" ref="F14:K14" si="0">E14+1</f>
        <v>3</v>
      </c>
      <c r="G14" s="65">
        <f t="shared" si="0"/>
        <v>4</v>
      </c>
      <c r="H14" s="65">
        <f t="shared" si="0"/>
        <v>5</v>
      </c>
      <c r="I14" s="65">
        <f t="shared" si="0"/>
        <v>6</v>
      </c>
      <c r="J14" s="65">
        <f t="shared" si="0"/>
        <v>7</v>
      </c>
      <c r="K14" s="65">
        <f t="shared" si="0"/>
        <v>8</v>
      </c>
      <c r="O14" s="586" t="s">
        <v>2905</v>
      </c>
      <c r="P14" s="1634" t="s">
        <v>2732</v>
      </c>
      <c r="Q14" s="1634"/>
      <c r="R14" s="587" t="s">
        <v>228</v>
      </c>
    </row>
    <row r="15" spans="1:19" ht="24.6" customHeight="1">
      <c r="A15" s="84"/>
      <c r="B15" s="1467" t="s">
        <v>2584</v>
      </c>
      <c r="C15" s="324" t="s">
        <v>2585</v>
      </c>
      <c r="D15" s="265"/>
      <c r="E15" s="301"/>
      <c r="F15" s="301"/>
      <c r="G15" s="530" t="s">
        <v>2924</v>
      </c>
      <c r="H15" s="530" t="s">
        <v>2925</v>
      </c>
      <c r="I15" s="530" t="s">
        <v>2926</v>
      </c>
      <c r="J15" s="301"/>
      <c r="K15" s="301"/>
      <c r="O15" s="588" t="s">
        <v>2906</v>
      </c>
      <c r="P15" s="1635" t="s">
        <v>2847</v>
      </c>
      <c r="Q15" s="1635"/>
      <c r="R15" s="589" t="s">
        <v>2914</v>
      </c>
    </row>
    <row r="16" spans="1:19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301"/>
      <c r="K16" s="301"/>
      <c r="O16" s="588" t="s">
        <v>2906</v>
      </c>
      <c r="P16" s="1635" t="s">
        <v>2876</v>
      </c>
      <c r="Q16" s="1635"/>
      <c r="R16" s="589" t="s">
        <v>2914</v>
      </c>
    </row>
    <row r="17" spans="1:19" ht="24.6" customHeight="1">
      <c r="A17" s="84"/>
      <c r="B17" s="1467"/>
      <c r="C17" s="163" t="s">
        <v>2595</v>
      </c>
      <c r="D17" s="265"/>
      <c r="E17" s="301"/>
      <c r="F17" s="301"/>
      <c r="G17" s="301"/>
      <c r="H17" s="301"/>
      <c r="I17" s="301"/>
      <c r="J17" s="301"/>
      <c r="K17" s="301"/>
      <c r="O17" s="598" t="s">
        <v>2915</v>
      </c>
      <c r="P17" s="1633" t="s">
        <v>2859</v>
      </c>
      <c r="Q17" s="1633"/>
      <c r="R17" s="600" t="s">
        <v>2913</v>
      </c>
    </row>
    <row r="18" spans="1:19" ht="24.6" customHeight="1">
      <c r="A18" s="84"/>
      <c r="B18" s="1467"/>
      <c r="C18" s="325" t="s">
        <v>2581</v>
      </c>
      <c r="D18" s="265"/>
      <c r="E18" s="301"/>
      <c r="F18" s="301"/>
      <c r="G18" s="301"/>
      <c r="H18" s="301"/>
      <c r="I18" s="301"/>
      <c r="J18" s="301"/>
      <c r="K18" s="301"/>
      <c r="O18" s="598" t="s">
        <v>2915</v>
      </c>
      <c r="P18" s="1633" t="s">
        <v>2860</v>
      </c>
      <c r="Q18" s="1633"/>
      <c r="R18" s="600" t="s">
        <v>2913</v>
      </c>
    </row>
    <row r="19" spans="1:19" ht="24.6" customHeight="1">
      <c r="A19" s="84"/>
      <c r="B19" s="1467" t="s">
        <v>2593</v>
      </c>
      <c r="C19" s="324" t="s">
        <v>2585</v>
      </c>
      <c r="D19" s="265"/>
      <c r="E19" s="301"/>
      <c r="F19" s="1556" t="s">
        <v>2910</v>
      </c>
      <c r="G19" s="1557"/>
      <c r="H19" s="301"/>
      <c r="I19" s="1556" t="s">
        <v>2912</v>
      </c>
      <c r="J19" s="1574"/>
      <c r="K19" s="301"/>
    </row>
    <row r="20" spans="1:19" ht="24.6" customHeight="1">
      <c r="A20" s="84"/>
      <c r="B20" s="1467"/>
      <c r="C20" s="324"/>
      <c r="D20" s="265"/>
      <c r="E20" s="301"/>
      <c r="F20" s="301"/>
      <c r="G20" s="1556" t="s">
        <v>2911</v>
      </c>
      <c r="H20" s="1557"/>
      <c r="I20" s="301"/>
      <c r="J20" s="301"/>
      <c r="K20" s="301"/>
    </row>
    <row r="21" spans="1:19" ht="24" customHeight="1">
      <c r="A21" s="84"/>
      <c r="B21" s="1467"/>
      <c r="C21" s="290" t="s">
        <v>2592</v>
      </c>
      <c r="D21" s="265"/>
      <c r="E21" s="301"/>
      <c r="F21" s="1522" t="s">
        <v>2896</v>
      </c>
      <c r="G21" s="1523"/>
      <c r="H21" s="301"/>
      <c r="I21" s="1522" t="s">
        <v>2897</v>
      </c>
      <c r="J21" s="1545"/>
      <c r="K21" s="301"/>
    </row>
    <row r="22" spans="1:19" ht="24" customHeight="1">
      <c r="A22" s="84"/>
      <c r="B22" s="1467"/>
      <c r="C22" s="290"/>
      <c r="D22" s="265"/>
      <c r="E22" s="301"/>
      <c r="F22" s="506"/>
      <c r="G22" s="1522" t="s">
        <v>2898</v>
      </c>
      <c r="H22" s="1523"/>
      <c r="I22" s="301"/>
      <c r="J22" s="301"/>
      <c r="K22" s="301"/>
    </row>
    <row r="23" spans="1:19" ht="24" customHeight="1">
      <c r="A23" s="84"/>
      <c r="B23" s="5"/>
      <c r="C23" s="325" t="s">
        <v>2581</v>
      </c>
      <c r="D23" s="265"/>
      <c r="E23" s="301"/>
      <c r="F23" s="325" t="s">
        <v>2780</v>
      </c>
      <c r="G23" s="325" t="s">
        <v>2781</v>
      </c>
      <c r="H23" s="325" t="s">
        <v>2781</v>
      </c>
      <c r="I23" s="325" t="s">
        <v>2781</v>
      </c>
      <c r="J23" s="325" t="s">
        <v>2782</v>
      </c>
      <c r="K23" s="301"/>
    </row>
    <row r="24" spans="1:19" ht="24.6" customHeight="1">
      <c r="A24" s="84"/>
      <c r="B24" s="500" t="s">
        <v>2580</v>
      </c>
      <c r="C24" s="125" t="s">
        <v>2579</v>
      </c>
      <c r="D24" s="265"/>
      <c r="E24" s="301"/>
      <c r="F24" s="301"/>
      <c r="G24" s="301"/>
      <c r="H24" s="301"/>
      <c r="I24" s="301"/>
      <c r="J24" s="301"/>
      <c r="K24" s="301"/>
    </row>
    <row r="25" spans="1:19" ht="24.6" customHeight="1">
      <c r="A25" s="84"/>
      <c r="B25" s="84"/>
      <c r="C25" s="5"/>
      <c r="D25" s="5"/>
      <c r="E25" s="26">
        <f>K14+1</f>
        <v>9</v>
      </c>
      <c r="F25" s="175">
        <f t="shared" ref="F25:K25" si="1">E25+1</f>
        <v>10</v>
      </c>
      <c r="G25" s="175">
        <f t="shared" si="1"/>
        <v>11</v>
      </c>
      <c r="H25" s="175">
        <f t="shared" si="1"/>
        <v>12</v>
      </c>
      <c r="I25" s="175">
        <f t="shared" si="1"/>
        <v>13</v>
      </c>
      <c r="J25" s="175">
        <f t="shared" si="1"/>
        <v>14</v>
      </c>
      <c r="K25" s="175">
        <f t="shared" si="1"/>
        <v>15</v>
      </c>
      <c r="M25" s="203"/>
      <c r="N25" s="203"/>
      <c r="O25" s="203"/>
    </row>
    <row r="26" spans="1:19" ht="24.6" customHeight="1">
      <c r="A26" s="84"/>
      <c r="B26" s="1467" t="s">
        <v>2584</v>
      </c>
      <c r="C26" s="324" t="s">
        <v>2585</v>
      </c>
      <c r="D26" s="265"/>
      <c r="E26" s="499"/>
      <c r="F26" s="499"/>
      <c r="G26" s="530" t="s">
        <v>2927</v>
      </c>
      <c r="H26" s="530" t="s">
        <v>2928</v>
      </c>
      <c r="I26" s="530" t="s">
        <v>2929</v>
      </c>
      <c r="J26" s="499"/>
      <c r="K26" s="499"/>
    </row>
    <row r="27" spans="1:19" ht="24.6" customHeight="1">
      <c r="A27" s="84"/>
      <c r="B27" s="1467"/>
      <c r="C27" s="290" t="s">
        <v>7</v>
      </c>
      <c r="D27" s="265"/>
      <c r="E27" s="499"/>
      <c r="F27" s="499"/>
      <c r="G27" s="578"/>
      <c r="H27" s="499"/>
      <c r="I27" s="499"/>
      <c r="J27" s="290" t="s">
        <v>2872</v>
      </c>
      <c r="K27" s="499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/>
      <c r="C28" s="163" t="s">
        <v>2595</v>
      </c>
      <c r="D28" s="265"/>
      <c r="E28" s="499"/>
      <c r="F28" s="499"/>
      <c r="G28" s="499"/>
      <c r="H28" s="499"/>
      <c r="I28" s="499"/>
      <c r="J28" s="499"/>
      <c r="K28" s="499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325" t="s">
        <v>2581</v>
      </c>
      <c r="D29" s="265"/>
      <c r="E29" s="499"/>
      <c r="F29" s="499"/>
      <c r="G29" s="499"/>
      <c r="H29" s="499"/>
      <c r="I29" s="499"/>
      <c r="J29" s="499"/>
      <c r="K29" s="499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 t="s">
        <v>2593</v>
      </c>
      <c r="C30" s="324" t="s">
        <v>2585</v>
      </c>
      <c r="D30" s="265"/>
      <c r="E30" s="499"/>
      <c r="F30" s="1556" t="s">
        <v>2918</v>
      </c>
      <c r="G30" s="1557"/>
      <c r="H30" s="1556" t="s">
        <v>2919</v>
      </c>
      <c r="I30" s="1557"/>
      <c r="J30" s="1556" t="s">
        <v>2917</v>
      </c>
      <c r="K30" s="1557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290" t="s">
        <v>2592</v>
      </c>
      <c r="D31" s="265"/>
      <c r="E31" s="499"/>
      <c r="F31" s="590"/>
      <c r="G31" s="590"/>
      <c r="H31" s="585"/>
      <c r="I31" s="585"/>
      <c r="J31" s="243" t="s">
        <v>2904</v>
      </c>
      <c r="K31" s="499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290"/>
      <c r="D32" s="265"/>
      <c r="E32" s="499"/>
      <c r="F32" s="590"/>
      <c r="G32" s="590"/>
      <c r="H32" s="590"/>
      <c r="I32" s="590"/>
      <c r="J32" s="585"/>
      <c r="K32" s="499"/>
      <c r="L32" s="84"/>
      <c r="M32" s="84"/>
      <c r="N32" s="84"/>
      <c r="O32" s="84"/>
      <c r="P32" s="84"/>
      <c r="Q32" s="84"/>
      <c r="R32" s="84"/>
      <c r="S32" s="84"/>
    </row>
    <row r="33" spans="1:19" ht="24.6" hidden="1" customHeight="1">
      <c r="A33" s="84"/>
      <c r="B33" s="1467"/>
      <c r="C33" s="325" t="s">
        <v>2581</v>
      </c>
      <c r="D33" s="265"/>
      <c r="E33" s="499"/>
      <c r="F33" s="325" t="s">
        <v>2782</v>
      </c>
      <c r="G33" s="325" t="s">
        <v>2783</v>
      </c>
      <c r="H33" s="325" t="s">
        <v>2783</v>
      </c>
      <c r="I33" s="325" t="s">
        <v>2783</v>
      </c>
      <c r="J33" s="325" t="s">
        <v>2784</v>
      </c>
      <c r="K33" s="499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500" t="s">
        <v>2580</v>
      </c>
      <c r="C34" s="125" t="s">
        <v>2579</v>
      </c>
      <c r="D34" s="265"/>
      <c r="E34" s="499"/>
      <c r="F34" s="1586" t="s">
        <v>2907</v>
      </c>
      <c r="G34" s="1587"/>
      <c r="H34" s="1587"/>
      <c r="I34" s="1588"/>
      <c r="J34" s="499"/>
      <c r="K34" s="499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66">
        <f>K25+1</f>
        <v>16</v>
      </c>
      <c r="F35" s="304">
        <f t="shared" ref="F35:K35" si="2">E35+1</f>
        <v>17</v>
      </c>
      <c r="G35" s="304">
        <f t="shared" si="2"/>
        <v>18</v>
      </c>
      <c r="H35" s="304">
        <f t="shared" si="2"/>
        <v>19</v>
      </c>
      <c r="I35" s="304">
        <f t="shared" si="2"/>
        <v>20</v>
      </c>
      <c r="J35" s="304">
        <f t="shared" si="2"/>
        <v>21</v>
      </c>
      <c r="K35" s="65">
        <f t="shared" si="2"/>
        <v>22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2584</v>
      </c>
      <c r="C36" s="324" t="s">
        <v>2585</v>
      </c>
      <c r="D36" s="265"/>
      <c r="E36" s="301"/>
      <c r="F36" s="301"/>
      <c r="G36" s="530" t="s">
        <v>2930</v>
      </c>
      <c r="H36" s="530" t="s">
        <v>2931</v>
      </c>
      <c r="I36" s="594" t="s">
        <v>2932</v>
      </c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290" t="s">
        <v>7</v>
      </c>
      <c r="D37" s="265"/>
      <c r="E37" s="301"/>
      <c r="F37" s="417" t="s">
        <v>2894</v>
      </c>
      <c r="G37" s="301"/>
      <c r="H37" s="301"/>
      <c r="I37" s="301"/>
      <c r="J37" s="415" t="s">
        <v>2895</v>
      </c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63" t="s">
        <v>2595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2581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" customHeight="1">
      <c r="A40" s="84"/>
      <c r="B40" s="1467" t="s">
        <v>2593</v>
      </c>
      <c r="C40" s="324" t="s">
        <v>2585</v>
      </c>
      <c r="D40" s="265"/>
      <c r="E40" s="301"/>
      <c r="F40" s="1556" t="s">
        <v>2935</v>
      </c>
      <c r="G40" s="1574"/>
      <c r="H40" s="1574" t="s">
        <v>2937</v>
      </c>
      <c r="I40" s="1574"/>
      <c r="J40" s="1556" t="s">
        <v>2938</v>
      </c>
      <c r="K40" s="1557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290" t="s">
        <v>2592</v>
      </c>
      <c r="D41" s="265"/>
      <c r="E41" s="301"/>
      <c r="F41" s="1522" t="s">
        <v>2841</v>
      </c>
      <c r="G41" s="1523"/>
      <c r="H41" s="301"/>
      <c r="I41" s="1522" t="s">
        <v>2900</v>
      </c>
      <c r="J41" s="1523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290"/>
      <c r="D42" s="265"/>
      <c r="E42" s="301"/>
      <c r="F42" s="506"/>
      <c r="G42" s="1522" t="s">
        <v>2920</v>
      </c>
      <c r="H42" s="1545"/>
      <c r="I42" s="506"/>
      <c r="J42" s="506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325" t="s">
        <v>2581</v>
      </c>
      <c r="D43" s="265"/>
      <c r="E43" s="301"/>
      <c r="F43" s="325" t="s">
        <v>2784</v>
      </c>
      <c r="G43" s="325" t="s">
        <v>2785</v>
      </c>
      <c r="H43" s="325" t="s">
        <v>2785</v>
      </c>
      <c r="I43" s="325" t="s">
        <v>2785</v>
      </c>
      <c r="J43" s="325" t="s">
        <v>2210</v>
      </c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500" t="s">
        <v>2580</v>
      </c>
      <c r="C44" s="125" t="s">
        <v>2579</v>
      </c>
      <c r="D44" s="265"/>
      <c r="E44" s="345"/>
      <c r="F44" s="125" t="s">
        <v>2596</v>
      </c>
      <c r="G44" s="301"/>
      <c r="H44" s="301"/>
      <c r="I44" s="301"/>
      <c r="J44" s="301"/>
      <c r="K44" s="301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269"/>
      <c r="D45" s="265"/>
      <c r="E45" s="26">
        <f>K35+1</f>
        <v>23</v>
      </c>
      <c r="F45" s="175">
        <f t="shared" ref="F45:K45" si="3">E45+1</f>
        <v>24</v>
      </c>
      <c r="G45" s="175">
        <f t="shared" si="3"/>
        <v>25</v>
      </c>
      <c r="H45" s="175">
        <f t="shared" si="3"/>
        <v>26</v>
      </c>
      <c r="I45" s="175">
        <f t="shared" si="3"/>
        <v>27</v>
      </c>
      <c r="J45" s="175">
        <f t="shared" si="3"/>
        <v>28</v>
      </c>
      <c r="K45" s="175">
        <f t="shared" si="3"/>
        <v>29</v>
      </c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2584</v>
      </c>
      <c r="C46" s="324" t="s">
        <v>2585</v>
      </c>
      <c r="D46" s="265"/>
      <c r="E46" s="499"/>
      <c r="F46" s="499"/>
      <c r="G46" s="530" t="s">
        <v>2940</v>
      </c>
      <c r="H46" s="595" t="s">
        <v>2933</v>
      </c>
      <c r="I46" s="591"/>
      <c r="J46" s="530" t="s">
        <v>2986</v>
      </c>
      <c r="K46" s="499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7</v>
      </c>
      <c r="D47" s="265"/>
      <c r="E47" s="499"/>
      <c r="F47" s="415" t="s">
        <v>2830</v>
      </c>
      <c r="G47" s="593"/>
      <c r="H47" s="499"/>
      <c r="I47" s="499"/>
      <c r="J47" s="584"/>
      <c r="K47" s="499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3" t="s">
        <v>2595</v>
      </c>
      <c r="D48" s="265"/>
      <c r="E48" s="499"/>
      <c r="F48" s="583"/>
      <c r="G48" s="499"/>
      <c r="H48" s="499"/>
      <c r="I48" s="499"/>
      <c r="J48" s="499"/>
      <c r="K48" s="499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325" t="s">
        <v>2581</v>
      </c>
      <c r="D49" s="265"/>
      <c r="E49" s="499"/>
      <c r="F49" s="499"/>
      <c r="G49" s="499"/>
      <c r="H49" s="499"/>
      <c r="I49" s="592"/>
      <c r="J49" s="592"/>
      <c r="K49" s="499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2593</v>
      </c>
      <c r="C50" s="324" t="s">
        <v>2585</v>
      </c>
      <c r="D50" s="265"/>
      <c r="E50" s="499"/>
      <c r="F50" s="1556" t="s">
        <v>2893</v>
      </c>
      <c r="G50" s="1557"/>
      <c r="H50" s="593"/>
      <c r="I50" s="530" t="s">
        <v>2934</v>
      </c>
      <c r="J50" s="592"/>
      <c r="K50" s="592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324"/>
      <c r="D51" s="265"/>
      <c r="E51" s="593"/>
      <c r="F51" s="593"/>
      <c r="G51" s="1556" t="s">
        <v>2939</v>
      </c>
      <c r="H51" s="1557"/>
      <c r="I51" s="593"/>
      <c r="J51" s="593"/>
      <c r="K51" s="593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290" t="s">
        <v>2592</v>
      </c>
      <c r="D52" s="265"/>
      <c r="E52" s="499"/>
      <c r="F52" s="596" t="s">
        <v>2936</v>
      </c>
      <c r="G52" s="599"/>
      <c r="H52" s="1522" t="s">
        <v>2899</v>
      </c>
      <c r="I52" s="1523"/>
      <c r="J52" s="593"/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290"/>
      <c r="D53" s="265"/>
      <c r="E53" s="499"/>
      <c r="F53" s="599"/>
      <c r="G53" s="243" t="s">
        <v>2901</v>
      </c>
      <c r="H53" s="599"/>
      <c r="I53" s="1522" t="s">
        <v>2964</v>
      </c>
      <c r="J53" s="1545"/>
      <c r="K53" s="499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1467"/>
      <c r="C54" s="325" t="s">
        <v>2581</v>
      </c>
      <c r="D54" s="265"/>
      <c r="E54" s="499"/>
      <c r="F54" s="325" t="s">
        <v>2210</v>
      </c>
      <c r="G54" s="325" t="s">
        <v>2211</v>
      </c>
      <c r="H54" s="325" t="s">
        <v>2211</v>
      </c>
      <c r="I54" s="325" t="s">
        <v>2211</v>
      </c>
      <c r="J54" s="325" t="s">
        <v>2786</v>
      </c>
      <c r="K54" s="499"/>
      <c r="L54" s="84"/>
      <c r="M54" s="84"/>
      <c r="N54" s="84"/>
      <c r="O54" s="84"/>
      <c r="P54" s="84"/>
      <c r="Q54" s="84"/>
      <c r="R54" s="84"/>
      <c r="S54" s="84"/>
    </row>
    <row r="55" spans="1:19" ht="24.6" customHeight="1">
      <c r="A55" s="84"/>
      <c r="B55" s="500" t="s">
        <v>2580</v>
      </c>
      <c r="C55" s="125" t="s">
        <v>2579</v>
      </c>
      <c r="D55" s="265"/>
      <c r="E55" s="499"/>
      <c r="F55" s="499"/>
      <c r="G55" s="499"/>
      <c r="H55" s="499"/>
      <c r="I55" s="499"/>
      <c r="J55" s="499"/>
      <c r="K55" s="499"/>
      <c r="L55" s="84"/>
      <c r="M55" s="84"/>
      <c r="N55" s="84"/>
      <c r="O55" s="84"/>
      <c r="P55" s="84"/>
      <c r="Q55" s="84"/>
      <c r="R55" s="84"/>
      <c r="S55" s="84"/>
    </row>
    <row r="56" spans="1:19" ht="19.149999999999999">
      <c r="B56" s="84"/>
      <c r="C56" s="269"/>
      <c r="D56" s="265"/>
      <c r="E56" s="266">
        <f>K45+1</f>
        <v>30</v>
      </c>
      <c r="F56" s="304">
        <f>E56+1</f>
        <v>31</v>
      </c>
      <c r="G56" s="304"/>
      <c r="H56" s="304"/>
      <c r="I56" s="304"/>
      <c r="J56" s="304"/>
      <c r="K56" s="65"/>
    </row>
    <row r="57" spans="1:19" ht="19.149999999999999">
      <c r="B57" s="1467" t="s">
        <v>2584</v>
      </c>
      <c r="C57" s="324" t="s">
        <v>2585</v>
      </c>
      <c r="D57" s="265"/>
      <c r="E57" s="301"/>
      <c r="F57" s="301"/>
      <c r="G57" s="301"/>
      <c r="H57" s="301"/>
      <c r="I57" s="301"/>
      <c r="J57" s="301"/>
      <c r="K57" s="301"/>
    </row>
    <row r="58" spans="1:19" ht="19.149999999999999">
      <c r="B58" s="1467"/>
      <c r="C58" s="290" t="s">
        <v>7</v>
      </c>
      <c r="D58" s="265"/>
      <c r="E58" s="301"/>
      <c r="F58" s="301"/>
      <c r="G58" s="301"/>
      <c r="H58" s="301"/>
      <c r="I58" s="301"/>
      <c r="J58" s="301"/>
      <c r="K58" s="301"/>
    </row>
    <row r="59" spans="1:19" ht="19.149999999999999">
      <c r="B59" s="1467"/>
      <c r="C59" s="163" t="s">
        <v>2595</v>
      </c>
      <c r="D59" s="265"/>
      <c r="E59" s="301"/>
      <c r="F59" s="301"/>
      <c r="G59" s="301"/>
      <c r="H59" s="301"/>
      <c r="I59" s="301"/>
      <c r="J59" s="301"/>
      <c r="K59" s="301"/>
    </row>
    <row r="60" spans="1:19" ht="19.149999999999999">
      <c r="B60" s="1467"/>
      <c r="C60" s="325" t="s">
        <v>316</v>
      </c>
      <c r="D60" s="265"/>
      <c r="E60" s="301"/>
      <c r="F60" s="301"/>
      <c r="G60" s="301"/>
      <c r="H60" s="301"/>
      <c r="I60" s="301"/>
      <c r="J60" s="301"/>
      <c r="K60" s="301"/>
    </row>
    <row r="61" spans="1:19" ht="19.149999999999999">
      <c r="B61" s="1467" t="s">
        <v>2593</v>
      </c>
      <c r="C61" s="324" t="s">
        <v>2585</v>
      </c>
      <c r="D61" s="265"/>
      <c r="E61" s="301"/>
      <c r="F61" s="301"/>
      <c r="G61" s="301"/>
      <c r="H61" s="301"/>
      <c r="I61" s="301"/>
      <c r="J61" s="301"/>
      <c r="K61" s="301"/>
    </row>
    <row r="62" spans="1:19" ht="19.149999999999999">
      <c r="B62" s="1467"/>
      <c r="C62" s="290" t="s">
        <v>2592</v>
      </c>
      <c r="D62" s="265"/>
      <c r="E62" s="301"/>
      <c r="F62" s="301"/>
      <c r="G62" s="301"/>
      <c r="H62" s="301"/>
      <c r="I62" s="301"/>
      <c r="J62" s="301"/>
      <c r="K62" s="301"/>
    </row>
    <row r="63" spans="1:19" ht="19.149999999999999">
      <c r="B63" s="1467"/>
      <c r="C63" s="290"/>
      <c r="D63" s="265"/>
      <c r="E63" s="301"/>
      <c r="F63" s="301"/>
      <c r="G63" s="301"/>
      <c r="H63" s="301"/>
      <c r="I63" s="301"/>
      <c r="J63" s="301"/>
      <c r="K63" s="301"/>
    </row>
    <row r="64" spans="1:19" ht="19.149999999999999">
      <c r="B64" s="1467"/>
      <c r="C64" s="325" t="s">
        <v>2581</v>
      </c>
      <c r="D64" s="265"/>
      <c r="E64" s="301"/>
      <c r="F64" s="301"/>
      <c r="G64" s="301"/>
      <c r="H64" s="301"/>
      <c r="I64" s="301"/>
      <c r="J64" s="301"/>
      <c r="K64" s="301"/>
    </row>
    <row r="65" spans="2:11" ht="19.149999999999999">
      <c r="B65" s="500" t="s">
        <v>2580</v>
      </c>
      <c r="C65" s="125" t="s">
        <v>2579</v>
      </c>
      <c r="D65" s="265"/>
      <c r="E65" s="345"/>
      <c r="F65" s="125" t="s">
        <v>2598</v>
      </c>
      <c r="G65" s="345"/>
      <c r="H65" s="345"/>
      <c r="I65" s="345"/>
      <c r="J65" s="345"/>
      <c r="K65" s="345"/>
    </row>
  </sheetData>
  <mergeCells count="39">
    <mergeCell ref="B30:B33"/>
    <mergeCell ref="F30:G30"/>
    <mergeCell ref="H30:I30"/>
    <mergeCell ref="I41:J41"/>
    <mergeCell ref="F41:G41"/>
    <mergeCell ref="E3:G3"/>
    <mergeCell ref="H3:K3"/>
    <mergeCell ref="B6:B9"/>
    <mergeCell ref="B10:B12"/>
    <mergeCell ref="B15:B18"/>
    <mergeCell ref="P14:Q14"/>
    <mergeCell ref="B57:B60"/>
    <mergeCell ref="B61:B64"/>
    <mergeCell ref="B46:B49"/>
    <mergeCell ref="B50:B54"/>
    <mergeCell ref="F50:G50"/>
    <mergeCell ref="B36:B39"/>
    <mergeCell ref="B40:B43"/>
    <mergeCell ref="F40:G40"/>
    <mergeCell ref="H40:I40"/>
    <mergeCell ref="J40:K40"/>
    <mergeCell ref="P16:Q16"/>
    <mergeCell ref="G42:H42"/>
    <mergeCell ref="B19:B22"/>
    <mergeCell ref="P15:Q15"/>
    <mergeCell ref="B26:B29"/>
    <mergeCell ref="P18:Q18"/>
    <mergeCell ref="P17:Q17"/>
    <mergeCell ref="G22:H22"/>
    <mergeCell ref="F34:I34"/>
    <mergeCell ref="J30:K30"/>
    <mergeCell ref="I53:J53"/>
    <mergeCell ref="H52:I52"/>
    <mergeCell ref="G51:H51"/>
    <mergeCell ref="F19:G19"/>
    <mergeCell ref="F21:G21"/>
    <mergeCell ref="I21:J21"/>
    <mergeCell ref="G20:H20"/>
    <mergeCell ref="I19:J19"/>
  </mergeCells>
  <phoneticPr fontId="6" type="noConversion"/>
  <pageMargins left="0.7" right="0.7" top="0.75" bottom="0.75" header="0.3" footer="0.3"/>
  <pageSetup paperSize="9" scale="33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2">
    <pageSetUpPr fitToPage="1"/>
  </sheetPr>
  <dimension ref="A1:S61"/>
  <sheetViews>
    <sheetView topLeftCell="A7" zoomScale="55" zoomScaleNormal="55" workbookViewId="0">
      <selection activeCell="H31" sqref="H3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5" width="8.21875" style="90" customWidth="1"/>
    <col min="16" max="17" width="21.6640625" style="90" customWidth="1"/>
    <col min="18" max="18" width="37.21875" style="90" bestFit="1" customWidth="1"/>
    <col min="19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45139</v>
      </c>
      <c r="F3" s="1450"/>
      <c r="G3" s="1450"/>
      <c r="H3" s="1451" t="s">
        <v>2599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>
        <v>1</v>
      </c>
      <c r="H5" s="175">
        <v>2</v>
      </c>
      <c r="I5" s="175">
        <v>3</v>
      </c>
      <c r="J5" s="175">
        <v>4</v>
      </c>
      <c r="K5" s="175">
        <v>5</v>
      </c>
      <c r="L5" s="90"/>
      <c r="M5" s="90"/>
      <c r="N5" s="90"/>
      <c r="R5" s="11"/>
      <c r="S5" s="90"/>
    </row>
    <row r="6" spans="1:19" s="5" customFormat="1" ht="24.6" customHeight="1">
      <c r="B6" s="1467" t="s">
        <v>2584</v>
      </c>
      <c r="C6" s="324" t="s">
        <v>2585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2595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O8" s="5" t="s">
        <v>2916</v>
      </c>
      <c r="R8" s="11"/>
      <c r="S8" s="90"/>
    </row>
    <row r="9" spans="1:19" s="5" customFormat="1" ht="24.6" customHeight="1">
      <c r="B9" s="1467"/>
      <c r="C9" s="325" t="s">
        <v>316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90"/>
      <c r="O9" s="586" t="s">
        <v>2905</v>
      </c>
      <c r="P9" s="1634" t="s">
        <v>2732</v>
      </c>
      <c r="Q9" s="1634"/>
      <c r="R9" s="587" t="s">
        <v>228</v>
      </c>
      <c r="S9" s="90"/>
    </row>
    <row r="10" spans="1:19" s="5" customFormat="1" ht="24.6" customHeight="1">
      <c r="B10" s="1467" t="s">
        <v>287</v>
      </c>
      <c r="C10" s="324" t="s">
        <v>9</v>
      </c>
      <c r="D10" s="265"/>
      <c r="E10" s="499"/>
      <c r="F10" s="499"/>
      <c r="G10" s="499"/>
      <c r="H10" s="499"/>
      <c r="I10" s="499"/>
      <c r="J10" s="499"/>
      <c r="K10" s="499"/>
      <c r="L10" s="90"/>
      <c r="M10" s="90"/>
      <c r="N10" s="90"/>
      <c r="O10" s="601" t="s">
        <v>2948</v>
      </c>
      <c r="P10" s="1637" t="s">
        <v>2955</v>
      </c>
      <c r="Q10" s="1637"/>
      <c r="R10" s="607" t="s">
        <v>2974</v>
      </c>
      <c r="S10" s="90"/>
    </row>
    <row r="11" spans="1:19" s="5" customFormat="1" ht="24.6" customHeight="1">
      <c r="B11" s="1467"/>
      <c r="C11" s="290" t="s">
        <v>292</v>
      </c>
      <c r="D11" s="265"/>
      <c r="E11" s="499"/>
      <c r="F11" s="499"/>
      <c r="G11" s="499"/>
      <c r="H11" s="499"/>
      <c r="I11" s="499"/>
      <c r="J11" s="499"/>
      <c r="K11" s="499"/>
      <c r="L11" s="90"/>
      <c r="M11" s="90"/>
      <c r="N11" s="90"/>
      <c r="O11" s="601" t="s">
        <v>2948</v>
      </c>
      <c r="P11" s="1637" t="s">
        <v>2961</v>
      </c>
      <c r="Q11" s="1637"/>
      <c r="R11" s="602" t="s">
        <v>2956</v>
      </c>
      <c r="S11" s="90"/>
    </row>
    <row r="12" spans="1:19" s="5" customFormat="1" ht="24.6" customHeight="1">
      <c r="B12" s="1467"/>
      <c r="C12" s="325" t="s">
        <v>2581</v>
      </c>
      <c r="D12" s="265"/>
      <c r="E12" s="499"/>
      <c r="F12" s="499"/>
      <c r="G12" s="499"/>
      <c r="H12" s="499"/>
      <c r="I12" s="499"/>
      <c r="J12" s="499"/>
      <c r="K12" s="499"/>
      <c r="L12" s="90"/>
      <c r="M12" s="90"/>
      <c r="N12" s="90"/>
      <c r="O12" s="601" t="s">
        <v>2948</v>
      </c>
      <c r="P12" s="1637" t="s">
        <v>2957</v>
      </c>
      <c r="Q12" s="1637"/>
      <c r="R12" s="602" t="s">
        <v>2959</v>
      </c>
      <c r="S12" s="90"/>
    </row>
    <row r="13" spans="1:19" s="5" customFormat="1" ht="24.6" customHeight="1">
      <c r="B13" s="500" t="s">
        <v>317</v>
      </c>
      <c r="C13" s="125" t="s">
        <v>2579</v>
      </c>
      <c r="D13" s="265"/>
      <c r="E13" s="499"/>
      <c r="F13" s="499"/>
      <c r="G13" s="125" t="s">
        <v>2597</v>
      </c>
      <c r="H13" s="125" t="s">
        <v>2597</v>
      </c>
      <c r="I13" s="125" t="s">
        <v>2600</v>
      </c>
      <c r="J13" s="125" t="s">
        <v>2597</v>
      </c>
      <c r="K13" s="125" t="s">
        <v>2597</v>
      </c>
      <c r="L13" s="90"/>
      <c r="M13" s="90"/>
      <c r="N13" s="90"/>
      <c r="O13" s="601" t="s">
        <v>2948</v>
      </c>
      <c r="P13" s="1637" t="s">
        <v>2919</v>
      </c>
      <c r="Q13" s="1637"/>
      <c r="R13" s="602" t="s">
        <v>2960</v>
      </c>
      <c r="S13" s="90"/>
    </row>
    <row r="14" spans="1:19" ht="24.6" customHeight="1">
      <c r="A14" s="84"/>
      <c r="B14" s="84"/>
      <c r="C14" s="5"/>
      <c r="D14" s="5"/>
      <c r="E14" s="266">
        <f>K5+1</f>
        <v>6</v>
      </c>
      <c r="F14" s="65">
        <f t="shared" ref="F14:K14" si="0">E14+1</f>
        <v>7</v>
      </c>
      <c r="G14" s="65">
        <f t="shared" si="0"/>
        <v>8</v>
      </c>
      <c r="H14" s="65">
        <f t="shared" si="0"/>
        <v>9</v>
      </c>
      <c r="I14" s="65">
        <f t="shared" si="0"/>
        <v>10</v>
      </c>
      <c r="J14" s="65">
        <f t="shared" si="0"/>
        <v>11</v>
      </c>
      <c r="K14" s="65">
        <f t="shared" si="0"/>
        <v>12</v>
      </c>
      <c r="O14" s="601" t="s">
        <v>2948</v>
      </c>
      <c r="P14" s="1636" t="s">
        <v>2941</v>
      </c>
      <c r="Q14" s="1636"/>
      <c r="R14" s="600" t="s">
        <v>2947</v>
      </c>
    </row>
    <row r="15" spans="1:19" ht="24.6" customHeight="1">
      <c r="A15" s="84"/>
      <c r="B15" s="1467" t="s">
        <v>286</v>
      </c>
      <c r="C15" s="324" t="s">
        <v>2585</v>
      </c>
      <c r="D15" s="265"/>
      <c r="E15" s="301"/>
      <c r="F15" s="301"/>
      <c r="G15" s="301"/>
      <c r="H15" s="301"/>
      <c r="I15" s="301"/>
      <c r="J15" s="301"/>
      <c r="K15" s="301"/>
      <c r="O15" s="601" t="s">
        <v>2948</v>
      </c>
      <c r="P15" s="1636" t="s">
        <v>2937</v>
      </c>
      <c r="Q15" s="1636"/>
      <c r="R15" s="600"/>
    </row>
    <row r="16" spans="1:19" ht="24.6" customHeight="1">
      <c r="A16" s="84"/>
      <c r="B16" s="1467"/>
      <c r="C16" s="290" t="s">
        <v>7</v>
      </c>
      <c r="D16" s="265"/>
      <c r="E16" s="301"/>
      <c r="F16" s="301"/>
      <c r="G16" s="290" t="s">
        <v>2872</v>
      </c>
      <c r="H16" s="301"/>
      <c r="I16" s="301"/>
      <c r="J16" s="301"/>
      <c r="K16" s="301"/>
      <c r="O16" s="601" t="s">
        <v>2948</v>
      </c>
      <c r="P16" s="1636" t="s">
        <v>2938</v>
      </c>
      <c r="Q16" s="1636"/>
      <c r="R16" s="600"/>
    </row>
    <row r="17" spans="1:19" ht="24.6" customHeight="1">
      <c r="A17" s="84"/>
      <c r="B17" s="1467"/>
      <c r="C17" s="163" t="s">
        <v>389</v>
      </c>
      <c r="D17" s="265"/>
      <c r="E17" s="301"/>
      <c r="F17" s="301"/>
      <c r="G17" s="301"/>
      <c r="H17" s="301"/>
      <c r="I17" s="301"/>
      <c r="J17" s="301"/>
      <c r="K17" s="301"/>
      <c r="O17" s="601" t="s">
        <v>2948</v>
      </c>
      <c r="P17" s="1637" t="s">
        <v>2887</v>
      </c>
      <c r="Q17" s="1637"/>
      <c r="R17" s="600"/>
    </row>
    <row r="18" spans="1:19" ht="24.6" customHeight="1">
      <c r="A18" s="84"/>
      <c r="B18" s="1467"/>
      <c r="C18" s="325" t="s">
        <v>2581</v>
      </c>
      <c r="D18" s="265"/>
      <c r="E18" s="301"/>
      <c r="F18" s="301"/>
      <c r="G18" s="301"/>
      <c r="H18" s="301"/>
      <c r="I18" s="301"/>
      <c r="J18" s="301"/>
      <c r="K18" s="301"/>
      <c r="O18" s="601" t="s">
        <v>2948</v>
      </c>
      <c r="P18" s="1637" t="s">
        <v>2965</v>
      </c>
      <c r="Q18" s="1637"/>
      <c r="R18" s="600"/>
    </row>
    <row r="19" spans="1:19" ht="24.6" customHeight="1">
      <c r="A19" s="84"/>
      <c r="B19" s="1467" t="s">
        <v>2593</v>
      </c>
      <c r="C19" s="324" t="s">
        <v>9</v>
      </c>
      <c r="D19" s="265"/>
      <c r="E19" s="301"/>
      <c r="F19" s="301"/>
      <c r="G19" s="301"/>
      <c r="H19" s="301"/>
      <c r="I19" s="301"/>
      <c r="J19" s="301"/>
      <c r="K19" s="301"/>
      <c r="O19" s="601" t="s">
        <v>2948</v>
      </c>
      <c r="P19" s="1637" t="s">
        <v>2967</v>
      </c>
      <c r="Q19" s="1637"/>
      <c r="R19" s="600"/>
    </row>
    <row r="20" spans="1:19" ht="24" customHeight="1">
      <c r="A20" s="84"/>
      <c r="B20" s="1467"/>
      <c r="C20" s="290" t="s">
        <v>2592</v>
      </c>
      <c r="D20" s="265"/>
      <c r="E20" s="301"/>
      <c r="F20" s="1522" t="s">
        <v>2964</v>
      </c>
      <c r="G20" s="1545"/>
      <c r="H20" s="1522" t="s">
        <v>2958</v>
      </c>
      <c r="I20" s="1523"/>
      <c r="J20" s="301"/>
      <c r="K20" s="301"/>
      <c r="O20" s="603" t="s">
        <v>2949</v>
      </c>
      <c r="P20" s="1637" t="s">
        <v>2969</v>
      </c>
      <c r="Q20" s="1637"/>
      <c r="R20" s="600" t="s">
        <v>2942</v>
      </c>
    </row>
    <row r="21" spans="1:19" ht="24" customHeight="1">
      <c r="A21" s="84"/>
      <c r="B21" s="1467"/>
      <c r="C21" s="290"/>
      <c r="D21" s="265"/>
      <c r="E21" s="301"/>
      <c r="F21" s="301"/>
      <c r="G21" s="1522" t="s">
        <v>2962</v>
      </c>
      <c r="H21" s="1523"/>
      <c r="I21" s="301"/>
      <c r="J21" s="243" t="s">
        <v>2982</v>
      </c>
      <c r="K21" s="301"/>
      <c r="O21" s="603" t="s">
        <v>2950</v>
      </c>
      <c r="P21" s="1637" t="s">
        <v>2847</v>
      </c>
      <c r="Q21" s="1637"/>
      <c r="R21" s="600" t="s">
        <v>2942</v>
      </c>
    </row>
    <row r="22" spans="1:19" ht="24" customHeight="1">
      <c r="A22" s="84"/>
      <c r="B22" s="1467"/>
      <c r="C22" s="325" t="s">
        <v>2581</v>
      </c>
      <c r="D22" s="265"/>
      <c r="E22" s="301"/>
      <c r="F22" s="325" t="s">
        <v>2786</v>
      </c>
      <c r="G22" s="325" t="s">
        <v>2787</v>
      </c>
      <c r="H22" s="325" t="s">
        <v>2787</v>
      </c>
      <c r="I22" s="325" t="s">
        <v>2787</v>
      </c>
      <c r="J22" s="325" t="s">
        <v>2788</v>
      </c>
      <c r="K22" s="301"/>
      <c r="O22" s="603" t="s">
        <v>2950</v>
      </c>
      <c r="P22" s="1636" t="s">
        <v>2869</v>
      </c>
      <c r="Q22" s="1636"/>
      <c r="R22" s="600" t="s">
        <v>2942</v>
      </c>
    </row>
    <row r="23" spans="1:19" ht="24.6" customHeight="1">
      <c r="A23" s="84"/>
      <c r="B23" s="500" t="s">
        <v>2580</v>
      </c>
      <c r="C23" s="125" t="s">
        <v>2579</v>
      </c>
      <c r="D23" s="265"/>
      <c r="E23" s="301"/>
      <c r="F23" s="301"/>
      <c r="G23" s="301"/>
      <c r="H23" s="301"/>
      <c r="I23" s="301"/>
      <c r="J23" s="301"/>
      <c r="K23" s="301"/>
      <c r="O23" s="603" t="s">
        <v>2950</v>
      </c>
      <c r="P23" s="1636" t="s">
        <v>2870</v>
      </c>
      <c r="Q23" s="1636"/>
      <c r="R23" s="600" t="s">
        <v>2942</v>
      </c>
    </row>
    <row r="24" spans="1:19" ht="24.6" customHeight="1">
      <c r="A24" s="84"/>
      <c r="B24" s="84"/>
      <c r="C24" s="5"/>
      <c r="D24" s="5"/>
      <c r="E24" s="26">
        <f>K14+1</f>
        <v>13</v>
      </c>
      <c r="F24" s="175">
        <f t="shared" ref="F24:K24" si="1">E24+1</f>
        <v>14</v>
      </c>
      <c r="G24" s="175">
        <f t="shared" si="1"/>
        <v>15</v>
      </c>
      <c r="H24" s="175">
        <f t="shared" si="1"/>
        <v>16</v>
      </c>
      <c r="I24" s="175">
        <f t="shared" si="1"/>
        <v>17</v>
      </c>
      <c r="J24" s="175">
        <f t="shared" si="1"/>
        <v>18</v>
      </c>
      <c r="K24" s="175">
        <f t="shared" si="1"/>
        <v>19</v>
      </c>
      <c r="M24" s="203"/>
      <c r="N24" s="203"/>
      <c r="O24" s="604" t="s">
        <v>2951</v>
      </c>
      <c r="P24" s="1637" t="s">
        <v>2837</v>
      </c>
      <c r="Q24" s="1637"/>
      <c r="R24" s="600" t="s">
        <v>2943</v>
      </c>
    </row>
    <row r="25" spans="1:19" ht="24.6" customHeight="1">
      <c r="A25" s="84"/>
      <c r="B25" s="1467" t="s">
        <v>2584</v>
      </c>
      <c r="C25" s="324" t="s">
        <v>9</v>
      </c>
      <c r="D25" s="265"/>
      <c r="E25" s="499"/>
      <c r="F25" s="499"/>
      <c r="G25" s="499"/>
      <c r="H25" s="499"/>
      <c r="I25" s="499"/>
      <c r="J25" s="499"/>
      <c r="K25" s="499"/>
      <c r="O25" s="604" t="s">
        <v>2951</v>
      </c>
      <c r="P25" s="1636" t="s">
        <v>2865</v>
      </c>
      <c r="Q25" s="1636"/>
      <c r="R25" s="600" t="s">
        <v>2944</v>
      </c>
    </row>
    <row r="26" spans="1:19" ht="24.6" customHeight="1">
      <c r="A26" s="84"/>
      <c r="B26" s="1467"/>
      <c r="C26" s="290" t="s">
        <v>7</v>
      </c>
      <c r="D26" s="265"/>
      <c r="E26" s="499"/>
      <c r="F26" s="499"/>
      <c r="G26" s="499"/>
      <c r="H26" s="499"/>
      <c r="I26" s="499"/>
      <c r="J26" s="499"/>
      <c r="K26" s="499"/>
      <c r="L26" s="84"/>
      <c r="M26" s="84"/>
      <c r="N26" s="84"/>
      <c r="O26" s="604" t="s">
        <v>2951</v>
      </c>
      <c r="P26" s="1636" t="s">
        <v>2873</v>
      </c>
      <c r="Q26" s="1636"/>
      <c r="R26" s="605" t="s">
        <v>2973</v>
      </c>
      <c r="S26" s="84"/>
    </row>
    <row r="27" spans="1:19" ht="24.6" customHeight="1">
      <c r="A27" s="84"/>
      <c r="B27" s="1467"/>
      <c r="C27" s="163" t="s">
        <v>389</v>
      </c>
      <c r="D27" s="265"/>
      <c r="E27" s="499"/>
      <c r="F27" s="499"/>
      <c r="G27" s="499"/>
      <c r="H27" s="499"/>
      <c r="I27" s="597"/>
      <c r="J27" s="597"/>
      <c r="K27" s="499"/>
      <c r="L27" s="84"/>
      <c r="M27" s="84"/>
      <c r="N27" s="84"/>
      <c r="O27" s="604" t="s">
        <v>2951</v>
      </c>
      <c r="P27" s="1636" t="s">
        <v>2911</v>
      </c>
      <c r="Q27" s="1636"/>
      <c r="R27" s="605" t="s">
        <v>2945</v>
      </c>
      <c r="S27" s="84"/>
    </row>
    <row r="28" spans="1:19" ht="24.6" customHeight="1">
      <c r="A28" s="84"/>
      <c r="B28" s="1467"/>
      <c r="C28" s="325" t="s">
        <v>316</v>
      </c>
      <c r="D28" s="265"/>
      <c r="E28" s="499"/>
      <c r="F28" s="499"/>
      <c r="G28" s="499"/>
      <c r="H28" s="499"/>
      <c r="I28" s="597"/>
      <c r="J28" s="597"/>
      <c r="K28" s="499"/>
      <c r="L28" s="84"/>
      <c r="M28" s="84"/>
      <c r="N28" s="84"/>
      <c r="O28" s="604" t="s">
        <v>2951</v>
      </c>
      <c r="P28" s="1636" t="s">
        <v>2918</v>
      </c>
      <c r="Q28" s="1636"/>
      <c r="R28" s="605" t="s">
        <v>2975</v>
      </c>
      <c r="S28" s="84"/>
    </row>
    <row r="29" spans="1:19" ht="24.6" customHeight="1">
      <c r="A29" s="84"/>
      <c r="B29" s="1467" t="s">
        <v>2601</v>
      </c>
      <c r="C29" s="324" t="s">
        <v>2585</v>
      </c>
      <c r="D29" s="265"/>
      <c r="E29" s="499"/>
      <c r="F29" s="499"/>
      <c r="G29" s="499"/>
      <c r="H29" s="499"/>
      <c r="I29" s="612"/>
      <c r="J29" s="612"/>
      <c r="K29" s="499"/>
      <c r="L29" s="84"/>
      <c r="M29" s="84"/>
      <c r="N29" s="84"/>
      <c r="O29" s="606" t="s">
        <v>2952</v>
      </c>
      <c r="P29" s="1636" t="s">
        <v>2978</v>
      </c>
      <c r="Q29" s="1636"/>
      <c r="R29" s="605" t="s">
        <v>2946</v>
      </c>
      <c r="S29" s="84"/>
    </row>
    <row r="30" spans="1:19" ht="24.6" customHeight="1">
      <c r="A30" s="84"/>
      <c r="B30" s="1467"/>
      <c r="C30" s="290" t="s">
        <v>292</v>
      </c>
      <c r="D30" s="265"/>
      <c r="E30" s="499"/>
      <c r="F30" s="499"/>
      <c r="G30" s="499"/>
      <c r="H30" s="1618" t="s">
        <v>2876</v>
      </c>
      <c r="I30" s="1619"/>
      <c r="J30" s="290" t="s">
        <v>3079</v>
      </c>
      <c r="K30" s="499"/>
      <c r="L30" s="84"/>
      <c r="M30" s="84"/>
      <c r="N30" s="84"/>
      <c r="O30" s="606" t="s">
        <v>2953</v>
      </c>
      <c r="P30" s="1636" t="s">
        <v>2879</v>
      </c>
      <c r="Q30" s="1636"/>
      <c r="R30" s="605"/>
      <c r="S30" s="84"/>
    </row>
    <row r="31" spans="1:19" ht="24.6" customHeight="1">
      <c r="A31" s="84"/>
      <c r="B31" s="1467"/>
      <c r="C31" s="290"/>
      <c r="D31" s="265"/>
      <c r="E31" s="499"/>
      <c r="F31" s="505"/>
      <c r="G31" s="499"/>
      <c r="H31" s="597"/>
      <c r="I31" s="1618" t="s">
        <v>2966</v>
      </c>
      <c r="J31" s="1619"/>
      <c r="K31" s="558"/>
      <c r="L31" s="84"/>
      <c r="M31" s="84"/>
      <c r="N31" s="84"/>
      <c r="O31" s="606" t="s">
        <v>2954</v>
      </c>
      <c r="P31" s="1636" t="s">
        <v>2939</v>
      </c>
      <c r="Q31" s="1636"/>
      <c r="R31" s="605"/>
      <c r="S31" s="84"/>
    </row>
    <row r="32" spans="1:19" ht="24.6" customHeight="1">
      <c r="A32" s="84"/>
      <c r="B32" s="1467"/>
      <c r="C32" s="325" t="s">
        <v>2581</v>
      </c>
      <c r="D32" s="265"/>
      <c r="E32" s="499"/>
      <c r="F32" s="325" t="s">
        <v>2788</v>
      </c>
      <c r="G32" s="499"/>
      <c r="H32" s="325" t="s">
        <v>2789</v>
      </c>
      <c r="I32" s="325" t="s">
        <v>2789</v>
      </c>
      <c r="J32" s="325" t="s">
        <v>2789</v>
      </c>
      <c r="K32" s="499"/>
      <c r="L32" s="84"/>
      <c r="M32" s="84"/>
      <c r="N32" s="84"/>
      <c r="O32" s="606" t="s">
        <v>2980</v>
      </c>
      <c r="P32" s="1636" t="s">
        <v>3078</v>
      </c>
      <c r="Q32" s="1636"/>
      <c r="R32" s="605" t="s">
        <v>2977</v>
      </c>
      <c r="S32" s="84"/>
    </row>
    <row r="33" spans="1:19" ht="24.6" customHeight="1">
      <c r="A33" s="84"/>
      <c r="B33" s="500" t="s">
        <v>2580</v>
      </c>
      <c r="C33" s="125" t="s">
        <v>2579</v>
      </c>
      <c r="D33" s="265"/>
      <c r="E33" s="499"/>
      <c r="F33" s="125" t="s">
        <v>2800</v>
      </c>
      <c r="G33" s="125" t="s">
        <v>2602</v>
      </c>
      <c r="H33" s="499"/>
      <c r="I33" s="499"/>
      <c r="J33" s="499"/>
      <c r="K33" s="499"/>
      <c r="L33" s="84"/>
      <c r="M33" s="84"/>
      <c r="N33" s="84"/>
      <c r="O33" s="606" t="s">
        <v>2976</v>
      </c>
      <c r="P33" s="1637" t="s">
        <v>2979</v>
      </c>
      <c r="Q33" s="1637"/>
      <c r="R33" s="605" t="s">
        <v>2981</v>
      </c>
      <c r="S33" s="84"/>
    </row>
    <row r="34" spans="1:19" ht="24.6" customHeight="1">
      <c r="A34" s="84"/>
      <c r="B34" s="84"/>
      <c r="C34" s="5"/>
      <c r="D34" s="5"/>
      <c r="E34" s="266">
        <f>K24+1</f>
        <v>20</v>
      </c>
      <c r="F34" s="304">
        <f t="shared" ref="F34:K34" si="2">E34+1</f>
        <v>21</v>
      </c>
      <c r="G34" s="304">
        <f t="shared" si="2"/>
        <v>22</v>
      </c>
      <c r="H34" s="304">
        <f t="shared" si="2"/>
        <v>23</v>
      </c>
      <c r="I34" s="304">
        <f t="shared" si="2"/>
        <v>24</v>
      </c>
      <c r="J34" s="304">
        <f t="shared" si="2"/>
        <v>25</v>
      </c>
      <c r="K34" s="65">
        <f t="shared" si="2"/>
        <v>26</v>
      </c>
      <c r="L34" s="84"/>
      <c r="M34" s="84"/>
      <c r="N34" s="84"/>
      <c r="O34" s="84"/>
      <c r="Q34" s="84"/>
      <c r="R34" s="84"/>
      <c r="S34" s="84"/>
    </row>
    <row r="35" spans="1:19" ht="24.6" customHeight="1">
      <c r="A35" s="84"/>
      <c r="B35" s="1467" t="s">
        <v>286</v>
      </c>
      <c r="C35" s="324" t="s">
        <v>9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290" t="s">
        <v>7</v>
      </c>
      <c r="D36" s="265"/>
      <c r="E36" s="301"/>
      <c r="F36" s="301"/>
      <c r="G36" s="417" t="s">
        <v>2867</v>
      </c>
      <c r="H36" s="415" t="s">
        <v>2866</v>
      </c>
      <c r="I36" s="415" t="s">
        <v>2868</v>
      </c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63" t="s">
        <v>389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325" t="s">
        <v>316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" customHeight="1">
      <c r="A39" s="84"/>
      <c r="B39" s="1467" t="s">
        <v>287</v>
      </c>
      <c r="C39" s="324" t="s">
        <v>9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290" t="s">
        <v>292</v>
      </c>
      <c r="D40" s="265"/>
      <c r="E40" s="301"/>
      <c r="F40" s="1522" t="s">
        <v>2968</v>
      </c>
      <c r="G40" s="1523"/>
      <c r="H40" s="301"/>
      <c r="I40" s="1522" t="s">
        <v>2970</v>
      </c>
      <c r="J40" s="1545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290"/>
      <c r="D41" s="265"/>
      <c r="E41" s="301"/>
      <c r="F41" s="506"/>
      <c r="G41" s="1522" t="s">
        <v>2963</v>
      </c>
      <c r="H41" s="1545"/>
      <c r="I41" s="506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325" t="s">
        <v>316</v>
      </c>
      <c r="D42" s="265"/>
      <c r="E42" s="301"/>
      <c r="F42" s="325" t="s">
        <v>2790</v>
      </c>
      <c r="G42" s="325" t="s">
        <v>2790</v>
      </c>
      <c r="H42" s="325" t="s">
        <v>2693</v>
      </c>
      <c r="I42" s="325" t="s">
        <v>2693</v>
      </c>
      <c r="J42" s="325" t="s">
        <v>2693</v>
      </c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500" t="s">
        <v>317</v>
      </c>
      <c r="C43" s="125" t="s">
        <v>2579</v>
      </c>
      <c r="D43" s="265"/>
      <c r="E43" s="345"/>
      <c r="F43" s="301"/>
      <c r="G43" s="301"/>
      <c r="H43" s="301"/>
      <c r="I43" s="301"/>
      <c r="J43" s="301"/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84"/>
      <c r="C44" s="269"/>
      <c r="D44" s="265"/>
      <c r="E44" s="26">
        <f>K34+1</f>
        <v>27</v>
      </c>
      <c r="F44" s="175">
        <f>E44+1</f>
        <v>28</v>
      </c>
      <c r="G44" s="175">
        <f>F44+1</f>
        <v>29</v>
      </c>
      <c r="H44" s="175">
        <f>G44+1</f>
        <v>30</v>
      </c>
      <c r="I44" s="175">
        <f>H44+1</f>
        <v>31</v>
      </c>
      <c r="J44" s="175"/>
      <c r="K44" s="175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 t="s">
        <v>286</v>
      </c>
      <c r="C45" s="324" t="s">
        <v>2603</v>
      </c>
      <c r="D45" s="265"/>
      <c r="E45" s="499"/>
      <c r="F45" s="608"/>
      <c r="G45" s="499"/>
      <c r="H45" s="499"/>
      <c r="I45" s="499"/>
      <c r="J45" s="499"/>
      <c r="K45" s="499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290" t="s">
        <v>7</v>
      </c>
      <c r="D46" s="265"/>
      <c r="E46" s="499"/>
      <c r="F46" s="417" t="s">
        <v>2874</v>
      </c>
      <c r="G46" s="417" t="s">
        <v>2880</v>
      </c>
      <c r="H46" s="417" t="s">
        <v>2983</v>
      </c>
      <c r="I46" s="417" t="s">
        <v>2889</v>
      </c>
      <c r="J46" s="608"/>
      <c r="K46" s="499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163" t="s">
        <v>2586</v>
      </c>
      <c r="D47" s="265"/>
      <c r="E47" s="499"/>
      <c r="F47" s="499"/>
      <c r="G47" s="499"/>
      <c r="H47" s="499"/>
      <c r="I47" s="499"/>
      <c r="J47" s="499"/>
      <c r="K47" s="499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325" t="s">
        <v>2581</v>
      </c>
      <c r="D48" s="265"/>
      <c r="E48" s="499"/>
      <c r="F48" s="499"/>
      <c r="G48" s="499"/>
      <c r="H48" s="499"/>
      <c r="I48" s="499"/>
      <c r="J48" s="499"/>
      <c r="K48" s="499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 t="s">
        <v>287</v>
      </c>
      <c r="C49" s="324" t="s">
        <v>9</v>
      </c>
      <c r="D49" s="265"/>
      <c r="E49" s="499"/>
      <c r="F49" s="597"/>
      <c r="G49" s="597"/>
      <c r="H49" s="499"/>
      <c r="I49" s="499"/>
      <c r="J49" s="499"/>
      <c r="K49" s="499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290" t="s">
        <v>292</v>
      </c>
      <c r="D50" s="265"/>
      <c r="E50" s="499"/>
      <c r="F50" s="1522" t="s">
        <v>2971</v>
      </c>
      <c r="G50" s="1545"/>
      <c r="H50" s="499"/>
      <c r="I50" s="1522" t="s">
        <v>2972</v>
      </c>
      <c r="J50" s="1545"/>
      <c r="K50" s="499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290"/>
      <c r="D51" s="265"/>
      <c r="E51" s="499"/>
      <c r="F51" s="499"/>
      <c r="G51" s="1522" t="s">
        <v>2997</v>
      </c>
      <c r="H51" s="1545"/>
      <c r="I51" s="499"/>
      <c r="J51" s="499"/>
      <c r="K51" s="499"/>
      <c r="L51" s="84"/>
      <c r="M51" s="84"/>
      <c r="N51" s="84"/>
      <c r="O51" s="84"/>
      <c r="P51" s="84"/>
      <c r="Q51" s="84"/>
      <c r="R51" s="84"/>
      <c r="S51" s="84"/>
    </row>
    <row r="52" spans="1:19" ht="24" customHeight="1">
      <c r="A52" s="84"/>
      <c r="B52" s="1467"/>
      <c r="C52" s="325" t="s">
        <v>316</v>
      </c>
      <c r="D52" s="265"/>
      <c r="E52" s="499"/>
      <c r="F52" s="325" t="s">
        <v>2791</v>
      </c>
      <c r="G52" s="325" t="s">
        <v>2791</v>
      </c>
      <c r="H52" s="325" t="s">
        <v>2694</v>
      </c>
      <c r="I52" s="325" t="s">
        <v>2694</v>
      </c>
      <c r="J52" s="499"/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500" t="s">
        <v>317</v>
      </c>
      <c r="C53" s="125" t="s">
        <v>228</v>
      </c>
      <c r="D53" s="265"/>
      <c r="E53" s="499"/>
      <c r="F53" s="499"/>
      <c r="G53" s="499"/>
      <c r="H53" s="499"/>
      <c r="I53" s="499"/>
      <c r="J53" s="499"/>
      <c r="K53" s="499"/>
      <c r="L53" s="84"/>
      <c r="M53" s="84"/>
      <c r="N53" s="84"/>
      <c r="O53" s="84"/>
      <c r="P53" s="84"/>
      <c r="Q53" s="84"/>
      <c r="R53" s="84"/>
      <c r="S53" s="84"/>
    </row>
    <row r="54" spans="1:19">
      <c r="P54" s="84"/>
      <c r="Q54" s="84"/>
    </row>
    <row r="55" spans="1:19">
      <c r="P55" s="84"/>
      <c r="Q55" s="84"/>
    </row>
    <row r="56" spans="1:19">
      <c r="P56" s="84"/>
      <c r="Q56" s="84"/>
    </row>
    <row r="57" spans="1:19">
      <c r="P57" s="84"/>
      <c r="Q57" s="84"/>
    </row>
    <row r="58" spans="1:19">
      <c r="P58" s="84"/>
      <c r="Q58" s="84"/>
    </row>
    <row r="59" spans="1:19">
      <c r="P59" s="84"/>
      <c r="Q59" s="84"/>
    </row>
    <row r="60" spans="1:19">
      <c r="P60" s="84"/>
      <c r="Q60" s="84"/>
    </row>
    <row r="61" spans="1:19">
      <c r="P61" s="84"/>
      <c r="Q61" s="84"/>
    </row>
  </sheetData>
  <mergeCells count="48">
    <mergeCell ref="P33:Q33"/>
    <mergeCell ref="F50:G50"/>
    <mergeCell ref="I50:J50"/>
    <mergeCell ref="P29:Q29"/>
    <mergeCell ref="P22:Q22"/>
    <mergeCell ref="P27:Q27"/>
    <mergeCell ref="P28:Q28"/>
    <mergeCell ref="P24:Q24"/>
    <mergeCell ref="P32:Q32"/>
    <mergeCell ref="P21:Q21"/>
    <mergeCell ref="P30:Q30"/>
    <mergeCell ref="P31:Q31"/>
    <mergeCell ref="P15:Q15"/>
    <mergeCell ref="P16:Q16"/>
    <mergeCell ref="P18:Q18"/>
    <mergeCell ref="P19:Q19"/>
    <mergeCell ref="P26:Q26"/>
    <mergeCell ref="P23:Q23"/>
    <mergeCell ref="P25:Q25"/>
    <mergeCell ref="P14:Q14"/>
    <mergeCell ref="P17:Q17"/>
    <mergeCell ref="B19:B22"/>
    <mergeCell ref="E3:G3"/>
    <mergeCell ref="H3:K3"/>
    <mergeCell ref="B6:B9"/>
    <mergeCell ref="B10:B12"/>
    <mergeCell ref="B15:B18"/>
    <mergeCell ref="F20:G20"/>
    <mergeCell ref="G21:H21"/>
    <mergeCell ref="P9:Q9"/>
    <mergeCell ref="P10:Q10"/>
    <mergeCell ref="P11:Q11"/>
    <mergeCell ref="P12:Q12"/>
    <mergeCell ref="P13:Q13"/>
    <mergeCell ref="P20:Q20"/>
    <mergeCell ref="H20:I20"/>
    <mergeCell ref="B49:B52"/>
    <mergeCell ref="B25:B28"/>
    <mergeCell ref="B29:B32"/>
    <mergeCell ref="B35:B38"/>
    <mergeCell ref="B39:B42"/>
    <mergeCell ref="F40:G40"/>
    <mergeCell ref="B45:B48"/>
    <mergeCell ref="H30:I30"/>
    <mergeCell ref="I31:J31"/>
    <mergeCell ref="I40:J40"/>
    <mergeCell ref="G41:H41"/>
    <mergeCell ref="G51:H51"/>
  </mergeCells>
  <phoneticPr fontId="6" type="noConversion"/>
  <pageMargins left="0.7" right="0.7" top="0.75" bottom="0.75" header="0.3" footer="0.3"/>
  <pageSetup paperSize="9" scale="38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3">
    <pageSetUpPr fitToPage="1"/>
  </sheetPr>
  <dimension ref="A1:S55"/>
  <sheetViews>
    <sheetView topLeftCell="A16" zoomScale="70" zoomScaleNormal="70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5" width="7.77734375" style="90" customWidth="1"/>
    <col min="16" max="17" width="19.6640625" style="90" customWidth="1"/>
    <col min="18" max="18" width="37.21875" style="90" bestFit="1" customWidth="1"/>
    <col min="19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45170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/>
      <c r="J5" s="175">
        <v>1</v>
      </c>
      <c r="K5" s="175">
        <v>2</v>
      </c>
      <c r="L5" s="90"/>
      <c r="M5" s="90"/>
      <c r="N5" s="90"/>
      <c r="R5" s="11"/>
      <c r="S5" s="90"/>
    </row>
    <row r="6" spans="1:19" s="5" customFormat="1" ht="24.6" customHeight="1">
      <c r="B6" s="1467" t="s">
        <v>286</v>
      </c>
      <c r="C6" s="324" t="s">
        <v>9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608"/>
      <c r="K7" s="49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389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O8" s="5" t="s">
        <v>3091</v>
      </c>
      <c r="R8" s="11"/>
      <c r="S8" s="90"/>
    </row>
    <row r="9" spans="1:19" s="5" customFormat="1" ht="24.6" customHeight="1">
      <c r="B9" s="1467"/>
      <c r="C9" s="325" t="s">
        <v>2581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90"/>
      <c r="O9" s="586" t="s">
        <v>2905</v>
      </c>
      <c r="P9" s="1634" t="s">
        <v>2732</v>
      </c>
      <c r="Q9" s="1634"/>
      <c r="R9" s="587" t="s">
        <v>228</v>
      </c>
      <c r="S9" s="90"/>
    </row>
    <row r="10" spans="1:19" s="5" customFormat="1" ht="24.6" customHeight="1">
      <c r="B10" s="1467" t="s">
        <v>287</v>
      </c>
      <c r="C10" s="324" t="s">
        <v>9</v>
      </c>
      <c r="D10" s="265"/>
      <c r="E10" s="499"/>
      <c r="F10" s="499"/>
      <c r="G10" s="499"/>
      <c r="H10" s="499"/>
      <c r="I10" s="499"/>
      <c r="J10" s="499"/>
      <c r="K10" s="499"/>
      <c r="L10" s="90"/>
      <c r="M10" s="90"/>
      <c r="N10" s="90"/>
      <c r="O10" s="601" t="s">
        <v>2948</v>
      </c>
      <c r="P10" s="1637" t="s">
        <v>2996</v>
      </c>
      <c r="Q10" s="1637"/>
      <c r="R10" s="600" t="s">
        <v>2947</v>
      </c>
      <c r="S10" s="90"/>
    </row>
    <row r="11" spans="1:19" s="5" customFormat="1" ht="24.6" customHeight="1">
      <c r="B11" s="1467"/>
      <c r="C11" s="290" t="s">
        <v>2592</v>
      </c>
      <c r="D11" s="265"/>
      <c r="E11" s="499"/>
      <c r="F11" s="499"/>
      <c r="G11" s="499"/>
      <c r="H11" s="499"/>
      <c r="I11" s="499"/>
      <c r="J11" s="559"/>
      <c r="K11" s="558"/>
      <c r="L11" s="90"/>
      <c r="M11" s="90"/>
      <c r="N11" s="90"/>
      <c r="O11" s="601" t="s">
        <v>2948</v>
      </c>
      <c r="P11" s="1637" t="s">
        <v>2998</v>
      </c>
      <c r="Q11" s="1637"/>
      <c r="R11" s="600"/>
      <c r="S11" s="90"/>
    </row>
    <row r="12" spans="1:19" s="5" customFormat="1" ht="24.6" customHeight="1">
      <c r="B12" s="1467"/>
      <c r="C12" s="325" t="s">
        <v>2581</v>
      </c>
      <c r="D12" s="265"/>
      <c r="E12" s="499"/>
      <c r="F12" s="499"/>
      <c r="G12" s="499"/>
      <c r="H12" s="499"/>
      <c r="I12" s="499"/>
      <c r="J12" s="610"/>
      <c r="K12" s="499"/>
      <c r="L12" s="90"/>
      <c r="M12" s="90"/>
      <c r="N12" s="90"/>
      <c r="O12" s="601" t="s">
        <v>2948</v>
      </c>
      <c r="P12" s="1637" t="s">
        <v>3000</v>
      </c>
      <c r="Q12" s="1637"/>
      <c r="R12" s="600"/>
      <c r="S12" s="90"/>
    </row>
    <row r="13" spans="1:19" s="5" customFormat="1" ht="24.6" customHeight="1">
      <c r="B13" s="500" t="s">
        <v>317</v>
      </c>
      <c r="C13" s="125" t="s">
        <v>228</v>
      </c>
      <c r="D13" s="265"/>
      <c r="E13" s="499"/>
      <c r="F13" s="499"/>
      <c r="G13" s="499"/>
      <c r="H13" s="499"/>
      <c r="I13" s="499"/>
      <c r="J13" s="499"/>
      <c r="K13" s="499"/>
      <c r="L13" s="90"/>
      <c r="M13" s="90"/>
      <c r="N13" s="90"/>
      <c r="O13" s="603" t="s">
        <v>2906</v>
      </c>
      <c r="P13" s="1637" t="s">
        <v>2869</v>
      </c>
      <c r="Q13" s="1637"/>
      <c r="R13" s="600" t="s">
        <v>2942</v>
      </c>
      <c r="S13" s="90"/>
    </row>
    <row r="14" spans="1:19" ht="24.6" customHeight="1">
      <c r="A14" s="84"/>
      <c r="B14" s="84"/>
      <c r="C14" s="5"/>
      <c r="D14" s="5"/>
      <c r="E14" s="266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65">
        <f t="shared" si="0"/>
        <v>9</v>
      </c>
      <c r="O14" s="603" t="s">
        <v>2988</v>
      </c>
      <c r="P14" s="1637" t="s">
        <v>2991</v>
      </c>
      <c r="Q14" s="1637"/>
      <c r="R14" s="600" t="s">
        <v>2990</v>
      </c>
    </row>
    <row r="15" spans="1:19" ht="24.6" customHeight="1">
      <c r="A15" s="84"/>
      <c r="B15" s="1467" t="s">
        <v>286</v>
      </c>
      <c r="C15" s="324" t="s">
        <v>9</v>
      </c>
      <c r="D15" s="265"/>
      <c r="E15" s="301"/>
      <c r="F15" s="301"/>
      <c r="G15" s="301"/>
      <c r="H15" s="301"/>
      <c r="I15" s="301"/>
      <c r="J15" s="301"/>
      <c r="K15" s="301"/>
      <c r="O15" s="604" t="s">
        <v>2835</v>
      </c>
      <c r="P15" s="1637" t="s">
        <v>3002</v>
      </c>
      <c r="Q15" s="1637"/>
      <c r="R15" s="600" t="s">
        <v>2944</v>
      </c>
    </row>
    <row r="16" spans="1:19" ht="24.6" customHeight="1">
      <c r="A16" s="84"/>
      <c r="B16" s="1467"/>
      <c r="C16" s="290" t="s">
        <v>7</v>
      </c>
      <c r="D16" s="265"/>
      <c r="E16" s="301"/>
      <c r="F16" s="417" t="s">
        <v>2890</v>
      </c>
      <c r="G16" s="417" t="s">
        <v>2984</v>
      </c>
      <c r="H16" s="417" t="s">
        <v>2985</v>
      </c>
      <c r="I16" s="301"/>
      <c r="J16" s="301"/>
      <c r="K16" s="301"/>
      <c r="O16" s="604" t="s">
        <v>2835</v>
      </c>
      <c r="P16" s="1637" t="s">
        <v>2873</v>
      </c>
      <c r="Q16" s="1637"/>
      <c r="R16" s="605" t="s">
        <v>3094</v>
      </c>
    </row>
    <row r="17" spans="1:19" ht="24.6" customHeight="1">
      <c r="A17" s="84"/>
      <c r="B17" s="1467"/>
      <c r="C17" s="163" t="s">
        <v>389</v>
      </c>
      <c r="D17" s="265"/>
      <c r="E17" s="301"/>
      <c r="F17" s="301"/>
      <c r="G17" s="301"/>
      <c r="H17" s="301"/>
      <c r="I17" s="301"/>
      <c r="J17" s="301"/>
      <c r="K17" s="301"/>
      <c r="O17" s="606" t="s">
        <v>2980</v>
      </c>
      <c r="P17" s="1637" t="s">
        <v>3005</v>
      </c>
      <c r="Q17" s="1637"/>
      <c r="R17" s="605" t="s">
        <v>2943</v>
      </c>
    </row>
    <row r="18" spans="1:19" ht="24.6" customHeight="1">
      <c r="A18" s="84"/>
      <c r="B18" s="1467"/>
      <c r="C18" s="325" t="s">
        <v>316</v>
      </c>
      <c r="D18" s="265"/>
      <c r="E18" s="301"/>
      <c r="F18" s="301"/>
      <c r="G18" s="301"/>
      <c r="H18" s="301"/>
      <c r="I18" s="301"/>
      <c r="J18" s="301"/>
      <c r="K18" s="301"/>
      <c r="O18" s="606" t="s">
        <v>2733</v>
      </c>
      <c r="P18" s="1637" t="s">
        <v>2993</v>
      </c>
      <c r="Q18" s="1637"/>
      <c r="R18" s="605" t="s">
        <v>2992</v>
      </c>
    </row>
    <row r="19" spans="1:19" ht="24.6" customHeight="1">
      <c r="A19" s="84"/>
      <c r="B19" s="1467" t="s">
        <v>287</v>
      </c>
      <c r="C19" s="324" t="s">
        <v>9</v>
      </c>
      <c r="D19" s="265"/>
      <c r="E19" s="301"/>
      <c r="F19" s="301"/>
      <c r="G19" s="301"/>
      <c r="H19" s="301"/>
      <c r="I19" s="301"/>
      <c r="J19" s="301"/>
      <c r="K19" s="301"/>
      <c r="O19" s="606" t="s">
        <v>3081</v>
      </c>
      <c r="P19" s="1637" t="s">
        <v>3083</v>
      </c>
      <c r="Q19" s="1637"/>
      <c r="R19" s="605" t="s">
        <v>3082</v>
      </c>
    </row>
    <row r="20" spans="1:19" ht="24" customHeight="1">
      <c r="A20" s="84"/>
      <c r="B20" s="1467"/>
      <c r="C20" s="290" t="s">
        <v>292</v>
      </c>
      <c r="D20" s="265"/>
      <c r="E20" s="301"/>
      <c r="F20" s="412" t="s">
        <v>2995</v>
      </c>
      <c r="G20" s="412" t="s">
        <v>2994</v>
      </c>
      <c r="H20" s="301"/>
      <c r="I20" s="1522" t="s">
        <v>2999</v>
      </c>
      <c r="J20" s="1523"/>
      <c r="K20" s="301"/>
      <c r="O20" s="606" t="s">
        <v>3081</v>
      </c>
      <c r="P20" s="1637" t="s">
        <v>3084</v>
      </c>
      <c r="Q20" s="1637"/>
      <c r="R20" s="605" t="s">
        <v>3085</v>
      </c>
    </row>
    <row r="21" spans="1:19" ht="24" customHeight="1">
      <c r="A21" s="84"/>
      <c r="B21" s="1467"/>
      <c r="C21" s="290"/>
      <c r="D21" s="265"/>
      <c r="E21" s="301"/>
      <c r="F21" s="301"/>
      <c r="G21" s="301"/>
      <c r="H21" s="1522" t="s">
        <v>3001</v>
      </c>
      <c r="I21" s="1523"/>
      <c r="J21" s="301"/>
      <c r="K21" s="301"/>
      <c r="O21" s="606" t="s">
        <v>3081</v>
      </c>
      <c r="P21" s="1637" t="s">
        <v>3089</v>
      </c>
      <c r="Q21" s="1637"/>
      <c r="R21" s="605" t="s">
        <v>3088</v>
      </c>
    </row>
    <row r="22" spans="1:19" ht="24" customHeight="1">
      <c r="A22" s="84"/>
      <c r="B22" s="1467"/>
      <c r="C22" s="325" t="s">
        <v>316</v>
      </c>
      <c r="D22" s="265"/>
      <c r="E22" s="301"/>
      <c r="F22" s="301"/>
      <c r="G22" s="301"/>
      <c r="H22" s="301"/>
      <c r="I22" s="301"/>
      <c r="J22" s="301"/>
      <c r="K22" s="301"/>
      <c r="O22" s="606" t="s">
        <v>2733</v>
      </c>
      <c r="P22" s="1636" t="s">
        <v>3007</v>
      </c>
      <c r="Q22" s="1636"/>
      <c r="R22" s="605"/>
    </row>
    <row r="23" spans="1:19" ht="24.6" customHeight="1">
      <c r="A23" s="84"/>
      <c r="B23" s="500" t="s">
        <v>317</v>
      </c>
      <c r="C23" s="125" t="s">
        <v>228</v>
      </c>
      <c r="D23" s="265"/>
      <c r="E23" s="301"/>
      <c r="F23" s="301"/>
      <c r="G23" s="301"/>
      <c r="H23" s="301"/>
      <c r="I23" s="301"/>
      <c r="J23" s="301"/>
      <c r="K23" s="301"/>
      <c r="O23" s="606" t="s">
        <v>2954</v>
      </c>
      <c r="P23" s="1636" t="s">
        <v>2939</v>
      </c>
      <c r="Q23" s="1636"/>
      <c r="R23" s="614" t="s">
        <v>3092</v>
      </c>
      <c r="S23" s="84"/>
    </row>
    <row r="24" spans="1:19" ht="24.6" customHeight="1">
      <c r="A24" s="84"/>
      <c r="B24" s="84"/>
      <c r="C24" s="5"/>
      <c r="D24" s="5"/>
      <c r="E24" s="26">
        <f>K14+1</f>
        <v>10</v>
      </c>
      <c r="F24" s="175">
        <f t="shared" ref="F24:K24" si="1">E24+1</f>
        <v>11</v>
      </c>
      <c r="G24" s="175">
        <f t="shared" si="1"/>
        <v>12</v>
      </c>
      <c r="H24" s="175">
        <f t="shared" si="1"/>
        <v>13</v>
      </c>
      <c r="I24" s="175">
        <f t="shared" si="1"/>
        <v>14</v>
      </c>
      <c r="J24" s="175">
        <f t="shared" si="1"/>
        <v>15</v>
      </c>
      <c r="K24" s="175">
        <f t="shared" si="1"/>
        <v>16</v>
      </c>
      <c r="M24" s="203"/>
      <c r="N24" s="203"/>
      <c r="O24" s="604" t="s">
        <v>2835</v>
      </c>
      <c r="P24" s="1636" t="s">
        <v>3004</v>
      </c>
      <c r="Q24" s="1636"/>
      <c r="R24" s="614" t="s">
        <v>3095</v>
      </c>
    </row>
    <row r="25" spans="1:19" ht="24.6" customHeight="1">
      <c r="A25" s="84"/>
      <c r="B25" s="1467" t="s">
        <v>286</v>
      </c>
      <c r="C25" s="324" t="s">
        <v>9</v>
      </c>
      <c r="D25" s="265"/>
      <c r="E25" s="499"/>
      <c r="F25" s="499"/>
      <c r="G25" s="499"/>
      <c r="H25" s="499"/>
      <c r="I25" s="499"/>
      <c r="J25" s="499"/>
      <c r="K25" s="499"/>
      <c r="O25" s="604" t="s">
        <v>2835</v>
      </c>
      <c r="P25" s="1636" t="s">
        <v>2918</v>
      </c>
      <c r="Q25" s="1636"/>
      <c r="R25" s="614" t="s">
        <v>3093</v>
      </c>
    </row>
    <row r="26" spans="1:19" ht="24.6" customHeight="1">
      <c r="A26" s="84"/>
      <c r="B26" s="1467"/>
      <c r="C26" s="290" t="s">
        <v>7</v>
      </c>
      <c r="D26" s="265"/>
      <c r="E26" s="499"/>
      <c r="F26" s="417" t="s">
        <v>2986</v>
      </c>
      <c r="G26" s="417" t="s">
        <v>2987</v>
      </c>
      <c r="H26" s="617"/>
      <c r="I26" s="417" t="s">
        <v>2924</v>
      </c>
      <c r="J26" s="417" t="s">
        <v>2925</v>
      </c>
      <c r="K26" s="499"/>
      <c r="L26" s="84"/>
      <c r="M26" s="84"/>
      <c r="N26" s="84"/>
      <c r="O26" s="603" t="s">
        <v>2906</v>
      </c>
      <c r="P26" s="1636" t="s">
        <v>2989</v>
      </c>
      <c r="Q26" s="1636"/>
      <c r="R26" s="615" t="s">
        <v>2942</v>
      </c>
      <c r="S26" s="84"/>
    </row>
    <row r="27" spans="1:19" ht="24.6" customHeight="1">
      <c r="A27" s="84"/>
      <c r="B27" s="1467"/>
      <c r="C27" s="163" t="s">
        <v>389</v>
      </c>
      <c r="D27" s="265"/>
      <c r="E27" s="499"/>
      <c r="F27" s="499"/>
      <c r="G27" s="499"/>
      <c r="H27" s="499"/>
      <c r="I27" s="499"/>
      <c r="J27" s="499"/>
      <c r="K27" s="499"/>
      <c r="L27" s="84"/>
      <c r="M27" s="84"/>
      <c r="N27" s="84"/>
      <c r="S27" s="84"/>
    </row>
    <row r="28" spans="1:19" ht="24.6" customHeight="1">
      <c r="A28" s="84"/>
      <c r="B28" s="1467"/>
      <c r="C28" s="325" t="s">
        <v>316</v>
      </c>
      <c r="D28" s="265"/>
      <c r="E28" s="499"/>
      <c r="F28" s="499"/>
      <c r="G28" s="499"/>
      <c r="H28" s="499"/>
      <c r="I28" s="499"/>
      <c r="J28" s="499"/>
      <c r="K28" s="499"/>
      <c r="L28" s="84"/>
      <c r="M28" s="84"/>
      <c r="N28" s="84"/>
      <c r="S28" s="84"/>
    </row>
    <row r="29" spans="1:19" ht="24.6" customHeight="1">
      <c r="A29" s="84"/>
      <c r="B29" s="1467" t="s">
        <v>287</v>
      </c>
      <c r="C29" s="324" t="s">
        <v>9</v>
      </c>
      <c r="D29" s="265"/>
      <c r="E29" s="499"/>
      <c r="F29" s="499"/>
      <c r="G29" s="499"/>
      <c r="H29" s="617"/>
      <c r="I29" s="1540" t="s">
        <v>3096</v>
      </c>
      <c r="J29" s="1638"/>
      <c r="K29" s="618"/>
      <c r="L29" s="84"/>
      <c r="M29" s="84"/>
      <c r="N29" s="84"/>
      <c r="S29" s="84"/>
    </row>
    <row r="30" spans="1:19" ht="24.6" customHeight="1">
      <c r="A30" s="84"/>
      <c r="B30" s="1467"/>
      <c r="C30" s="290" t="s">
        <v>292</v>
      </c>
      <c r="D30" s="265"/>
      <c r="E30" s="499"/>
      <c r="F30" s="616"/>
      <c r="G30" s="616"/>
      <c r="H30" s="1522" t="s">
        <v>3003</v>
      </c>
      <c r="I30" s="1523"/>
      <c r="J30" s="617"/>
      <c r="K30" s="613"/>
      <c r="L30" s="84"/>
      <c r="M30" s="84"/>
      <c r="N30" s="84"/>
      <c r="S30" s="84"/>
    </row>
    <row r="31" spans="1:19" ht="24.6" customHeight="1">
      <c r="A31" s="84"/>
      <c r="B31" s="1467"/>
      <c r="C31" s="290"/>
      <c r="D31" s="265"/>
      <c r="E31" s="499"/>
      <c r="F31" s="1522" t="s">
        <v>3006</v>
      </c>
      <c r="G31" s="1523"/>
      <c r="H31" s="617"/>
      <c r="I31" s="609"/>
      <c r="J31" s="499"/>
      <c r="K31" s="499"/>
      <c r="L31" s="84"/>
      <c r="M31" s="84"/>
      <c r="N31" s="84"/>
      <c r="S31" s="84"/>
    </row>
    <row r="32" spans="1:19" ht="24.6" customHeight="1">
      <c r="A32" s="84"/>
      <c r="B32" s="1467"/>
      <c r="C32" s="325" t="s">
        <v>316</v>
      </c>
      <c r="D32" s="265"/>
      <c r="E32" s="499"/>
      <c r="F32" s="610"/>
      <c r="G32" s="610"/>
      <c r="H32" s="610"/>
      <c r="I32" s="610"/>
      <c r="J32" s="325" t="s">
        <v>3008</v>
      </c>
      <c r="K32" s="556"/>
      <c r="L32" s="84"/>
      <c r="M32" s="84"/>
      <c r="N32" s="84"/>
      <c r="S32" s="84"/>
    </row>
    <row r="33" spans="1:19" ht="24.6" customHeight="1">
      <c r="A33" s="84"/>
      <c r="B33" s="500" t="s">
        <v>317</v>
      </c>
      <c r="C33" s="125" t="s">
        <v>228</v>
      </c>
      <c r="D33" s="265"/>
      <c r="E33" s="499"/>
      <c r="F33" s="499"/>
      <c r="G33" s="617"/>
      <c r="H33" s="125" t="s">
        <v>3080</v>
      </c>
      <c r="I33" s="617"/>
      <c r="J33" s="499"/>
      <c r="K33" s="499"/>
      <c r="L33" s="84"/>
      <c r="M33" s="84"/>
      <c r="N33" s="84"/>
      <c r="S33" s="84"/>
    </row>
    <row r="34" spans="1:19" ht="24.6" customHeight="1">
      <c r="A34" s="84"/>
      <c r="B34" s="84"/>
      <c r="C34" s="5"/>
      <c r="D34" s="5"/>
      <c r="E34" s="266">
        <f>K24+1</f>
        <v>17</v>
      </c>
      <c r="F34" s="304">
        <f t="shared" ref="F34:K34" si="2">E34+1</f>
        <v>18</v>
      </c>
      <c r="G34" s="304">
        <f t="shared" si="2"/>
        <v>19</v>
      </c>
      <c r="H34" s="304">
        <f t="shared" si="2"/>
        <v>20</v>
      </c>
      <c r="I34" s="304">
        <f t="shared" si="2"/>
        <v>21</v>
      </c>
      <c r="J34" s="304">
        <f t="shared" si="2"/>
        <v>22</v>
      </c>
      <c r="K34" s="65">
        <f t="shared" si="2"/>
        <v>23</v>
      </c>
      <c r="L34" s="84"/>
      <c r="M34" s="84"/>
      <c r="N34" s="84"/>
      <c r="S34" s="84"/>
    </row>
    <row r="35" spans="1:19" ht="24.6" customHeight="1">
      <c r="A35" s="84"/>
      <c r="B35" s="1467" t="s">
        <v>286</v>
      </c>
      <c r="C35" s="324" t="s">
        <v>9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S35" s="84"/>
    </row>
    <row r="36" spans="1:19" ht="24.6" customHeight="1">
      <c r="A36" s="84"/>
      <c r="B36" s="1467"/>
      <c r="C36" s="290" t="s">
        <v>7</v>
      </c>
      <c r="D36" s="265"/>
      <c r="E36" s="301"/>
      <c r="F36" s="301"/>
      <c r="G36" s="301"/>
      <c r="H36" s="301"/>
      <c r="I36" s="417" t="s">
        <v>2926</v>
      </c>
      <c r="J36" s="417" t="s">
        <v>2927</v>
      </c>
      <c r="K36" s="301"/>
      <c r="L36" s="84"/>
      <c r="M36" s="84"/>
      <c r="N36" s="84"/>
      <c r="S36" s="84"/>
    </row>
    <row r="37" spans="1:19" ht="24.6" customHeight="1">
      <c r="A37" s="84"/>
      <c r="B37" s="1467"/>
      <c r="C37" s="163" t="s">
        <v>389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S37" s="84"/>
    </row>
    <row r="38" spans="1:19" ht="24.6" customHeight="1">
      <c r="A38" s="84"/>
      <c r="B38" s="1467"/>
      <c r="C38" s="325" t="s">
        <v>316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S38" s="84"/>
    </row>
    <row r="39" spans="1:19" ht="24" customHeight="1">
      <c r="A39" s="84"/>
      <c r="B39" s="1467" t="s">
        <v>287</v>
      </c>
      <c r="C39" s="324" t="s">
        <v>9</v>
      </c>
      <c r="D39" s="265"/>
      <c r="E39" s="301"/>
      <c r="F39" s="1556" t="s">
        <v>3096</v>
      </c>
      <c r="G39" s="1574"/>
      <c r="H39" s="301"/>
      <c r="I39" s="1556" t="s">
        <v>3098</v>
      </c>
      <c r="J39" s="1574"/>
      <c r="K39" s="301"/>
      <c r="L39" s="84"/>
      <c r="M39" s="84"/>
      <c r="N39" s="84"/>
      <c r="S39" s="84"/>
    </row>
    <row r="40" spans="1:19" ht="24" customHeight="1">
      <c r="A40" s="84"/>
      <c r="B40" s="1467"/>
      <c r="C40" s="324"/>
      <c r="D40" s="265"/>
      <c r="E40" s="301"/>
      <c r="F40" s="301"/>
      <c r="G40" s="301"/>
      <c r="H40" s="1556" t="s">
        <v>3097</v>
      </c>
      <c r="I40" s="1557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290" t="s">
        <v>292</v>
      </c>
      <c r="D41" s="265"/>
      <c r="E41" s="301"/>
      <c r="F41" s="412" t="s">
        <v>3087</v>
      </c>
      <c r="G41" s="412" t="s">
        <v>3086</v>
      </c>
      <c r="H41" s="412" t="s">
        <v>3090</v>
      </c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290"/>
      <c r="D42" s="265"/>
      <c r="E42" s="301"/>
      <c r="F42" s="301"/>
      <c r="G42" s="301"/>
      <c r="H42" s="301"/>
      <c r="I42" s="301"/>
      <c r="J42" s="301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325" t="s">
        <v>316</v>
      </c>
      <c r="D43" s="265"/>
      <c r="E43" s="301"/>
      <c r="F43" s="325" t="s">
        <v>3008</v>
      </c>
      <c r="G43" s="325" t="s">
        <v>3021</v>
      </c>
      <c r="H43" s="325" t="s">
        <v>3022</v>
      </c>
      <c r="I43" s="325" t="s">
        <v>3023</v>
      </c>
      <c r="J43" s="325" t="s">
        <v>3024</v>
      </c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500" t="s">
        <v>317</v>
      </c>
      <c r="C44" s="125" t="s">
        <v>228</v>
      </c>
      <c r="D44" s="265"/>
      <c r="E44" s="345"/>
      <c r="F44" s="125" t="s">
        <v>3080</v>
      </c>
      <c r="G44" s="301"/>
      <c r="H44" s="125" t="s">
        <v>3080</v>
      </c>
      <c r="I44" s="301"/>
      <c r="J44" s="301"/>
      <c r="K44" s="301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269"/>
      <c r="D45" s="265"/>
      <c r="E45" s="26">
        <f>K34+1</f>
        <v>24</v>
      </c>
      <c r="F45" s="175">
        <f t="shared" ref="F45:K45" si="3">E45+1</f>
        <v>25</v>
      </c>
      <c r="G45" s="175">
        <f t="shared" si="3"/>
        <v>26</v>
      </c>
      <c r="H45" s="175">
        <f t="shared" si="3"/>
        <v>27</v>
      </c>
      <c r="I45" s="175">
        <f t="shared" si="3"/>
        <v>28</v>
      </c>
      <c r="J45" s="175">
        <f t="shared" si="3"/>
        <v>29</v>
      </c>
      <c r="K45" s="175">
        <f t="shared" si="3"/>
        <v>30</v>
      </c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324" t="s">
        <v>9</v>
      </c>
      <c r="D46" s="265"/>
      <c r="E46" s="499"/>
      <c r="F46" s="499"/>
      <c r="G46" s="499"/>
      <c r="H46" s="499"/>
      <c r="I46" s="499"/>
      <c r="J46" s="499"/>
      <c r="K46" s="499"/>
      <c r="L46" s="84"/>
      <c r="M46" s="84"/>
      <c r="N46" s="84"/>
      <c r="O46" s="84"/>
      <c r="P46" s="1522"/>
      <c r="Q46" s="1545"/>
      <c r="R46" s="84"/>
      <c r="S46" s="84"/>
    </row>
    <row r="47" spans="1:19" ht="24.6" customHeight="1">
      <c r="A47" s="84"/>
      <c r="B47" s="1467"/>
      <c r="C47" s="290" t="s">
        <v>7</v>
      </c>
      <c r="D47" s="265"/>
      <c r="E47" s="499"/>
      <c r="F47" s="417" t="s">
        <v>2928</v>
      </c>
      <c r="G47" s="417" t="s">
        <v>2929</v>
      </c>
      <c r="H47" s="619"/>
      <c r="I47" s="499"/>
      <c r="J47" s="499"/>
      <c r="K47" s="499"/>
      <c r="L47" s="84"/>
      <c r="M47" s="84"/>
      <c r="N47" s="84"/>
      <c r="O47" s="84"/>
      <c r="P47" s="1522"/>
      <c r="Q47" s="1523"/>
      <c r="R47" s="84"/>
      <c r="S47" s="84"/>
    </row>
    <row r="48" spans="1:19" ht="24.6" customHeight="1">
      <c r="A48" s="84"/>
      <c r="B48" s="1467"/>
      <c r="C48" s="163" t="s">
        <v>389</v>
      </c>
      <c r="D48" s="265"/>
      <c r="E48" s="499"/>
      <c r="F48" s="499"/>
      <c r="G48" s="499"/>
      <c r="H48" s="499"/>
      <c r="I48" s="499"/>
      <c r="J48" s="499"/>
      <c r="K48" s="499"/>
      <c r="L48" s="84"/>
      <c r="M48" s="84"/>
      <c r="N48" s="84"/>
      <c r="O48" s="84"/>
      <c r="P48" s="1522"/>
      <c r="Q48" s="1545"/>
      <c r="R48" s="84"/>
      <c r="S48" s="84"/>
    </row>
    <row r="49" spans="1:19" ht="24.6" customHeight="1">
      <c r="A49" s="84"/>
      <c r="B49" s="1467"/>
      <c r="C49" s="325" t="s">
        <v>316</v>
      </c>
      <c r="D49" s="265"/>
      <c r="E49" s="499"/>
      <c r="F49" s="499"/>
      <c r="G49" s="499"/>
      <c r="H49" s="499"/>
      <c r="I49" s="499"/>
      <c r="J49" s="499"/>
      <c r="K49" s="499"/>
      <c r="L49" s="84"/>
      <c r="M49" s="84"/>
      <c r="N49" s="84"/>
      <c r="O49" s="84"/>
      <c r="P49" s="1522"/>
      <c r="Q49" s="1523"/>
      <c r="R49" s="84"/>
      <c r="S49" s="84"/>
    </row>
    <row r="50" spans="1:19" ht="24.6" customHeight="1">
      <c r="A50" s="84"/>
      <c r="B50" s="1467" t="s">
        <v>287</v>
      </c>
      <c r="C50" s="324" t="s">
        <v>9</v>
      </c>
      <c r="D50" s="265"/>
      <c r="E50" s="499"/>
      <c r="F50" s="1556" t="s">
        <v>3099</v>
      </c>
      <c r="G50" s="1557"/>
      <c r="H50" s="499"/>
      <c r="I50" s="499"/>
      <c r="J50" s="499"/>
      <c r="K50" s="499"/>
      <c r="L50" s="84"/>
      <c r="M50" s="84"/>
      <c r="N50" s="84"/>
      <c r="O50" s="84"/>
      <c r="P50" s="1522"/>
      <c r="Q50" s="1523"/>
      <c r="R50" s="84"/>
      <c r="S50" s="84"/>
    </row>
    <row r="51" spans="1:19" ht="24.6" customHeight="1">
      <c r="A51" s="84"/>
      <c r="B51" s="1467"/>
      <c r="C51" s="324"/>
      <c r="D51" s="265"/>
      <c r="E51" s="620"/>
      <c r="F51" s="620"/>
      <c r="G51" s="1556" t="s">
        <v>3101</v>
      </c>
      <c r="H51" s="1574"/>
      <c r="I51" s="620"/>
      <c r="J51" s="620"/>
      <c r="K51" s="620"/>
      <c r="L51" s="84"/>
      <c r="M51" s="84"/>
      <c r="N51" s="84"/>
      <c r="O51" s="84"/>
      <c r="P51" s="621"/>
      <c r="Q51" s="621"/>
      <c r="R51" s="84"/>
      <c r="S51" s="84"/>
    </row>
    <row r="52" spans="1:19" ht="24.6" customHeight="1">
      <c r="A52" s="84"/>
      <c r="B52" s="1467"/>
      <c r="C52" s="290" t="s">
        <v>292</v>
      </c>
      <c r="D52" s="265"/>
      <c r="E52" s="499"/>
      <c r="F52" s="1522" t="s">
        <v>3100</v>
      </c>
      <c r="G52" s="1545"/>
      <c r="H52" s="499"/>
      <c r="I52" s="499"/>
      <c r="J52" s="499"/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290"/>
      <c r="D53" s="265"/>
      <c r="E53" s="499"/>
      <c r="F53" s="505"/>
      <c r="G53" s="613"/>
      <c r="H53" s="613"/>
      <c r="I53" s="499"/>
      <c r="J53" s="499"/>
      <c r="K53" s="499"/>
      <c r="L53" s="84"/>
      <c r="M53" s="84"/>
      <c r="N53" s="84"/>
      <c r="O53" s="84"/>
      <c r="P53" s="84"/>
      <c r="Q53" s="84"/>
      <c r="R53" s="84"/>
      <c r="S53" s="84"/>
    </row>
    <row r="54" spans="1:19" ht="24" customHeight="1">
      <c r="A54" s="84"/>
      <c r="B54" s="1467"/>
      <c r="C54" s="325" t="s">
        <v>316</v>
      </c>
      <c r="D54" s="265"/>
      <c r="E54" s="499"/>
      <c r="F54" s="325" t="s">
        <v>3025</v>
      </c>
      <c r="G54" s="325" t="s">
        <v>3009</v>
      </c>
      <c r="H54" s="325" t="s">
        <v>3026</v>
      </c>
      <c r="I54" s="499"/>
      <c r="J54" s="499"/>
      <c r="K54" s="499"/>
      <c r="L54" s="84"/>
      <c r="M54" s="84"/>
      <c r="N54" s="84"/>
      <c r="S54" s="84"/>
    </row>
    <row r="55" spans="1:19" ht="24.6" customHeight="1">
      <c r="A55" s="84"/>
      <c r="B55" s="500" t="s">
        <v>317</v>
      </c>
      <c r="C55" s="125" t="s">
        <v>228</v>
      </c>
      <c r="D55" s="265"/>
      <c r="E55" s="499"/>
      <c r="F55" s="499"/>
      <c r="G55" s="499"/>
      <c r="H55" s="499"/>
      <c r="I55" s="125" t="s">
        <v>2604</v>
      </c>
      <c r="J55" s="125" t="s">
        <v>15</v>
      </c>
      <c r="K55" s="125" t="s">
        <v>15</v>
      </c>
      <c r="L55" s="84"/>
      <c r="M55" s="84"/>
      <c r="N55" s="84"/>
      <c r="S55" s="84"/>
    </row>
  </sheetData>
  <mergeCells count="46">
    <mergeCell ref="P50:Q50"/>
    <mergeCell ref="P46:Q46"/>
    <mergeCell ref="P47:Q47"/>
    <mergeCell ref="P48:Q48"/>
    <mergeCell ref="P49:Q49"/>
    <mergeCell ref="P26:Q26"/>
    <mergeCell ref="P19:Q19"/>
    <mergeCell ref="P20:Q20"/>
    <mergeCell ref="P21:Q21"/>
    <mergeCell ref="P18:Q18"/>
    <mergeCell ref="P15:Q15"/>
    <mergeCell ref="P16:Q16"/>
    <mergeCell ref="P24:Q24"/>
    <mergeCell ref="P25:Q25"/>
    <mergeCell ref="P13:Q13"/>
    <mergeCell ref="P14:Q14"/>
    <mergeCell ref="P22:Q22"/>
    <mergeCell ref="P23:Q23"/>
    <mergeCell ref="P17:Q17"/>
    <mergeCell ref="P10:Q10"/>
    <mergeCell ref="P11:Q11"/>
    <mergeCell ref="P12:Q12"/>
    <mergeCell ref="P9:Q9"/>
    <mergeCell ref="E3:G3"/>
    <mergeCell ref="H3:K3"/>
    <mergeCell ref="I20:J20"/>
    <mergeCell ref="B25:B28"/>
    <mergeCell ref="B29:B32"/>
    <mergeCell ref="B35:B38"/>
    <mergeCell ref="H21:I21"/>
    <mergeCell ref="F31:G31"/>
    <mergeCell ref="H30:I30"/>
    <mergeCell ref="I29:J29"/>
    <mergeCell ref="B6:B9"/>
    <mergeCell ref="B10:B12"/>
    <mergeCell ref="B15:B18"/>
    <mergeCell ref="B19:B22"/>
    <mergeCell ref="B39:B43"/>
    <mergeCell ref="F39:G39"/>
    <mergeCell ref="F52:G52"/>
    <mergeCell ref="H40:I40"/>
    <mergeCell ref="I39:J39"/>
    <mergeCell ref="B46:B49"/>
    <mergeCell ref="B50:B54"/>
    <mergeCell ref="F50:G50"/>
    <mergeCell ref="G51:H51"/>
  </mergeCells>
  <phoneticPr fontId="6" type="noConversion"/>
  <pageMargins left="0.7" right="0.7" top="0.75" bottom="0.75" header="0.3" footer="0.3"/>
  <pageSetup paperSize="9" scale="38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4">
    <pageSetUpPr fitToPage="1"/>
  </sheetPr>
  <dimension ref="A1:S59"/>
  <sheetViews>
    <sheetView topLeftCell="A25" zoomScale="55" zoomScaleNormal="55" workbookViewId="0">
      <selection activeCell="F64" sqref="F64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45200</v>
      </c>
      <c r="F3" s="1450"/>
      <c r="G3" s="1450"/>
      <c r="H3" s="1451" t="s">
        <v>2583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>
        <v>1</v>
      </c>
      <c r="F5" s="175">
        <v>2</v>
      </c>
      <c r="G5" s="175">
        <v>3</v>
      </c>
      <c r="H5" s="175">
        <v>4</v>
      </c>
      <c r="I5" s="175">
        <v>5</v>
      </c>
      <c r="J5" s="175">
        <v>6</v>
      </c>
      <c r="K5" s="175">
        <v>7</v>
      </c>
      <c r="L5" s="90"/>
      <c r="M5" s="90"/>
      <c r="N5" s="90"/>
      <c r="R5" s="11"/>
      <c r="S5" s="90"/>
    </row>
    <row r="6" spans="1:19" s="5" customFormat="1" ht="24.6" customHeight="1">
      <c r="B6" s="1467" t="s">
        <v>2584</v>
      </c>
      <c r="C6" s="324" t="s">
        <v>2585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99"/>
      <c r="H7" s="624"/>
      <c r="I7" s="417" t="s">
        <v>3149</v>
      </c>
      <c r="J7" s="417" t="s">
        <v>3150</v>
      </c>
      <c r="K7" s="49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2595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2581</v>
      </c>
      <c r="D9" s="265"/>
      <c r="E9" s="499"/>
      <c r="F9" s="499"/>
      <c r="G9" s="499"/>
      <c r="H9" s="620"/>
      <c r="I9" s="620"/>
      <c r="J9" s="499"/>
      <c r="K9" s="499"/>
      <c r="L9" s="90"/>
      <c r="M9" s="90"/>
      <c r="N9" s="90"/>
      <c r="R9" s="11"/>
      <c r="S9" s="90"/>
    </row>
    <row r="10" spans="1:19" s="5" customFormat="1" ht="24.6" customHeight="1">
      <c r="B10" s="1467" t="s">
        <v>2593</v>
      </c>
      <c r="C10" s="324" t="s">
        <v>2585</v>
      </c>
      <c r="D10" s="265"/>
      <c r="E10" s="499"/>
      <c r="F10" s="610"/>
      <c r="G10" s="610"/>
      <c r="H10" s="1556" t="s">
        <v>3111</v>
      </c>
      <c r="I10" s="1557"/>
      <c r="J10" s="1556" t="s">
        <v>3112</v>
      </c>
      <c r="K10" s="1574"/>
      <c r="L10" s="90"/>
      <c r="M10" s="90"/>
      <c r="N10" s="90"/>
      <c r="R10" s="11"/>
      <c r="S10" s="90"/>
    </row>
    <row r="11" spans="1:19" s="5" customFormat="1" ht="24.6" customHeight="1">
      <c r="B11" s="1467"/>
      <c r="C11" s="324"/>
      <c r="D11" s="265"/>
      <c r="E11" s="499"/>
      <c r="F11" s="499"/>
      <c r="G11" s="499"/>
      <c r="H11" s="499"/>
      <c r="I11" s="611"/>
      <c r="J11" s="611"/>
      <c r="K11" s="499"/>
      <c r="L11" s="90"/>
      <c r="M11" s="90"/>
      <c r="N11" s="90"/>
      <c r="R11" s="11"/>
      <c r="S11" s="90"/>
    </row>
    <row r="12" spans="1:19" s="5" customFormat="1" ht="24.6" customHeight="1">
      <c r="B12" s="1467"/>
      <c r="C12" s="290" t="s">
        <v>2592</v>
      </c>
      <c r="D12" s="265"/>
      <c r="E12" s="499"/>
      <c r="F12" s="610"/>
      <c r="G12" s="610"/>
      <c r="H12" s="624"/>
      <c r="I12" s="1522" t="s">
        <v>3110</v>
      </c>
      <c r="J12" s="1545"/>
      <c r="K12" s="499"/>
      <c r="L12" s="90"/>
      <c r="M12" s="90"/>
      <c r="N12" s="90"/>
      <c r="R12" s="11"/>
      <c r="S12" s="90"/>
    </row>
    <row r="13" spans="1:19" s="5" customFormat="1" ht="24.6" customHeight="1">
      <c r="B13" s="1467"/>
      <c r="C13" s="290"/>
      <c r="D13" s="265"/>
      <c r="E13" s="499"/>
      <c r="F13" s="505"/>
      <c r="G13" s="499"/>
      <c r="H13" s="412" t="s">
        <v>3113</v>
      </c>
      <c r="I13" s="624"/>
      <c r="J13" s="624"/>
      <c r="K13" s="499"/>
      <c r="L13" s="90"/>
      <c r="M13" s="90"/>
      <c r="N13" s="90"/>
      <c r="R13" s="11"/>
      <c r="S13" s="90"/>
    </row>
    <row r="14" spans="1:19" s="5" customFormat="1" ht="24.6" customHeight="1">
      <c r="B14" s="1467"/>
      <c r="C14" s="325" t="s">
        <v>2581</v>
      </c>
      <c r="D14" s="265"/>
      <c r="E14" s="499"/>
      <c r="F14" s="505"/>
      <c r="G14" s="499"/>
      <c r="H14" s="325" t="s">
        <v>3027</v>
      </c>
      <c r="I14" s="325" t="s">
        <v>3028</v>
      </c>
      <c r="J14" s="325" t="s">
        <v>3029</v>
      </c>
      <c r="K14" s="499"/>
      <c r="L14" s="90"/>
      <c r="M14" s="90"/>
      <c r="N14" s="90"/>
      <c r="R14" s="11"/>
      <c r="S14" s="90"/>
    </row>
    <row r="15" spans="1:19" s="5" customFormat="1" ht="24.6" customHeight="1">
      <c r="B15" s="500" t="s">
        <v>2580</v>
      </c>
      <c r="C15" s="125" t="s">
        <v>2579</v>
      </c>
      <c r="D15" s="265"/>
      <c r="E15" s="499"/>
      <c r="F15" s="125" t="s">
        <v>2801</v>
      </c>
      <c r="G15" s="125" t="s">
        <v>2605</v>
      </c>
      <c r="H15" s="499"/>
      <c r="I15" s="499"/>
      <c r="J15" s="499"/>
      <c r="K15" s="499"/>
      <c r="L15" s="90"/>
      <c r="M15" s="90"/>
      <c r="N15" s="90"/>
      <c r="R15" s="11"/>
      <c r="S15" s="90"/>
    </row>
    <row r="16" spans="1:19" ht="24.6" customHeight="1">
      <c r="A16" s="84"/>
      <c r="B16" s="84"/>
      <c r="C16" s="5"/>
      <c r="D16" s="5"/>
      <c r="E16" s="266">
        <f>K5+1</f>
        <v>8</v>
      </c>
      <c r="F16" s="65">
        <f t="shared" ref="F16:K16" si="0">E16+1</f>
        <v>9</v>
      </c>
      <c r="G16" s="65">
        <f t="shared" si="0"/>
        <v>10</v>
      </c>
      <c r="H16" s="65">
        <f t="shared" si="0"/>
        <v>11</v>
      </c>
      <c r="I16" s="65">
        <f t="shared" si="0"/>
        <v>12</v>
      </c>
      <c r="J16" s="65">
        <f t="shared" si="0"/>
        <v>13</v>
      </c>
      <c r="K16" s="65">
        <f t="shared" si="0"/>
        <v>14</v>
      </c>
    </row>
    <row r="17" spans="1:19" ht="24.6" customHeight="1">
      <c r="A17" s="84"/>
      <c r="B17" s="1467" t="s">
        <v>2584</v>
      </c>
      <c r="C17" s="324" t="s">
        <v>2585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290" t="s">
        <v>7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/>
      <c r="C19" s="163" t="s">
        <v>2595</v>
      </c>
      <c r="D19" s="265"/>
      <c r="E19" s="301"/>
      <c r="F19" s="301"/>
      <c r="G19" s="301"/>
      <c r="H19" s="301"/>
      <c r="I19" s="301"/>
      <c r="J19" s="301"/>
      <c r="K19" s="301"/>
    </row>
    <row r="20" spans="1:19" ht="24.6" customHeight="1">
      <c r="A20" s="84"/>
      <c r="B20" s="1467"/>
      <c r="C20" s="325" t="s">
        <v>2581</v>
      </c>
      <c r="D20" s="265"/>
      <c r="E20" s="301"/>
      <c r="F20" s="301"/>
      <c r="G20" s="301"/>
      <c r="H20" s="301"/>
      <c r="I20" s="301"/>
      <c r="J20" s="301"/>
      <c r="K20" s="301"/>
    </row>
    <row r="21" spans="1:19" ht="24.6" customHeight="1">
      <c r="A21" s="84"/>
      <c r="B21" s="1467" t="s">
        <v>2593</v>
      </c>
      <c r="C21" s="324" t="s">
        <v>2585</v>
      </c>
      <c r="D21" s="265"/>
      <c r="E21" s="301"/>
      <c r="F21" s="301"/>
      <c r="G21" s="1556" t="s">
        <v>3114</v>
      </c>
      <c r="H21" s="1557"/>
      <c r="I21" s="301"/>
      <c r="J21" s="301"/>
      <c r="K21" s="301"/>
    </row>
    <row r="22" spans="1:19" ht="24.6" customHeight="1">
      <c r="A22" s="84"/>
      <c r="B22" s="1467"/>
      <c r="C22" s="324"/>
      <c r="D22" s="265"/>
      <c r="E22" s="301"/>
      <c r="F22" s="301"/>
      <c r="G22" s="301"/>
      <c r="H22" s="1556" t="s">
        <v>3115</v>
      </c>
      <c r="I22" s="1557"/>
      <c r="J22" s="301"/>
      <c r="K22" s="301"/>
    </row>
    <row r="23" spans="1:19" ht="24" customHeight="1">
      <c r="A23" s="84"/>
      <c r="B23" s="1467"/>
      <c r="C23" s="290" t="s">
        <v>2592</v>
      </c>
      <c r="D23" s="265"/>
      <c r="E23" s="301"/>
      <c r="F23" s="301" t="s">
        <v>2606</v>
      </c>
      <c r="G23" s="1578" t="s">
        <v>3102</v>
      </c>
      <c r="H23" s="1578"/>
      <c r="I23" s="301"/>
      <c r="J23" s="301"/>
      <c r="K23" s="301"/>
    </row>
    <row r="24" spans="1:19" ht="24" customHeight="1">
      <c r="A24" s="84"/>
      <c r="B24" s="1467"/>
      <c r="C24" s="290"/>
      <c r="D24" s="265"/>
      <c r="E24" s="301"/>
      <c r="F24" s="301"/>
      <c r="G24" s="301"/>
      <c r="H24" s="301"/>
      <c r="I24" s="1522" t="s">
        <v>3103</v>
      </c>
      <c r="J24" s="1523"/>
      <c r="K24" s="301"/>
    </row>
    <row r="25" spans="1:19" ht="24" customHeight="1">
      <c r="A25" s="84"/>
      <c r="B25" s="1467"/>
      <c r="C25" s="325" t="s">
        <v>2581</v>
      </c>
      <c r="D25" s="265"/>
      <c r="E25" s="301"/>
      <c r="F25" s="301"/>
      <c r="G25" s="325" t="s">
        <v>3029</v>
      </c>
      <c r="H25" s="325" t="s">
        <v>3030</v>
      </c>
      <c r="I25" s="325" t="s">
        <v>3030</v>
      </c>
      <c r="J25" s="325" t="s">
        <v>3030</v>
      </c>
      <c r="K25" s="301"/>
    </row>
    <row r="26" spans="1:19" ht="24.6" customHeight="1">
      <c r="A26" s="84"/>
      <c r="B26" s="500" t="s">
        <v>2580</v>
      </c>
      <c r="C26" s="125" t="s">
        <v>2607</v>
      </c>
      <c r="D26" s="265"/>
      <c r="E26" s="301"/>
      <c r="F26" s="125" t="s">
        <v>2608</v>
      </c>
      <c r="G26" s="301"/>
      <c r="H26" s="301"/>
      <c r="I26" s="301"/>
      <c r="J26" s="301"/>
      <c r="K26" s="301"/>
    </row>
    <row r="27" spans="1:19" ht="24.6" customHeight="1">
      <c r="A27" s="84"/>
      <c r="B27" s="84"/>
      <c r="C27" s="5"/>
      <c r="D27" s="5"/>
      <c r="E27" s="26">
        <f>K16+1</f>
        <v>15</v>
      </c>
      <c r="F27" s="175">
        <f t="shared" ref="F27:K27" si="1">E27+1</f>
        <v>16</v>
      </c>
      <c r="G27" s="175">
        <f t="shared" si="1"/>
        <v>17</v>
      </c>
      <c r="H27" s="175">
        <f t="shared" si="1"/>
        <v>18</v>
      </c>
      <c r="I27" s="175">
        <f t="shared" si="1"/>
        <v>19</v>
      </c>
      <c r="J27" s="175">
        <f t="shared" si="1"/>
        <v>20</v>
      </c>
      <c r="K27" s="175">
        <f t="shared" si="1"/>
        <v>21</v>
      </c>
      <c r="M27" s="1453"/>
      <c r="N27" s="1453"/>
      <c r="O27" s="1453"/>
    </row>
    <row r="28" spans="1:19" ht="24.6" customHeight="1">
      <c r="A28" s="84"/>
      <c r="B28" s="1467" t="s">
        <v>2584</v>
      </c>
      <c r="C28" s="324" t="s">
        <v>2585</v>
      </c>
      <c r="D28" s="265"/>
      <c r="E28" s="499"/>
      <c r="F28" s="499"/>
      <c r="G28" s="499"/>
      <c r="H28" s="499"/>
      <c r="I28" s="499"/>
      <c r="J28" s="499"/>
      <c r="K28" s="499"/>
    </row>
    <row r="29" spans="1:19" ht="24.6" customHeight="1">
      <c r="A29" s="84"/>
      <c r="B29" s="1467"/>
      <c r="C29" s="290" t="s">
        <v>7</v>
      </c>
      <c r="D29" s="265"/>
      <c r="E29" s="499"/>
      <c r="F29" s="499"/>
      <c r="G29" s="499"/>
      <c r="H29" s="499"/>
      <c r="I29" s="499"/>
      <c r="J29" s="499"/>
      <c r="K29" s="499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3" t="s">
        <v>2595</v>
      </c>
      <c r="D30" s="265"/>
      <c r="E30" s="499"/>
      <c r="F30" s="499"/>
      <c r="G30" s="499"/>
      <c r="H30" s="499"/>
      <c r="I30" s="499"/>
      <c r="J30" s="499"/>
      <c r="K30" s="499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325" t="s">
        <v>2581</v>
      </c>
      <c r="D31" s="265"/>
      <c r="E31" s="499"/>
      <c r="F31" s="499"/>
      <c r="G31" s="627"/>
      <c r="H31" s="627"/>
      <c r="I31" s="626"/>
      <c r="J31" s="499"/>
      <c r="K31" s="499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 t="s">
        <v>2593</v>
      </c>
      <c r="C32" s="324" t="s">
        <v>2585</v>
      </c>
      <c r="D32" s="265"/>
      <c r="E32" s="499"/>
      <c r="F32" s="1577" t="s">
        <v>3116</v>
      </c>
      <c r="G32" s="1577"/>
      <c r="H32" s="556"/>
      <c r="I32" s="1577" t="s">
        <v>3118</v>
      </c>
      <c r="J32" s="1577"/>
      <c r="K32" s="556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324"/>
      <c r="D33" s="265"/>
      <c r="E33" s="499"/>
      <c r="F33" s="556"/>
      <c r="G33" s="1577" t="s">
        <v>3117</v>
      </c>
      <c r="H33" s="1577"/>
      <c r="I33" s="556"/>
      <c r="J33" s="1577" t="s">
        <v>3119</v>
      </c>
      <c r="K33" s="1577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2592</v>
      </c>
      <c r="D34" s="265"/>
      <c r="E34" s="499"/>
      <c r="F34" s="1522" t="s">
        <v>3108</v>
      </c>
      <c r="G34" s="1523"/>
      <c r="H34" s="622"/>
      <c r="I34" s="1522" t="s">
        <v>3107</v>
      </c>
      <c r="J34" s="1523"/>
      <c r="K34" s="556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290"/>
      <c r="D35" s="265"/>
      <c r="E35" s="499"/>
      <c r="F35" s="622"/>
      <c r="G35" s="1522" t="s">
        <v>3106</v>
      </c>
      <c r="H35" s="1523"/>
      <c r="I35" s="625"/>
      <c r="J35" s="625"/>
      <c r="K35" s="556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2581</v>
      </c>
      <c r="D36" s="265"/>
      <c r="E36" s="499"/>
      <c r="F36" s="325" t="s">
        <v>3031</v>
      </c>
      <c r="G36" s="325" t="s">
        <v>3032</v>
      </c>
      <c r="H36" s="325" t="s">
        <v>3033</v>
      </c>
      <c r="I36" s="325" t="s">
        <v>3033</v>
      </c>
      <c r="J36" s="325" t="s">
        <v>3010</v>
      </c>
      <c r="K36" s="556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500" t="s">
        <v>317</v>
      </c>
      <c r="C37" s="125" t="s">
        <v>2579</v>
      </c>
      <c r="D37" s="265"/>
      <c r="E37" s="499"/>
      <c r="F37" s="499"/>
      <c r="G37" s="499"/>
      <c r="H37" s="499"/>
      <c r="I37" s="499"/>
      <c r="J37" s="499"/>
      <c r="K37" s="499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84"/>
      <c r="C38" s="5"/>
      <c r="D38" s="5"/>
      <c r="E38" s="266">
        <f>K27+1</f>
        <v>22</v>
      </c>
      <c r="F38" s="304">
        <f t="shared" ref="F38:K38" si="2">E38+1</f>
        <v>23</v>
      </c>
      <c r="G38" s="304">
        <f t="shared" si="2"/>
        <v>24</v>
      </c>
      <c r="H38" s="304">
        <f t="shared" si="2"/>
        <v>25</v>
      </c>
      <c r="I38" s="304">
        <f t="shared" si="2"/>
        <v>26</v>
      </c>
      <c r="J38" s="304">
        <f t="shared" si="2"/>
        <v>27</v>
      </c>
      <c r="K38" s="65">
        <f t="shared" si="2"/>
        <v>28</v>
      </c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 t="s">
        <v>2584</v>
      </c>
      <c r="C39" s="324" t="s">
        <v>2585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290" t="s">
        <v>7</v>
      </c>
      <c r="D40" s="265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163" t="s">
        <v>2595</v>
      </c>
      <c r="D41" s="265"/>
      <c r="E41" s="301"/>
      <c r="F41" s="301"/>
      <c r="G41" s="301"/>
      <c r="H41" s="301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325" t="s">
        <v>2581</v>
      </c>
      <c r="D42" s="265"/>
      <c r="E42" s="301"/>
      <c r="F42" s="301"/>
      <c r="G42" s="301"/>
      <c r="H42" s="301"/>
      <c r="I42" s="301"/>
      <c r="J42" s="301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" customHeight="1">
      <c r="A43" s="84"/>
      <c r="B43" s="1467" t="s">
        <v>2593</v>
      </c>
      <c r="C43" s="324" t="s">
        <v>2585</v>
      </c>
      <c r="D43" s="265"/>
      <c r="E43" s="301"/>
      <c r="F43" s="1556" t="s">
        <v>3123</v>
      </c>
      <c r="G43" s="1557"/>
      <c r="H43" s="301"/>
      <c r="I43" s="1556" t="s">
        <v>3125</v>
      </c>
      <c r="J43" s="1557"/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" customHeight="1">
      <c r="A44" s="84"/>
      <c r="B44" s="1467"/>
      <c r="C44" s="324"/>
      <c r="D44" s="265"/>
      <c r="E44" s="301"/>
      <c r="F44" s="301"/>
      <c r="G44" s="1556" t="s">
        <v>3124</v>
      </c>
      <c r="H44" s="1557"/>
      <c r="I44" s="301"/>
      <c r="J44" s="1556" t="s">
        <v>3126</v>
      </c>
      <c r="K44" s="1557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290" t="s">
        <v>2592</v>
      </c>
      <c r="D45" s="265"/>
      <c r="E45" s="301"/>
      <c r="F45" s="444" t="s">
        <v>3120</v>
      </c>
      <c r="G45" s="444" t="s">
        <v>3121</v>
      </c>
      <c r="H45" s="301"/>
      <c r="I45" s="301"/>
      <c r="J45" s="623" t="s">
        <v>3104</v>
      </c>
      <c r="K45" s="301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290"/>
      <c r="D46" s="265"/>
      <c r="E46" s="301"/>
      <c r="F46" s="506"/>
      <c r="G46" s="301"/>
      <c r="H46" s="438" t="s">
        <v>3105</v>
      </c>
      <c r="I46" s="623" t="s">
        <v>3122</v>
      </c>
      <c r="J46" s="301"/>
      <c r="K46" s="301"/>
      <c r="L46" s="84"/>
      <c r="M46" s="84"/>
      <c r="N46" s="84"/>
      <c r="O46" s="84"/>
      <c r="P46" s="84"/>
      <c r="Q46" s="84"/>
      <c r="R46" s="84"/>
      <c r="S46" s="84"/>
    </row>
    <row r="47" spans="1:19" ht="24" customHeight="1">
      <c r="A47" s="84"/>
      <c r="B47" s="1467"/>
      <c r="C47" s="325" t="s">
        <v>2581</v>
      </c>
      <c r="D47" s="265"/>
      <c r="E47" s="301"/>
      <c r="F47" s="325" t="s">
        <v>3010</v>
      </c>
      <c r="G47" s="165" t="s">
        <v>3034</v>
      </c>
      <c r="H47" s="165" t="s">
        <v>3035</v>
      </c>
      <c r="I47" s="165" t="s">
        <v>3036</v>
      </c>
      <c r="J47" s="165" t="s">
        <v>3011</v>
      </c>
      <c r="K47" s="301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500" t="s">
        <v>2580</v>
      </c>
      <c r="C48" s="125" t="s">
        <v>2579</v>
      </c>
      <c r="D48" s="265"/>
      <c r="E48" s="345"/>
      <c r="F48" s="301"/>
      <c r="G48" s="301"/>
      <c r="H48" s="301"/>
      <c r="I48" s="301"/>
      <c r="J48" s="301"/>
      <c r="K48" s="301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84"/>
      <c r="C49" s="269"/>
      <c r="D49" s="265"/>
      <c r="E49" s="26">
        <f>K38+1</f>
        <v>29</v>
      </c>
      <c r="F49" s="175">
        <f>E49+1</f>
        <v>30</v>
      </c>
      <c r="G49" s="175">
        <f>F49+1</f>
        <v>31</v>
      </c>
      <c r="H49" s="175"/>
      <c r="I49" s="175"/>
      <c r="J49" s="175"/>
      <c r="K49" s="175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2584</v>
      </c>
      <c r="C50" s="324" t="s">
        <v>2585</v>
      </c>
      <c r="D50" s="265"/>
      <c r="E50" s="499"/>
      <c r="F50" s="499"/>
      <c r="G50" s="499"/>
      <c r="H50" s="499"/>
      <c r="I50" s="499"/>
      <c r="J50" s="499"/>
      <c r="K50" s="499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290" t="s">
        <v>7</v>
      </c>
      <c r="D51" s="265"/>
      <c r="E51" s="499"/>
      <c r="F51" s="499"/>
      <c r="G51" s="499"/>
      <c r="H51" s="499"/>
      <c r="I51" s="499"/>
      <c r="J51" s="499"/>
      <c r="K51" s="499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63" t="s">
        <v>389</v>
      </c>
      <c r="D52" s="265"/>
      <c r="E52" s="499"/>
      <c r="F52" s="499"/>
      <c r="G52" s="499"/>
      <c r="H52" s="499"/>
      <c r="I52" s="499"/>
      <c r="J52" s="499"/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325" t="s">
        <v>2581</v>
      </c>
      <c r="D53" s="265"/>
      <c r="E53" s="499"/>
      <c r="F53" s="499"/>
      <c r="G53" s="499"/>
      <c r="H53" s="499"/>
      <c r="I53" s="499"/>
      <c r="J53" s="499"/>
      <c r="K53" s="499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1467" t="s">
        <v>2593</v>
      </c>
      <c r="C54" s="324" t="s">
        <v>2585</v>
      </c>
      <c r="D54" s="265"/>
      <c r="E54" s="499"/>
      <c r="F54" s="1556" t="s">
        <v>3135</v>
      </c>
      <c r="G54" s="1557"/>
      <c r="H54" s="499"/>
      <c r="I54" s="499"/>
      <c r="J54" s="499"/>
      <c r="K54" s="499"/>
      <c r="L54" s="84"/>
      <c r="M54" s="84"/>
      <c r="N54" s="84"/>
      <c r="O54" s="84"/>
      <c r="P54" s="84"/>
      <c r="Q54" s="84"/>
      <c r="R54" s="84"/>
      <c r="S54" s="84"/>
    </row>
    <row r="55" spans="1:19" ht="24.6" customHeight="1">
      <c r="A55" s="84"/>
      <c r="B55" s="1467"/>
      <c r="C55" s="324"/>
      <c r="D55" s="265"/>
      <c r="E55" s="499"/>
      <c r="F55" s="499"/>
      <c r="G55" s="1556" t="s">
        <v>3136</v>
      </c>
      <c r="H55" s="1557"/>
      <c r="I55" s="499"/>
      <c r="J55" s="499"/>
      <c r="K55" s="499"/>
      <c r="L55" s="84"/>
      <c r="M55" s="84"/>
      <c r="N55" s="84"/>
      <c r="O55" s="84"/>
      <c r="P55" s="84"/>
      <c r="Q55" s="84"/>
      <c r="R55" s="84"/>
      <c r="S55" s="84"/>
    </row>
    <row r="56" spans="1:19" ht="24.6" customHeight="1">
      <c r="A56" s="84"/>
      <c r="B56" s="1467"/>
      <c r="C56" s="290" t="s">
        <v>2592</v>
      </c>
      <c r="D56" s="265"/>
      <c r="E56" s="499"/>
      <c r="F56" s="1522" t="s">
        <v>3109</v>
      </c>
      <c r="G56" s="1523"/>
      <c r="H56" s="499"/>
      <c r="I56" s="499"/>
      <c r="J56" s="499"/>
      <c r="K56" s="499"/>
      <c r="L56" s="84"/>
      <c r="M56" s="84"/>
      <c r="N56" s="84"/>
      <c r="O56" s="84"/>
      <c r="P56" s="84"/>
      <c r="Q56" s="84"/>
      <c r="R56" s="84"/>
      <c r="S56" s="84"/>
    </row>
    <row r="57" spans="1:19" ht="24.6" customHeight="1">
      <c r="A57" s="84"/>
      <c r="B57" s="1467"/>
      <c r="C57" s="290"/>
      <c r="D57" s="265"/>
      <c r="E57" s="499"/>
      <c r="F57" s="505"/>
      <c r="G57" s="505"/>
      <c r="H57" s="499"/>
      <c r="I57" s="499"/>
      <c r="J57" s="499"/>
      <c r="K57" s="499"/>
      <c r="L57" s="84"/>
      <c r="M57" s="84"/>
      <c r="N57" s="84"/>
      <c r="O57" s="84"/>
      <c r="P57" s="84"/>
      <c r="Q57" s="84"/>
      <c r="R57" s="84"/>
      <c r="S57" s="84"/>
    </row>
    <row r="58" spans="1:19" ht="24" customHeight="1">
      <c r="A58" s="84"/>
      <c r="B58" s="1467"/>
      <c r="C58" s="325" t="s">
        <v>2581</v>
      </c>
      <c r="D58" s="265"/>
      <c r="E58" s="499"/>
      <c r="F58" s="165" t="s">
        <v>3037</v>
      </c>
      <c r="G58" s="165" t="s">
        <v>3038</v>
      </c>
      <c r="H58" s="499"/>
      <c r="I58" s="499"/>
      <c r="J58" s="499"/>
      <c r="K58" s="499"/>
      <c r="L58" s="84"/>
      <c r="M58" s="84"/>
      <c r="N58" s="84"/>
      <c r="O58" s="84"/>
      <c r="P58" s="84"/>
      <c r="Q58" s="84"/>
      <c r="R58" s="84"/>
      <c r="S58" s="84"/>
    </row>
    <row r="59" spans="1:19" ht="24.6" customHeight="1">
      <c r="A59" s="84"/>
      <c r="B59" s="500" t="s">
        <v>2580</v>
      </c>
      <c r="C59" s="125" t="s">
        <v>2579</v>
      </c>
      <c r="D59" s="265"/>
      <c r="E59" s="499"/>
      <c r="F59" s="499"/>
      <c r="G59" s="499"/>
      <c r="H59" s="499"/>
      <c r="I59" s="499"/>
      <c r="J59" s="499"/>
      <c r="K59" s="499"/>
      <c r="L59" s="84"/>
      <c r="M59" s="84"/>
      <c r="N59" s="84"/>
      <c r="O59" s="84"/>
      <c r="P59" s="84"/>
      <c r="Q59" s="84"/>
      <c r="R59" s="84"/>
      <c r="S59" s="84"/>
    </row>
  </sheetData>
  <mergeCells count="34">
    <mergeCell ref="E3:G3"/>
    <mergeCell ref="H3:K3"/>
    <mergeCell ref="B6:B9"/>
    <mergeCell ref="B10:B14"/>
    <mergeCell ref="H10:I10"/>
    <mergeCell ref="J10:K10"/>
    <mergeCell ref="I12:J12"/>
    <mergeCell ref="B17:B20"/>
    <mergeCell ref="B21:B25"/>
    <mergeCell ref="G21:H21"/>
    <mergeCell ref="H22:I22"/>
    <mergeCell ref="G23:H23"/>
    <mergeCell ref="I24:J24"/>
    <mergeCell ref="M27:O27"/>
    <mergeCell ref="B28:B31"/>
    <mergeCell ref="B32:B36"/>
    <mergeCell ref="F32:G32"/>
    <mergeCell ref="I32:J32"/>
    <mergeCell ref="G33:H33"/>
    <mergeCell ref="J33:K33"/>
    <mergeCell ref="F34:G34"/>
    <mergeCell ref="I34:J34"/>
    <mergeCell ref="G35:H35"/>
    <mergeCell ref="B39:B42"/>
    <mergeCell ref="B43:B47"/>
    <mergeCell ref="F43:G43"/>
    <mergeCell ref="I43:J43"/>
    <mergeCell ref="G44:H44"/>
    <mergeCell ref="J44:K44"/>
    <mergeCell ref="B50:B53"/>
    <mergeCell ref="B54:B58"/>
    <mergeCell ref="F54:G54"/>
    <mergeCell ref="G55:H55"/>
    <mergeCell ref="F56:G56"/>
  </mergeCells>
  <phoneticPr fontId="6" type="noConversion"/>
  <pageMargins left="0.7" right="0.7" top="0.75" bottom="0.75" header="0.3" footer="0.3"/>
  <pageSetup paperSize="9" scale="34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5">
    <pageSetUpPr fitToPage="1"/>
  </sheetPr>
  <dimension ref="A1:S59"/>
  <sheetViews>
    <sheetView topLeftCell="A4" zoomScale="55" zoomScaleNormal="55" workbookViewId="0">
      <selection activeCell="H61" activeCellId="1" sqref="G37 H6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5" width="6.6640625" style="90" customWidth="1"/>
    <col min="16" max="17" width="17.77734375" style="90" customWidth="1"/>
    <col min="18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45231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>
        <v>1</v>
      </c>
      <c r="I5" s="175">
        <v>2</v>
      </c>
      <c r="J5" s="175">
        <v>3</v>
      </c>
      <c r="K5" s="175">
        <v>4</v>
      </c>
      <c r="L5" s="90"/>
      <c r="M5" s="90"/>
      <c r="N5" s="90"/>
      <c r="R5" s="11"/>
      <c r="S5" s="90"/>
    </row>
    <row r="6" spans="1:19" s="5" customFormat="1" ht="24.6" customHeight="1">
      <c r="B6" s="1467" t="s">
        <v>286</v>
      </c>
      <c r="C6" s="324" t="s">
        <v>9</v>
      </c>
      <c r="D6" s="265"/>
      <c r="E6" s="631"/>
      <c r="F6" s="631"/>
      <c r="G6" s="631"/>
      <c r="H6" s="631"/>
      <c r="I6" s="631"/>
      <c r="J6" s="631"/>
      <c r="K6" s="631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631"/>
      <c r="F7" s="631"/>
      <c r="G7" s="631"/>
      <c r="H7" s="631"/>
      <c r="I7" s="631"/>
      <c r="J7" s="631"/>
      <c r="K7" s="631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389</v>
      </c>
      <c r="D8" s="265"/>
      <c r="E8" s="631"/>
      <c r="F8" s="631"/>
      <c r="G8" s="631"/>
      <c r="H8" s="631"/>
      <c r="I8" s="631"/>
      <c r="J8" s="631"/>
      <c r="K8" s="631"/>
      <c r="L8" s="90"/>
      <c r="M8" s="90"/>
      <c r="N8" s="90"/>
      <c r="O8" s="5" t="s">
        <v>3091</v>
      </c>
      <c r="R8" s="11"/>
      <c r="S8" s="90"/>
    </row>
    <row r="9" spans="1:19" s="5" customFormat="1" ht="24.6" customHeight="1">
      <c r="B9" s="1467"/>
      <c r="C9" s="325" t="s">
        <v>316</v>
      </c>
      <c r="D9" s="265"/>
      <c r="E9" s="631"/>
      <c r="F9" s="631"/>
      <c r="G9" s="631"/>
      <c r="H9" s="631"/>
      <c r="I9" s="631"/>
      <c r="J9" s="631"/>
      <c r="K9" s="631"/>
      <c r="L9" s="90"/>
      <c r="M9" s="90"/>
      <c r="N9" s="90"/>
      <c r="O9" s="586" t="s">
        <v>2905</v>
      </c>
      <c r="P9" s="1634" t="s">
        <v>2732</v>
      </c>
      <c r="Q9" s="1634"/>
      <c r="R9" s="587" t="s">
        <v>228</v>
      </c>
      <c r="S9" s="90"/>
    </row>
    <row r="10" spans="1:19" s="5" customFormat="1" ht="24.6" customHeight="1">
      <c r="B10" s="1467" t="s">
        <v>287</v>
      </c>
      <c r="C10" s="324" t="s">
        <v>9</v>
      </c>
      <c r="D10" s="265"/>
      <c r="E10" s="631"/>
      <c r="F10" s="631"/>
      <c r="G10" s="631"/>
      <c r="H10" s="631"/>
      <c r="I10" s="1574" t="s">
        <v>3137</v>
      </c>
      <c r="J10" s="1574"/>
      <c r="K10" s="631"/>
      <c r="L10" s="90"/>
      <c r="M10" s="90"/>
      <c r="N10" s="90"/>
      <c r="O10" s="601" t="s">
        <v>2948</v>
      </c>
      <c r="P10" s="1637" t="s">
        <v>3138</v>
      </c>
      <c r="Q10" s="1637"/>
      <c r="R10" s="600"/>
      <c r="S10" s="90"/>
    </row>
    <row r="11" spans="1:19" s="5" customFormat="1" ht="24.6" customHeight="1">
      <c r="B11" s="1467"/>
      <c r="C11" s="324"/>
      <c r="D11" s="265"/>
      <c r="E11" s="631"/>
      <c r="F11" s="631"/>
      <c r="G11" s="631"/>
      <c r="H11" s="631"/>
      <c r="I11" s="631"/>
      <c r="J11" s="1574" t="s">
        <v>3151</v>
      </c>
      <c r="K11" s="1574"/>
      <c r="L11" s="90"/>
      <c r="M11" s="90"/>
      <c r="N11" s="90"/>
      <c r="O11" s="628" t="s">
        <v>2835</v>
      </c>
      <c r="P11" s="1637" t="s">
        <v>3139</v>
      </c>
      <c r="Q11" s="1637"/>
      <c r="R11" s="629"/>
      <c r="S11" s="90"/>
    </row>
    <row r="12" spans="1:19" s="5" customFormat="1" ht="24.6" customHeight="1">
      <c r="B12" s="1467"/>
      <c r="C12" s="290" t="s">
        <v>292</v>
      </c>
      <c r="D12" s="265"/>
      <c r="E12" s="631"/>
      <c r="F12" s="631"/>
      <c r="G12" s="631"/>
      <c r="H12" s="1522" t="s">
        <v>3127</v>
      </c>
      <c r="I12" s="1545"/>
      <c r="J12" s="438" t="s">
        <v>3155</v>
      </c>
      <c r="K12" s="631"/>
      <c r="L12" s="90"/>
      <c r="M12" s="90"/>
      <c r="N12" s="90"/>
      <c r="O12" s="628" t="s">
        <v>2835</v>
      </c>
      <c r="P12" s="1637" t="s">
        <v>3140</v>
      </c>
      <c r="Q12" s="1637"/>
      <c r="R12" s="629"/>
      <c r="S12" s="90"/>
    </row>
    <row r="13" spans="1:19" s="5" customFormat="1" ht="24.6" customHeight="1">
      <c r="B13" s="1467"/>
      <c r="C13" s="290"/>
      <c r="D13" s="265"/>
      <c r="E13" s="631"/>
      <c r="F13" s="631"/>
      <c r="G13" s="631"/>
      <c r="H13" s="631"/>
      <c r="I13" s="1522" t="s">
        <v>3128</v>
      </c>
      <c r="J13" s="1545"/>
      <c r="K13" s="631"/>
      <c r="L13" s="90"/>
      <c r="M13" s="90"/>
      <c r="N13" s="90"/>
      <c r="O13" s="628" t="s">
        <v>2835</v>
      </c>
      <c r="P13" s="1637" t="s">
        <v>3141</v>
      </c>
      <c r="Q13" s="1637"/>
      <c r="R13" s="629"/>
      <c r="S13" s="90"/>
    </row>
    <row r="14" spans="1:19" s="5" customFormat="1" ht="24.6" customHeight="1">
      <c r="B14" s="1467"/>
      <c r="C14" s="325" t="s">
        <v>316</v>
      </c>
      <c r="D14" s="265"/>
      <c r="E14" s="631"/>
      <c r="F14" s="631"/>
      <c r="G14" s="631"/>
      <c r="H14" s="165" t="s">
        <v>3012</v>
      </c>
      <c r="I14" s="165" t="s">
        <v>3012</v>
      </c>
      <c r="J14" s="165" t="s">
        <v>2237</v>
      </c>
      <c r="K14" s="631"/>
      <c r="L14" s="90"/>
      <c r="M14" s="90"/>
      <c r="N14" s="90"/>
      <c r="O14" s="628" t="s">
        <v>2906</v>
      </c>
      <c r="P14" s="1637" t="s">
        <v>3142</v>
      </c>
      <c r="Q14" s="1637"/>
      <c r="R14" s="629"/>
      <c r="S14" s="90"/>
    </row>
    <row r="15" spans="1:19" s="5" customFormat="1" ht="24.6" customHeight="1">
      <c r="B15" s="632" t="s">
        <v>317</v>
      </c>
      <c r="C15" s="125" t="s">
        <v>228</v>
      </c>
      <c r="D15" s="265"/>
      <c r="E15" s="631"/>
      <c r="F15" s="631"/>
      <c r="G15" s="631"/>
      <c r="H15" s="631"/>
      <c r="I15" s="631"/>
      <c r="J15" s="631"/>
      <c r="K15" s="631"/>
      <c r="L15" s="90"/>
      <c r="M15" s="90"/>
      <c r="N15" s="90"/>
      <c r="O15" s="5" t="s">
        <v>292</v>
      </c>
      <c r="P15" s="1522" t="s">
        <v>3143</v>
      </c>
      <c r="Q15" s="1545"/>
      <c r="R15" s="11" t="s">
        <v>3145</v>
      </c>
      <c r="S15" s="90"/>
    </row>
    <row r="16" spans="1:19" ht="24.6" customHeight="1">
      <c r="A16" s="84"/>
      <c r="B16" s="84"/>
      <c r="C16" s="5"/>
      <c r="D16" s="5"/>
      <c r="E16" s="266">
        <f>K5+1</f>
        <v>5</v>
      </c>
      <c r="F16" s="65">
        <f t="shared" ref="F16:K16" si="0">E16+1</f>
        <v>6</v>
      </c>
      <c r="G16" s="65">
        <f t="shared" si="0"/>
        <v>7</v>
      </c>
      <c r="H16" s="65">
        <f t="shared" si="0"/>
        <v>8</v>
      </c>
      <c r="I16" s="65">
        <f t="shared" si="0"/>
        <v>9</v>
      </c>
      <c r="J16" s="65">
        <f t="shared" si="0"/>
        <v>10</v>
      </c>
      <c r="K16" s="65">
        <f t="shared" si="0"/>
        <v>11</v>
      </c>
      <c r="P16" s="1522" t="s">
        <v>3146</v>
      </c>
      <c r="Q16" s="1545"/>
    </row>
    <row r="17" spans="1:19" ht="24.6" customHeight="1">
      <c r="A17" s="84"/>
      <c r="B17" s="1467" t="s">
        <v>286</v>
      </c>
      <c r="C17" s="324" t="s">
        <v>9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290" t="s">
        <v>7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/>
      <c r="C19" s="163" t="s">
        <v>389</v>
      </c>
      <c r="D19" s="265"/>
      <c r="E19" s="301"/>
      <c r="F19" s="301"/>
      <c r="G19" s="301"/>
      <c r="H19" s="301"/>
      <c r="I19" s="301"/>
      <c r="J19" s="301"/>
      <c r="K19" s="301"/>
      <c r="M19" s="84"/>
      <c r="N19" s="84"/>
    </row>
    <row r="20" spans="1:19" ht="24.6" customHeight="1">
      <c r="A20" s="84"/>
      <c r="B20" s="1467"/>
      <c r="C20" s="325" t="s">
        <v>316</v>
      </c>
      <c r="D20" s="265"/>
      <c r="E20" s="301"/>
      <c r="F20" s="301"/>
      <c r="G20" s="301"/>
      <c r="H20" s="301"/>
      <c r="I20" s="301"/>
      <c r="J20" s="301"/>
      <c r="K20" s="301"/>
    </row>
    <row r="21" spans="1:19" ht="24.6" customHeight="1">
      <c r="A21" s="84"/>
      <c r="B21" s="1467" t="s">
        <v>287</v>
      </c>
      <c r="C21" s="324" t="s">
        <v>9</v>
      </c>
      <c r="D21" s="265"/>
      <c r="E21" s="301"/>
      <c r="F21" s="301"/>
      <c r="G21" s="301"/>
      <c r="H21" s="301"/>
      <c r="I21" s="1638" t="s">
        <v>3152</v>
      </c>
      <c r="J21" s="1638"/>
      <c r="K21" s="301"/>
    </row>
    <row r="22" spans="1:19" ht="24.6" customHeight="1">
      <c r="A22" s="84"/>
      <c r="B22" s="1467"/>
      <c r="C22" s="324"/>
      <c r="D22" s="265"/>
      <c r="E22" s="301"/>
      <c r="F22" s="301"/>
      <c r="G22" s="301"/>
      <c r="H22" s="301"/>
      <c r="I22" s="301"/>
      <c r="J22" s="1638" t="s">
        <v>3164</v>
      </c>
      <c r="K22" s="1638"/>
    </row>
    <row r="23" spans="1:19" ht="24" customHeight="1">
      <c r="A23" s="84"/>
      <c r="B23" s="1467"/>
      <c r="C23" s="290" t="s">
        <v>292</v>
      </c>
      <c r="D23" s="265"/>
      <c r="E23" s="301"/>
      <c r="F23" s="438" t="s">
        <v>3156</v>
      </c>
      <c r="G23" s="243" t="s">
        <v>3129</v>
      </c>
      <c r="H23" s="301"/>
      <c r="I23" s="301"/>
      <c r="J23" s="243" t="s">
        <v>3130</v>
      </c>
      <c r="K23" s="301"/>
    </row>
    <row r="24" spans="1:19" ht="24" customHeight="1">
      <c r="A24" s="84"/>
      <c r="B24" s="1467"/>
      <c r="C24" s="290"/>
      <c r="D24" s="265"/>
      <c r="E24" s="301"/>
      <c r="F24" s="630" t="s">
        <v>3157</v>
      </c>
      <c r="G24" s="301"/>
      <c r="H24" s="1522" t="s">
        <v>3148</v>
      </c>
      <c r="I24" s="1545"/>
      <c r="J24" s="301"/>
      <c r="K24" s="301"/>
    </row>
    <row r="25" spans="1:19" ht="24" customHeight="1">
      <c r="A25" s="84"/>
      <c r="B25" s="1467"/>
      <c r="C25" s="325" t="s">
        <v>316</v>
      </c>
      <c r="D25" s="265"/>
      <c r="E25" s="301"/>
      <c r="F25" s="165" t="s">
        <v>2237</v>
      </c>
      <c r="G25" s="165" t="s">
        <v>2375</v>
      </c>
      <c r="H25" s="165" t="s">
        <v>2375</v>
      </c>
      <c r="I25" s="165" t="s">
        <v>1789</v>
      </c>
      <c r="J25" s="165" t="s">
        <v>1789</v>
      </c>
      <c r="K25" s="301"/>
    </row>
    <row r="26" spans="1:19" ht="24.6" customHeight="1">
      <c r="A26" s="84"/>
      <c r="B26" s="632" t="s">
        <v>317</v>
      </c>
      <c r="C26" s="125" t="s">
        <v>228</v>
      </c>
      <c r="D26" s="265"/>
      <c r="E26" s="301"/>
      <c r="F26" s="301"/>
      <c r="G26" s="301"/>
      <c r="H26" s="301"/>
      <c r="I26" s="301"/>
      <c r="J26" s="301"/>
      <c r="K26" s="301"/>
    </row>
    <row r="27" spans="1:19" ht="24.6" customHeight="1">
      <c r="A27" s="84"/>
      <c r="B27" s="84"/>
      <c r="C27" s="5"/>
      <c r="D27" s="5"/>
      <c r="E27" s="26">
        <f>K16+1</f>
        <v>12</v>
      </c>
      <c r="F27" s="175">
        <f t="shared" ref="F27:K27" si="1">E27+1</f>
        <v>13</v>
      </c>
      <c r="G27" s="175">
        <f t="shared" si="1"/>
        <v>14</v>
      </c>
      <c r="H27" s="175">
        <f t="shared" si="1"/>
        <v>15</v>
      </c>
      <c r="I27" s="175">
        <f t="shared" si="1"/>
        <v>16</v>
      </c>
      <c r="J27" s="175">
        <f t="shared" si="1"/>
        <v>17</v>
      </c>
      <c r="K27" s="175">
        <f t="shared" si="1"/>
        <v>18</v>
      </c>
      <c r="M27" s="1453"/>
      <c r="N27" s="1453"/>
      <c r="O27" s="1453"/>
    </row>
    <row r="28" spans="1:19" ht="24.6" customHeight="1">
      <c r="A28" s="84"/>
      <c r="B28" s="1467" t="s">
        <v>286</v>
      </c>
      <c r="C28" s="324" t="s">
        <v>9</v>
      </c>
      <c r="D28" s="265"/>
      <c r="E28" s="631"/>
      <c r="F28" s="631"/>
      <c r="G28" s="631"/>
      <c r="H28" s="631"/>
      <c r="I28" s="631"/>
      <c r="J28" s="631"/>
      <c r="K28" s="631"/>
    </row>
    <row r="29" spans="1:19" ht="24.6" customHeight="1">
      <c r="A29" s="84"/>
      <c r="B29" s="1467"/>
      <c r="C29" s="290" t="s">
        <v>7</v>
      </c>
      <c r="D29" s="265"/>
      <c r="E29" s="631"/>
      <c r="F29" s="631"/>
      <c r="G29" s="631"/>
      <c r="H29" s="631"/>
      <c r="I29" s="631"/>
      <c r="J29" s="631"/>
      <c r="K29" s="631"/>
      <c r="L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3" t="s">
        <v>389</v>
      </c>
      <c r="D30" s="265"/>
      <c r="E30" s="631"/>
      <c r="F30" s="631"/>
      <c r="G30" s="631"/>
      <c r="H30" s="631"/>
      <c r="I30" s="631"/>
      <c r="J30" s="631"/>
      <c r="K30" s="631"/>
      <c r="L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325" t="s">
        <v>316</v>
      </c>
      <c r="D31" s="265"/>
      <c r="E31" s="631"/>
      <c r="F31" s="631"/>
      <c r="G31" s="633"/>
      <c r="H31" s="633"/>
      <c r="I31" s="633"/>
      <c r="J31" s="633"/>
      <c r="K31" s="631"/>
      <c r="L31" s="84"/>
      <c r="O31" s="84"/>
      <c r="P31" s="84"/>
      <c r="Q31" s="84"/>
      <c r="R31" s="84"/>
      <c r="S31" s="84"/>
    </row>
    <row r="32" spans="1:19" ht="24.6" customHeight="1">
      <c r="A32" s="84"/>
      <c r="B32" s="1467" t="s">
        <v>287</v>
      </c>
      <c r="C32" s="324" t="s">
        <v>9</v>
      </c>
      <c r="D32" s="265"/>
      <c r="E32" s="631"/>
      <c r="F32" s="1574" t="s">
        <v>3183</v>
      </c>
      <c r="G32" s="1574"/>
      <c r="H32" s="631"/>
      <c r="I32" s="1574" t="s">
        <v>3153</v>
      </c>
      <c r="J32" s="1574"/>
      <c r="K32" s="631"/>
      <c r="L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324"/>
      <c r="D33" s="265"/>
      <c r="E33" s="631"/>
      <c r="F33" s="631"/>
      <c r="G33" s="1613" t="s">
        <v>3154</v>
      </c>
      <c r="H33" s="1614"/>
      <c r="I33" s="631"/>
      <c r="J33" s="1574" t="s">
        <v>3144</v>
      </c>
      <c r="K33" s="1574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292</v>
      </c>
      <c r="D34" s="265"/>
      <c r="E34" s="631"/>
      <c r="F34" s="1522" t="s">
        <v>3147</v>
      </c>
      <c r="G34" s="1523"/>
      <c r="H34" s="1522" t="s">
        <v>3132</v>
      </c>
      <c r="I34" s="1523"/>
      <c r="J34" s="631"/>
      <c r="K34" s="63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290"/>
      <c r="D35" s="265"/>
      <c r="E35" s="631"/>
      <c r="F35" s="631"/>
      <c r="G35" s="1522" t="s">
        <v>3131</v>
      </c>
      <c r="H35" s="1523"/>
      <c r="I35" s="631"/>
      <c r="J35" s="438" t="s">
        <v>3161</v>
      </c>
      <c r="K35" s="631"/>
      <c r="L35" s="84"/>
      <c r="M35" s="84"/>
      <c r="N35" s="84"/>
      <c r="O35" s="84"/>
      <c r="P35" s="84"/>
      <c r="Q35" s="84"/>
      <c r="R35" s="84"/>
      <c r="S35" s="84"/>
    </row>
    <row r="36" spans="1:19" ht="24" customHeight="1">
      <c r="A36" s="84"/>
      <c r="B36" s="1467"/>
      <c r="C36" s="325" t="s">
        <v>316</v>
      </c>
      <c r="D36" s="265"/>
      <c r="E36" s="631"/>
      <c r="F36" s="165" t="s">
        <v>2376</v>
      </c>
      <c r="G36" s="165" t="s">
        <v>2376</v>
      </c>
      <c r="H36" s="165" t="s">
        <v>2398</v>
      </c>
      <c r="I36" s="165" t="s">
        <v>2398</v>
      </c>
      <c r="J36" s="165" t="s">
        <v>2398</v>
      </c>
      <c r="K36" s="63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632" t="s">
        <v>317</v>
      </c>
      <c r="C37" s="125" t="s">
        <v>228</v>
      </c>
      <c r="D37" s="265"/>
      <c r="E37" s="631"/>
      <c r="F37" s="631"/>
      <c r="G37" s="631"/>
      <c r="H37" s="631"/>
      <c r="I37" s="631"/>
      <c r="J37" s="631"/>
      <c r="K37" s="63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84"/>
      <c r="C38" s="5"/>
      <c r="D38" s="5"/>
      <c r="E38" s="266">
        <f>K27+1</f>
        <v>19</v>
      </c>
      <c r="F38" s="304">
        <f t="shared" ref="F38:K38" si="2">E38+1</f>
        <v>20</v>
      </c>
      <c r="G38" s="304">
        <f t="shared" si="2"/>
        <v>21</v>
      </c>
      <c r="H38" s="304">
        <f t="shared" si="2"/>
        <v>22</v>
      </c>
      <c r="I38" s="304">
        <f t="shared" si="2"/>
        <v>23</v>
      </c>
      <c r="J38" s="304">
        <f t="shared" si="2"/>
        <v>24</v>
      </c>
      <c r="K38" s="65">
        <f t="shared" si="2"/>
        <v>25</v>
      </c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 t="s">
        <v>286</v>
      </c>
      <c r="C39" s="324" t="s">
        <v>9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290" t="s">
        <v>7</v>
      </c>
      <c r="D40" s="265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163" t="s">
        <v>389</v>
      </c>
      <c r="D41" s="265"/>
      <c r="E41" s="301"/>
      <c r="F41" s="301"/>
      <c r="G41" s="301"/>
      <c r="H41" s="301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325" t="s">
        <v>316</v>
      </c>
      <c r="D42" s="265"/>
      <c r="E42" s="301"/>
      <c r="F42" s="301"/>
      <c r="G42" s="301"/>
      <c r="H42" s="301"/>
      <c r="I42" s="301"/>
      <c r="J42" s="301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" customHeight="1">
      <c r="A43" s="84"/>
      <c r="B43" s="1467" t="s">
        <v>287</v>
      </c>
      <c r="C43" s="324" t="s">
        <v>9</v>
      </c>
      <c r="D43" s="265"/>
      <c r="E43" s="301"/>
      <c r="F43" s="1574" t="s">
        <v>3163</v>
      </c>
      <c r="G43" s="1574"/>
      <c r="H43" s="301"/>
      <c r="I43" s="1574" t="s">
        <v>3167</v>
      </c>
      <c r="J43" s="1574"/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" customHeight="1">
      <c r="A44" s="84"/>
      <c r="B44" s="1467"/>
      <c r="C44" s="324"/>
      <c r="D44" s="265"/>
      <c r="E44" s="301"/>
      <c r="F44" s="301"/>
      <c r="G44" s="1574" t="s">
        <v>3166</v>
      </c>
      <c r="H44" s="1574"/>
      <c r="I44" s="301"/>
      <c r="J44" s="1574" t="s">
        <v>3168</v>
      </c>
      <c r="K44" s="1574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290" t="s">
        <v>292</v>
      </c>
      <c r="D45" s="265"/>
      <c r="E45" s="301"/>
      <c r="F45" s="1522" t="s">
        <v>3134</v>
      </c>
      <c r="G45" s="1523"/>
      <c r="H45" s="1522" t="s">
        <v>3165</v>
      </c>
      <c r="I45" s="1545"/>
      <c r="J45" s="301"/>
      <c r="K45" s="301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290"/>
      <c r="D46" s="265"/>
      <c r="E46" s="301"/>
      <c r="F46" s="506"/>
      <c r="G46" s="1522" t="s">
        <v>3133</v>
      </c>
      <c r="H46" s="1545"/>
      <c r="I46" s="1522" t="s">
        <v>3169</v>
      </c>
      <c r="J46" s="1545"/>
      <c r="K46" s="301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325" t="s">
        <v>316</v>
      </c>
      <c r="D47" s="265"/>
      <c r="E47" s="301"/>
      <c r="F47" s="165" t="s">
        <v>3039</v>
      </c>
      <c r="G47" s="165" t="s">
        <v>3039</v>
      </c>
      <c r="H47" s="165" t="s">
        <v>3040</v>
      </c>
      <c r="I47" s="165" t="s">
        <v>3040</v>
      </c>
      <c r="J47" s="165" t="s">
        <v>1791</v>
      </c>
      <c r="K47" s="301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632" t="s">
        <v>317</v>
      </c>
      <c r="C48" s="125" t="s">
        <v>228</v>
      </c>
      <c r="D48" s="265"/>
      <c r="E48" s="345"/>
      <c r="F48" s="301"/>
      <c r="G48" s="301"/>
      <c r="H48" s="301"/>
      <c r="I48" s="301"/>
      <c r="J48" s="301"/>
      <c r="K48" s="301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84"/>
      <c r="C49" s="269"/>
      <c r="D49" s="265"/>
      <c r="E49" s="26">
        <f>K38+1</f>
        <v>26</v>
      </c>
      <c r="F49" s="175">
        <f>E49+1</f>
        <v>27</v>
      </c>
      <c r="G49" s="175">
        <f>F49+1</f>
        <v>28</v>
      </c>
      <c r="H49" s="175">
        <f>G49+1</f>
        <v>29</v>
      </c>
      <c r="I49" s="175">
        <f>H49+1</f>
        <v>30</v>
      </c>
      <c r="J49" s="175"/>
      <c r="K49" s="175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286</v>
      </c>
      <c r="C50" s="324" t="s">
        <v>9</v>
      </c>
      <c r="D50" s="265"/>
      <c r="E50" s="631"/>
      <c r="F50" s="631"/>
      <c r="G50" s="631"/>
      <c r="H50" s="631"/>
      <c r="I50" s="631"/>
      <c r="J50" s="631"/>
      <c r="K50" s="631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290" t="s">
        <v>7</v>
      </c>
      <c r="D51" s="265"/>
      <c r="E51" s="631"/>
      <c r="F51" s="631"/>
      <c r="G51" s="631"/>
      <c r="H51" s="631"/>
      <c r="I51" s="631"/>
      <c r="J51" s="631"/>
      <c r="K51" s="631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63" t="s">
        <v>389</v>
      </c>
      <c r="D52" s="265"/>
      <c r="E52" s="631"/>
      <c r="F52" s="634"/>
      <c r="G52" s="634"/>
      <c r="H52" s="634"/>
      <c r="I52" s="634"/>
      <c r="J52" s="631"/>
      <c r="K52" s="631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325" t="s">
        <v>316</v>
      </c>
      <c r="D53" s="265"/>
      <c r="E53" s="631"/>
      <c r="F53" s="631"/>
      <c r="G53" s="631"/>
      <c r="H53" s="631"/>
      <c r="I53" s="631"/>
      <c r="J53" s="631"/>
      <c r="K53" s="631"/>
      <c r="L53" s="84"/>
      <c r="M53" s="84"/>
      <c r="N53" s="84"/>
      <c r="O53" s="84"/>
      <c r="P53" s="84"/>
      <c r="Q53" s="84"/>
      <c r="R53" s="84"/>
      <c r="S53" s="84"/>
    </row>
    <row r="54" spans="1:19" ht="24" customHeight="1">
      <c r="A54" s="84"/>
      <c r="B54" s="1467" t="s">
        <v>287</v>
      </c>
      <c r="C54" s="324" t="s">
        <v>9</v>
      </c>
      <c r="D54" s="265"/>
      <c r="E54" s="631"/>
      <c r="F54" s="1574" t="s">
        <v>3176</v>
      </c>
      <c r="G54" s="1574"/>
      <c r="H54" s="631"/>
      <c r="I54" s="1574" t="s">
        <v>3178</v>
      </c>
      <c r="J54" s="1574"/>
      <c r="K54" s="631"/>
      <c r="L54" s="84"/>
      <c r="M54" s="84"/>
      <c r="N54" s="84"/>
      <c r="O54" s="84"/>
      <c r="P54" s="84"/>
      <c r="Q54" s="84"/>
      <c r="R54" s="84"/>
      <c r="S54" s="84"/>
    </row>
    <row r="55" spans="1:19" ht="24" customHeight="1">
      <c r="A55" s="84"/>
      <c r="B55" s="1467"/>
      <c r="C55" s="324"/>
      <c r="D55" s="265"/>
      <c r="E55" s="631"/>
      <c r="F55" s="631"/>
      <c r="G55" s="1574" t="s">
        <v>3177</v>
      </c>
      <c r="H55" s="1574"/>
      <c r="I55" s="631"/>
      <c r="J55" s="631"/>
      <c r="K55" s="631"/>
      <c r="L55" s="84"/>
      <c r="M55" s="84"/>
      <c r="N55" s="84"/>
      <c r="O55" s="84"/>
      <c r="P55" s="84"/>
      <c r="Q55" s="84"/>
      <c r="R55" s="84"/>
      <c r="S55" s="84"/>
    </row>
    <row r="56" spans="1:19" ht="24.6" customHeight="1">
      <c r="A56" s="84"/>
      <c r="B56" s="1467"/>
      <c r="C56" s="290" t="s">
        <v>292</v>
      </c>
      <c r="D56" s="265"/>
      <c r="E56" s="631"/>
      <c r="F56" s="1522" t="s">
        <v>3158</v>
      </c>
      <c r="G56" s="1545"/>
      <c r="H56" s="1522" t="s">
        <v>3162</v>
      </c>
      <c r="I56" s="1545"/>
      <c r="J56" s="243" t="s">
        <v>3159</v>
      </c>
      <c r="K56" s="635"/>
      <c r="L56" s="84"/>
      <c r="M56" s="84"/>
      <c r="N56" s="84"/>
      <c r="O56" s="84"/>
      <c r="P56" s="84"/>
      <c r="Q56" s="84"/>
      <c r="R56" s="84"/>
      <c r="S56" s="84"/>
    </row>
    <row r="57" spans="1:19" ht="24.6" customHeight="1">
      <c r="A57" s="84"/>
      <c r="B57" s="1467"/>
      <c r="C57" s="290"/>
      <c r="D57" s="265"/>
      <c r="E57" s="631"/>
      <c r="F57" s="634"/>
      <c r="G57" s="635"/>
      <c r="H57" s="634"/>
      <c r="I57" s="635"/>
      <c r="J57" s="243" t="s">
        <v>3160</v>
      </c>
      <c r="K57" s="635"/>
      <c r="L57" s="84"/>
      <c r="M57" s="84"/>
      <c r="N57" s="84"/>
      <c r="O57" s="84"/>
      <c r="P57" s="84"/>
      <c r="Q57" s="84"/>
      <c r="R57" s="84"/>
      <c r="S57" s="84"/>
    </row>
    <row r="58" spans="1:19" ht="24.6" customHeight="1">
      <c r="A58" s="84"/>
      <c r="B58" s="1467"/>
      <c r="C58" s="325" t="s">
        <v>316</v>
      </c>
      <c r="D58" s="265"/>
      <c r="E58" s="631"/>
      <c r="F58" s="165" t="s">
        <v>1791</v>
      </c>
      <c r="G58" s="165" t="s">
        <v>1689</v>
      </c>
      <c r="H58" s="165" t="s">
        <v>1689</v>
      </c>
      <c r="I58" s="165" t="s">
        <v>1792</v>
      </c>
      <c r="J58" s="631"/>
      <c r="K58" s="631"/>
      <c r="L58" s="84"/>
      <c r="M58" s="84"/>
      <c r="N58" s="84"/>
      <c r="O58" s="84"/>
      <c r="P58" s="84"/>
      <c r="Q58" s="84"/>
      <c r="R58" s="84"/>
      <c r="S58" s="84"/>
    </row>
    <row r="59" spans="1:19" ht="24.6" customHeight="1">
      <c r="A59" s="84"/>
      <c r="B59" s="632" t="s">
        <v>317</v>
      </c>
      <c r="C59" s="125" t="s">
        <v>228</v>
      </c>
      <c r="D59" s="265"/>
      <c r="E59" s="631"/>
      <c r="F59" s="631"/>
      <c r="G59" s="631"/>
      <c r="H59" s="631"/>
      <c r="I59" s="631"/>
      <c r="J59" s="631"/>
      <c r="K59" s="631"/>
      <c r="L59" s="84"/>
      <c r="M59" s="84"/>
      <c r="N59" s="84"/>
      <c r="O59" s="84"/>
      <c r="P59" s="84"/>
      <c r="Q59" s="84"/>
      <c r="R59" s="84"/>
      <c r="S59" s="84"/>
    </row>
  </sheetData>
  <mergeCells count="48">
    <mergeCell ref="B50:B53"/>
    <mergeCell ref="B54:B58"/>
    <mergeCell ref="F54:G54"/>
    <mergeCell ref="I54:J54"/>
    <mergeCell ref="G55:H55"/>
    <mergeCell ref="H56:I56"/>
    <mergeCell ref="F56:G56"/>
    <mergeCell ref="B39:B42"/>
    <mergeCell ref="B43:B47"/>
    <mergeCell ref="F43:G43"/>
    <mergeCell ref="I43:J43"/>
    <mergeCell ref="G44:H44"/>
    <mergeCell ref="J44:K44"/>
    <mergeCell ref="F45:G45"/>
    <mergeCell ref="G46:H46"/>
    <mergeCell ref="H45:I45"/>
    <mergeCell ref="I46:J46"/>
    <mergeCell ref="B28:B31"/>
    <mergeCell ref="B32:B36"/>
    <mergeCell ref="F32:G32"/>
    <mergeCell ref="I32:J32"/>
    <mergeCell ref="G33:H33"/>
    <mergeCell ref="J33:K33"/>
    <mergeCell ref="F34:G34"/>
    <mergeCell ref="H34:I34"/>
    <mergeCell ref="G35:H35"/>
    <mergeCell ref="B17:B20"/>
    <mergeCell ref="B21:B25"/>
    <mergeCell ref="I21:J21"/>
    <mergeCell ref="J22:K22"/>
    <mergeCell ref="H24:I24"/>
    <mergeCell ref="M27:O27"/>
    <mergeCell ref="P12:Q12"/>
    <mergeCell ref="I13:J13"/>
    <mergeCell ref="P13:Q13"/>
    <mergeCell ref="P14:Q14"/>
    <mergeCell ref="P15:Q15"/>
    <mergeCell ref="P16:Q16"/>
    <mergeCell ref="E3:G3"/>
    <mergeCell ref="H3:K3"/>
    <mergeCell ref="B6:B9"/>
    <mergeCell ref="P9:Q9"/>
    <mergeCell ref="B10:B14"/>
    <mergeCell ref="I10:J10"/>
    <mergeCell ref="P10:Q10"/>
    <mergeCell ref="J11:K11"/>
    <mergeCell ref="P11:Q11"/>
    <mergeCell ref="H12:I12"/>
  </mergeCells>
  <phoneticPr fontId="6" type="noConversion"/>
  <pageMargins left="0.7" right="0.7" top="0.75" bottom="0.75" header="0.3" footer="0.3"/>
  <pageSetup paperSize="9" scale="33" orientation="landscape"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6">
    <pageSetUpPr fitToPage="1"/>
  </sheetPr>
  <dimension ref="A1:S67"/>
  <sheetViews>
    <sheetView topLeftCell="A10" zoomScale="55" zoomScaleNormal="55" workbookViewId="0">
      <selection activeCell="G36" sqref="G3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5" width="8.33203125" style="90" customWidth="1"/>
    <col min="16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45261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/>
      <c r="J5" s="175">
        <v>1</v>
      </c>
      <c r="K5" s="175">
        <v>2</v>
      </c>
      <c r="L5" s="90"/>
      <c r="M5" s="90"/>
      <c r="N5" s="90"/>
      <c r="R5" s="11"/>
      <c r="S5" s="90"/>
    </row>
    <row r="6" spans="1:19" s="5" customFormat="1" ht="24.6" customHeight="1">
      <c r="B6" s="1467" t="s">
        <v>286</v>
      </c>
      <c r="C6" s="324" t="s">
        <v>2609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2610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2611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90"/>
      <c r="R9" s="11"/>
      <c r="S9" s="90"/>
    </row>
    <row r="10" spans="1:19" s="5" customFormat="1" ht="24.6" customHeight="1">
      <c r="B10" s="1467" t="s">
        <v>2612</v>
      </c>
      <c r="C10" s="324" t="s">
        <v>9</v>
      </c>
      <c r="D10" s="265"/>
      <c r="E10" s="499"/>
      <c r="F10" s="499"/>
      <c r="G10" s="499"/>
      <c r="H10" s="499"/>
      <c r="I10" s="499"/>
      <c r="J10" s="499"/>
      <c r="K10" s="499"/>
      <c r="L10" s="90"/>
      <c r="M10" s="90"/>
      <c r="N10" s="90"/>
      <c r="R10" s="11"/>
      <c r="S10" s="90"/>
    </row>
    <row r="11" spans="1:19" s="5" customFormat="1" ht="24.6" customHeight="1">
      <c r="B11" s="1467"/>
      <c r="C11" s="324"/>
      <c r="D11" s="265"/>
      <c r="E11" s="499"/>
      <c r="F11" s="499"/>
      <c r="G11" s="499"/>
      <c r="H11" s="499"/>
      <c r="I11" s="499"/>
      <c r="J11" s="1574" t="s">
        <v>3181</v>
      </c>
      <c r="K11" s="1574"/>
      <c r="L11" s="90"/>
      <c r="M11" s="90"/>
      <c r="N11" s="90"/>
      <c r="R11" s="11"/>
      <c r="S11" s="90"/>
    </row>
    <row r="12" spans="1:19" s="5" customFormat="1" ht="24.6" customHeight="1">
      <c r="B12" s="1467"/>
      <c r="C12" s="290" t="s">
        <v>292</v>
      </c>
      <c r="D12" s="265"/>
      <c r="E12" s="499"/>
      <c r="F12" s="499"/>
      <c r="G12" s="499"/>
      <c r="H12" s="499"/>
      <c r="I12" s="558"/>
      <c r="J12" s="636"/>
      <c r="K12" s="499"/>
      <c r="L12" s="90"/>
      <c r="M12" s="90"/>
      <c r="N12" s="90"/>
      <c r="R12" s="11"/>
      <c r="S12" s="90"/>
    </row>
    <row r="13" spans="1:19" s="5" customFormat="1" ht="24.6" customHeight="1">
      <c r="B13" s="1467"/>
      <c r="C13" s="325" t="s">
        <v>2611</v>
      </c>
      <c r="D13" s="265"/>
      <c r="E13" s="499"/>
      <c r="F13" s="499"/>
      <c r="G13" s="499"/>
      <c r="H13" s="499"/>
      <c r="I13" s="499"/>
      <c r="J13" s="165" t="s">
        <v>1792</v>
      </c>
      <c r="K13" s="499"/>
      <c r="L13" s="90"/>
      <c r="M13" s="90"/>
      <c r="N13" s="90"/>
      <c r="R13" s="11"/>
      <c r="S13" s="90"/>
    </row>
    <row r="14" spans="1:19" s="5" customFormat="1" ht="24.6" customHeight="1">
      <c r="B14" s="500" t="s">
        <v>2613</v>
      </c>
      <c r="C14" s="125" t="s">
        <v>228</v>
      </c>
      <c r="D14" s="265"/>
      <c r="E14" s="499"/>
      <c r="F14" s="499"/>
      <c r="G14" s="499"/>
      <c r="H14" s="499"/>
      <c r="I14" s="499"/>
      <c r="J14" s="499"/>
      <c r="K14" s="499"/>
      <c r="L14" s="90"/>
      <c r="M14" s="90"/>
      <c r="N14" s="90"/>
      <c r="R14" s="11"/>
      <c r="S14" s="90"/>
    </row>
    <row r="15" spans="1:19" ht="24.6" customHeight="1">
      <c r="A15" s="84"/>
      <c r="B15" s="84"/>
      <c r="C15" s="5"/>
      <c r="D15" s="5"/>
      <c r="E15" s="266">
        <f>K5+1</f>
        <v>3</v>
      </c>
      <c r="F15" s="65">
        <f t="shared" ref="F15:K15" si="0">E15+1</f>
        <v>4</v>
      </c>
      <c r="G15" s="65">
        <f t="shared" si="0"/>
        <v>5</v>
      </c>
      <c r="H15" s="65">
        <f t="shared" si="0"/>
        <v>6</v>
      </c>
      <c r="I15" s="65">
        <f t="shared" si="0"/>
        <v>7</v>
      </c>
      <c r="J15" s="65">
        <f t="shared" si="0"/>
        <v>8</v>
      </c>
      <c r="K15" s="65">
        <f t="shared" si="0"/>
        <v>9</v>
      </c>
    </row>
    <row r="16" spans="1:19" ht="24.6" customHeight="1">
      <c r="A16" s="84"/>
      <c r="B16" s="1467" t="s">
        <v>286</v>
      </c>
      <c r="C16" s="324" t="s">
        <v>9</v>
      </c>
      <c r="D16" s="265"/>
      <c r="E16" s="301"/>
      <c r="F16" s="301"/>
      <c r="G16" s="301"/>
      <c r="H16" s="301"/>
      <c r="I16" s="301"/>
      <c r="J16" s="301"/>
      <c r="K16" s="301"/>
    </row>
    <row r="17" spans="1:19" ht="24.6" customHeight="1">
      <c r="A17" s="84"/>
      <c r="B17" s="1467"/>
      <c r="C17" s="290" t="s">
        <v>7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163" t="s">
        <v>389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/>
      <c r="C19" s="325" t="s">
        <v>316</v>
      </c>
      <c r="D19" s="265"/>
      <c r="E19" s="301"/>
      <c r="F19" s="301"/>
      <c r="G19" s="301"/>
      <c r="H19" s="301"/>
      <c r="I19" s="301"/>
      <c r="J19" s="301"/>
      <c r="K19" s="301"/>
    </row>
    <row r="20" spans="1:19" ht="24.6" customHeight="1">
      <c r="A20" s="84"/>
      <c r="B20" s="1467" t="s">
        <v>287</v>
      </c>
      <c r="C20" s="324" t="s">
        <v>9</v>
      </c>
      <c r="D20" s="265"/>
      <c r="E20" s="301"/>
      <c r="F20" s="1638" t="s">
        <v>3184</v>
      </c>
      <c r="G20" s="1638"/>
      <c r="H20" s="301"/>
      <c r="I20" s="1574" t="s">
        <v>3185</v>
      </c>
      <c r="J20" s="1574"/>
      <c r="K20" s="301"/>
    </row>
    <row r="21" spans="1:19" ht="24.6" customHeight="1">
      <c r="A21" s="84"/>
      <c r="B21" s="1467"/>
      <c r="C21" s="324"/>
      <c r="D21" s="265"/>
      <c r="E21" s="301"/>
      <c r="F21" s="301"/>
      <c r="G21" s="1638" t="s">
        <v>3188</v>
      </c>
      <c r="H21" s="1638"/>
      <c r="I21" s="301"/>
      <c r="J21" s="1574" t="s">
        <v>3186</v>
      </c>
      <c r="K21" s="1574"/>
    </row>
    <row r="22" spans="1:19" ht="24" customHeight="1">
      <c r="A22" s="84"/>
      <c r="B22" s="1467"/>
      <c r="C22" s="290" t="s">
        <v>2614</v>
      </c>
      <c r="D22" s="265"/>
      <c r="E22" s="301"/>
      <c r="F22" s="1522" t="s">
        <v>3182</v>
      </c>
      <c r="G22" s="1545"/>
      <c r="H22" s="301"/>
      <c r="I22" s="243" t="s">
        <v>3158</v>
      </c>
      <c r="J22" s="506"/>
      <c r="K22" s="301"/>
    </row>
    <row r="23" spans="1:19" ht="24" customHeight="1">
      <c r="A23" s="84"/>
      <c r="B23" s="1467"/>
      <c r="C23" s="290"/>
      <c r="D23" s="265"/>
      <c r="E23" s="301"/>
      <c r="F23" s="506"/>
      <c r="G23" s="1522" t="s">
        <v>3170</v>
      </c>
      <c r="H23" s="1545"/>
      <c r="I23" s="506"/>
      <c r="J23" s="506"/>
      <c r="K23" s="301"/>
    </row>
    <row r="24" spans="1:19" ht="24" customHeight="1">
      <c r="A24" s="84"/>
      <c r="B24" s="1467"/>
      <c r="C24" s="325" t="s">
        <v>316</v>
      </c>
      <c r="D24" s="265"/>
      <c r="E24" s="301"/>
      <c r="F24" s="165" t="s">
        <v>3041</v>
      </c>
      <c r="G24" s="165" t="s">
        <v>1795</v>
      </c>
      <c r="H24" s="165" t="s">
        <v>3042</v>
      </c>
      <c r="I24" s="325" t="s">
        <v>3043</v>
      </c>
      <c r="J24" s="325" t="s">
        <v>3044</v>
      </c>
      <c r="K24" s="301"/>
    </row>
    <row r="25" spans="1:19" ht="24.6" customHeight="1">
      <c r="A25" s="84"/>
      <c r="B25" s="500" t="s">
        <v>317</v>
      </c>
      <c r="C25" s="125" t="s">
        <v>2615</v>
      </c>
      <c r="D25" s="265"/>
      <c r="E25" s="301"/>
      <c r="F25" s="301"/>
      <c r="G25" s="301"/>
      <c r="H25" s="301"/>
      <c r="I25" s="301"/>
      <c r="J25" s="301"/>
      <c r="K25" s="301"/>
    </row>
    <row r="26" spans="1:19" ht="24.6" customHeight="1">
      <c r="A26" s="84"/>
      <c r="B26" s="84"/>
      <c r="C26" s="5"/>
      <c r="D26" s="5"/>
      <c r="E26" s="26">
        <f>K15+1</f>
        <v>10</v>
      </c>
      <c r="F26" s="175">
        <f t="shared" ref="F26:K26" si="1">E26+1</f>
        <v>11</v>
      </c>
      <c r="G26" s="175">
        <f t="shared" si="1"/>
        <v>12</v>
      </c>
      <c r="H26" s="175">
        <f t="shared" si="1"/>
        <v>13</v>
      </c>
      <c r="I26" s="175">
        <f t="shared" si="1"/>
        <v>14</v>
      </c>
      <c r="J26" s="175">
        <f t="shared" si="1"/>
        <v>15</v>
      </c>
      <c r="K26" s="175">
        <f t="shared" si="1"/>
        <v>16</v>
      </c>
      <c r="M26" s="1453"/>
      <c r="N26" s="1453"/>
      <c r="O26" s="1453"/>
    </row>
    <row r="27" spans="1:19" ht="24.6" customHeight="1">
      <c r="A27" s="84"/>
      <c r="B27" s="1467" t="s">
        <v>286</v>
      </c>
      <c r="C27" s="324" t="s">
        <v>9</v>
      </c>
      <c r="D27" s="265"/>
      <c r="E27" s="499"/>
      <c r="F27" s="499"/>
      <c r="G27" s="499"/>
      <c r="H27" s="499"/>
      <c r="I27" s="499"/>
      <c r="J27" s="499"/>
      <c r="K27" s="499"/>
    </row>
    <row r="28" spans="1:19" ht="24.6" customHeight="1">
      <c r="A28" s="84"/>
      <c r="B28" s="1467"/>
      <c r="C28" s="290" t="s">
        <v>7</v>
      </c>
      <c r="D28" s="265"/>
      <c r="E28" s="499"/>
      <c r="F28" s="499"/>
      <c r="G28" s="499"/>
      <c r="H28" s="499"/>
      <c r="I28" s="499"/>
      <c r="J28" s="499"/>
      <c r="K28" s="499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163" t="s">
        <v>389</v>
      </c>
      <c r="D29" s="265"/>
      <c r="E29" s="499"/>
      <c r="F29" s="499"/>
      <c r="G29" s="636"/>
      <c r="H29" s="636"/>
      <c r="I29" s="499"/>
      <c r="J29" s="499"/>
      <c r="K29" s="499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325" t="s">
        <v>316</v>
      </c>
      <c r="D30" s="265"/>
      <c r="E30" s="499"/>
      <c r="F30" s="499"/>
      <c r="G30" s="499"/>
      <c r="H30" s="499"/>
      <c r="I30" s="499"/>
      <c r="J30" s="637"/>
      <c r="K30" s="637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 t="s">
        <v>2612</v>
      </c>
      <c r="C31" s="324" t="s">
        <v>2609</v>
      </c>
      <c r="D31" s="265"/>
      <c r="E31" s="499"/>
      <c r="F31" s="1574" t="s">
        <v>3187</v>
      </c>
      <c r="G31" s="1574"/>
      <c r="H31" s="499"/>
      <c r="I31" s="1638" t="s">
        <v>3197</v>
      </c>
      <c r="J31" s="1638"/>
      <c r="K31" s="63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324"/>
      <c r="D32" s="265"/>
      <c r="E32" s="499"/>
      <c r="F32" s="499"/>
      <c r="G32" s="1574" t="s">
        <v>3237</v>
      </c>
      <c r="H32" s="1574"/>
      <c r="I32" s="63"/>
      <c r="J32" s="1638" t="s">
        <v>3198</v>
      </c>
      <c r="K32" s="1638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290" t="s">
        <v>2614</v>
      </c>
      <c r="D33" s="265"/>
      <c r="E33" s="499"/>
      <c r="F33" s="1522" t="s">
        <v>3171</v>
      </c>
      <c r="G33" s="1523"/>
      <c r="H33" s="558"/>
      <c r="I33" s="1522" t="s">
        <v>3173</v>
      </c>
      <c r="J33" s="1523"/>
      <c r="K33" s="499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/>
      <c r="D34" s="265"/>
      <c r="E34" s="499"/>
      <c r="F34" s="505"/>
      <c r="G34" s="499"/>
      <c r="H34" s="1522" t="s">
        <v>3172</v>
      </c>
      <c r="I34" s="1523"/>
      <c r="J34" s="558"/>
      <c r="K34" s="499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325" t="s">
        <v>316</v>
      </c>
      <c r="D35" s="265"/>
      <c r="E35" s="499"/>
      <c r="F35" s="325" t="s">
        <v>1798</v>
      </c>
      <c r="G35" s="325" t="s">
        <v>1799</v>
      </c>
      <c r="H35" s="325" t="s">
        <v>3045</v>
      </c>
      <c r="I35" s="325" t="s">
        <v>3046</v>
      </c>
      <c r="J35" s="325" t="s">
        <v>3047</v>
      </c>
      <c r="K35" s="499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500" t="s">
        <v>317</v>
      </c>
      <c r="C36" s="125" t="s">
        <v>228</v>
      </c>
      <c r="D36" s="265"/>
      <c r="E36" s="499"/>
      <c r="F36" s="499"/>
      <c r="G36" s="499"/>
      <c r="H36" s="499"/>
      <c r="I36" s="499"/>
      <c r="J36" s="499"/>
      <c r="K36" s="499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84"/>
      <c r="C37" s="5"/>
      <c r="D37" s="5"/>
      <c r="E37" s="266">
        <f>K26+1</f>
        <v>17</v>
      </c>
      <c r="F37" s="304">
        <f t="shared" ref="F37:K37" si="2">E37+1</f>
        <v>18</v>
      </c>
      <c r="G37" s="304">
        <f t="shared" si="2"/>
        <v>19</v>
      </c>
      <c r="H37" s="304">
        <f t="shared" si="2"/>
        <v>20</v>
      </c>
      <c r="I37" s="304">
        <f t="shared" si="2"/>
        <v>21</v>
      </c>
      <c r="J37" s="304">
        <f t="shared" si="2"/>
        <v>22</v>
      </c>
      <c r="K37" s="65">
        <f t="shared" si="2"/>
        <v>23</v>
      </c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 t="s">
        <v>2616</v>
      </c>
      <c r="C38" s="324" t="s">
        <v>2609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290" t="s">
        <v>7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163" t="s">
        <v>2610</v>
      </c>
      <c r="D40" s="265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325" t="s">
        <v>2611</v>
      </c>
      <c r="D41" s="265"/>
      <c r="E41" s="301"/>
      <c r="F41" s="301"/>
      <c r="G41" s="301"/>
      <c r="H41" s="301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" customHeight="1">
      <c r="A42" s="84"/>
      <c r="B42" s="1467" t="s">
        <v>287</v>
      </c>
      <c r="C42" s="324" t="s">
        <v>2609</v>
      </c>
      <c r="D42" s="265"/>
      <c r="E42" s="301"/>
      <c r="F42" s="1574" t="s">
        <v>3200</v>
      </c>
      <c r="G42" s="1574"/>
      <c r="H42" s="301"/>
      <c r="I42" s="1574" t="s">
        <v>3196</v>
      </c>
      <c r="J42" s="1574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" customHeight="1">
      <c r="A43" s="84"/>
      <c r="B43" s="1467"/>
      <c r="C43" s="324"/>
      <c r="D43" s="265"/>
      <c r="E43" s="301"/>
      <c r="F43" s="301"/>
      <c r="G43" s="1574" t="s">
        <v>3195</v>
      </c>
      <c r="H43" s="1574"/>
      <c r="I43" s="301"/>
      <c r="J43" s="1574" t="s">
        <v>3199</v>
      </c>
      <c r="K43" s="1574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1467"/>
      <c r="C44" s="290" t="s">
        <v>2614</v>
      </c>
      <c r="D44" s="265"/>
      <c r="E44" s="301"/>
      <c r="F44" s="1522" t="s">
        <v>3174</v>
      </c>
      <c r="G44" s="1545"/>
      <c r="H44" s="301"/>
      <c r="I44" s="1522" t="s">
        <v>3179</v>
      </c>
      <c r="J44" s="1545"/>
      <c r="K44" s="301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/>
      <c r="C45" s="290"/>
      <c r="D45" s="265"/>
      <c r="E45" s="301"/>
      <c r="F45" s="301"/>
      <c r="G45" s="1522" t="s">
        <v>3175</v>
      </c>
      <c r="H45" s="1545"/>
      <c r="I45" s="301"/>
      <c r="J45" s="301"/>
      <c r="K45" s="301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325" t="s">
        <v>2611</v>
      </c>
      <c r="D46" s="265"/>
      <c r="E46" s="301"/>
      <c r="F46" s="325" t="s">
        <v>3013</v>
      </c>
      <c r="G46" s="325" t="s">
        <v>3048</v>
      </c>
      <c r="H46" s="325" t="s">
        <v>3049</v>
      </c>
      <c r="I46" s="325" t="s">
        <v>3050</v>
      </c>
      <c r="J46" s="325" t="s">
        <v>3014</v>
      </c>
      <c r="K46" s="301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500" t="s">
        <v>2613</v>
      </c>
      <c r="C47" s="125" t="s">
        <v>228</v>
      </c>
      <c r="D47" s="265"/>
      <c r="E47" s="345"/>
      <c r="F47" s="301"/>
      <c r="G47" s="301"/>
      <c r="H47" s="301"/>
      <c r="I47" s="301"/>
      <c r="J47" s="301"/>
      <c r="K47" s="301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84"/>
      <c r="C48" s="269"/>
      <c r="D48" s="265"/>
      <c r="E48" s="26">
        <f>K37+1</f>
        <v>24</v>
      </c>
      <c r="F48" s="175">
        <f t="shared" ref="F48:K48" si="3">E48+1</f>
        <v>25</v>
      </c>
      <c r="G48" s="175">
        <f t="shared" si="3"/>
        <v>26</v>
      </c>
      <c r="H48" s="175">
        <f t="shared" si="3"/>
        <v>27</v>
      </c>
      <c r="I48" s="175">
        <f t="shared" si="3"/>
        <v>28</v>
      </c>
      <c r="J48" s="175">
        <f t="shared" si="3"/>
        <v>29</v>
      </c>
      <c r="K48" s="175">
        <f t="shared" si="3"/>
        <v>30</v>
      </c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 t="s">
        <v>2616</v>
      </c>
      <c r="C49" s="324" t="s">
        <v>2609</v>
      </c>
      <c r="D49" s="265"/>
      <c r="E49" s="499"/>
      <c r="F49" s="499"/>
      <c r="G49" s="499"/>
      <c r="H49" s="499"/>
      <c r="I49" s="499"/>
      <c r="J49" s="499"/>
      <c r="K49" s="499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290" t="s">
        <v>7</v>
      </c>
      <c r="D50" s="265"/>
      <c r="E50" s="499"/>
      <c r="F50" s="499"/>
      <c r="G50" s="499"/>
      <c r="H50" s="499"/>
      <c r="I50" s="637"/>
      <c r="J50" s="637"/>
      <c r="K50" s="499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163" t="s">
        <v>389</v>
      </c>
      <c r="D51" s="265"/>
      <c r="E51" s="499"/>
      <c r="F51" s="499"/>
      <c r="G51" s="499"/>
      <c r="H51" s="643"/>
      <c r="I51" s="643"/>
      <c r="J51" s="639"/>
      <c r="K51" s="499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325" t="s">
        <v>2611</v>
      </c>
      <c r="D52" s="265"/>
      <c r="E52" s="499"/>
      <c r="F52" s="499"/>
      <c r="G52" s="499"/>
      <c r="H52" s="499"/>
      <c r="I52" s="499"/>
      <c r="J52" s="499"/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 t="s">
        <v>2612</v>
      </c>
      <c r="C53" s="324" t="s">
        <v>2609</v>
      </c>
      <c r="D53" s="265"/>
      <c r="E53" s="499"/>
      <c r="F53" s="499"/>
      <c r="G53" s="1574" t="s">
        <v>3201</v>
      </c>
      <c r="H53" s="1574"/>
      <c r="I53" s="642"/>
      <c r="J53" s="642"/>
      <c r="K53" s="639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1467"/>
      <c r="C54" s="324"/>
      <c r="D54" s="265"/>
      <c r="E54" s="499"/>
      <c r="F54" s="499"/>
      <c r="G54" s="499"/>
      <c r="H54" s="1574" t="s">
        <v>3202</v>
      </c>
      <c r="I54" s="1574"/>
      <c r="J54" s="643"/>
      <c r="K54" s="499"/>
      <c r="L54" s="84"/>
      <c r="M54" s="84"/>
      <c r="N54" s="84"/>
      <c r="O54" s="84"/>
      <c r="P54" s="84"/>
      <c r="Q54" s="84"/>
      <c r="R54" s="84"/>
      <c r="S54" s="84"/>
    </row>
    <row r="55" spans="1:19" ht="24.6" customHeight="1">
      <c r="A55" s="84"/>
      <c r="B55" s="1467"/>
      <c r="C55" s="290" t="s">
        <v>292</v>
      </c>
      <c r="D55" s="265"/>
      <c r="E55" s="499"/>
      <c r="F55" s="499"/>
      <c r="G55" s="1522" t="s">
        <v>3180</v>
      </c>
      <c r="H55" s="1545"/>
      <c r="I55" s="644"/>
      <c r="J55" s="644"/>
      <c r="K55" s="499"/>
      <c r="L55" s="84"/>
      <c r="M55" s="84"/>
      <c r="N55" s="84"/>
      <c r="O55" s="84"/>
      <c r="P55" s="84"/>
      <c r="Q55" s="84"/>
      <c r="R55" s="84"/>
      <c r="S55" s="84"/>
    </row>
    <row r="56" spans="1:19" ht="24.6" customHeight="1">
      <c r="A56" s="84"/>
      <c r="B56" s="1467"/>
      <c r="C56" s="290"/>
      <c r="D56" s="265"/>
      <c r="E56" s="499"/>
      <c r="F56" s="499"/>
      <c r="G56" s="499"/>
      <c r="H56" s="644"/>
      <c r="I56" s="644"/>
      <c r="J56" s="637"/>
      <c r="K56" s="499"/>
      <c r="L56" s="84"/>
      <c r="M56" s="84"/>
      <c r="N56" s="84"/>
      <c r="O56" s="84"/>
      <c r="P56" s="84"/>
      <c r="Q56" s="84"/>
      <c r="R56" s="84"/>
      <c r="S56" s="84"/>
    </row>
    <row r="57" spans="1:19" ht="24.6" customHeight="1">
      <c r="A57" s="84"/>
      <c r="B57" s="1467"/>
      <c r="C57" s="325" t="s">
        <v>2611</v>
      </c>
      <c r="D57" s="265"/>
      <c r="E57" s="499"/>
      <c r="F57" s="499"/>
      <c r="G57" s="325" t="s">
        <v>3014</v>
      </c>
      <c r="H57" s="325" t="s">
        <v>3052</v>
      </c>
      <c r="I57" s="325" t="s">
        <v>3054</v>
      </c>
      <c r="J57" s="325" t="s">
        <v>3051</v>
      </c>
      <c r="K57" s="499"/>
      <c r="L57" s="84"/>
      <c r="M57" s="84"/>
      <c r="N57" s="84"/>
      <c r="O57" s="84"/>
      <c r="P57" s="84"/>
      <c r="Q57" s="84"/>
      <c r="R57" s="84"/>
      <c r="S57" s="84"/>
    </row>
    <row r="58" spans="1:19" ht="24.6" customHeight="1">
      <c r="A58" s="84"/>
      <c r="B58" s="500" t="s">
        <v>317</v>
      </c>
      <c r="C58" s="125" t="s">
        <v>228</v>
      </c>
      <c r="D58" s="265"/>
      <c r="E58" s="499"/>
      <c r="F58" s="125" t="s">
        <v>2617</v>
      </c>
      <c r="G58" s="499"/>
      <c r="H58" s="499"/>
      <c r="I58" s="499"/>
      <c r="J58" s="499"/>
      <c r="K58" s="499"/>
      <c r="L58" s="84"/>
      <c r="M58" s="84"/>
      <c r="N58" s="84"/>
      <c r="O58" s="84"/>
      <c r="P58" s="84"/>
      <c r="Q58" s="84"/>
      <c r="R58" s="84"/>
      <c r="S58" s="84"/>
    </row>
    <row r="59" spans="1:19" ht="19.149999999999999">
      <c r="B59" s="84"/>
      <c r="C59" s="5"/>
      <c r="D59" s="5"/>
      <c r="E59" s="507">
        <f>K48+1</f>
        <v>31</v>
      </c>
      <c r="F59" s="508"/>
      <c r="G59" s="508"/>
      <c r="H59" s="508"/>
      <c r="I59" s="508"/>
      <c r="J59" s="508"/>
      <c r="K59" s="509"/>
    </row>
    <row r="60" spans="1:19" ht="19.149999999999999">
      <c r="B60" s="1467" t="s">
        <v>286</v>
      </c>
      <c r="C60" s="324" t="s">
        <v>2609</v>
      </c>
      <c r="D60" s="265"/>
      <c r="E60" s="510"/>
      <c r="F60" s="510"/>
      <c r="G60" s="510"/>
      <c r="H60" s="510"/>
      <c r="I60" s="510"/>
      <c r="J60" s="510"/>
      <c r="K60" s="510"/>
    </row>
    <row r="61" spans="1:19" ht="19.149999999999999">
      <c r="B61" s="1467"/>
      <c r="C61" s="290" t="s">
        <v>7</v>
      </c>
      <c r="D61" s="265"/>
      <c r="E61" s="510"/>
      <c r="F61" s="510"/>
      <c r="G61" s="510"/>
      <c r="H61" s="510"/>
      <c r="I61" s="510"/>
      <c r="J61" s="510"/>
      <c r="K61" s="510"/>
    </row>
    <row r="62" spans="1:19" ht="19.149999999999999">
      <c r="B62" s="1467"/>
      <c r="C62" s="163" t="s">
        <v>2610</v>
      </c>
      <c r="D62" s="265"/>
      <c r="E62" s="510"/>
      <c r="F62" s="510"/>
      <c r="G62" s="510"/>
      <c r="H62" s="510"/>
      <c r="I62" s="510"/>
      <c r="J62" s="510"/>
      <c r="K62" s="510"/>
    </row>
    <row r="63" spans="1:19" ht="19.149999999999999">
      <c r="B63" s="1467"/>
      <c r="C63" s="325" t="s">
        <v>2611</v>
      </c>
      <c r="D63" s="265"/>
      <c r="E63" s="510"/>
      <c r="F63" s="510"/>
      <c r="G63" s="510"/>
      <c r="H63" s="510"/>
      <c r="I63" s="510"/>
      <c r="J63" s="510"/>
      <c r="K63" s="510"/>
    </row>
    <row r="64" spans="1:19" ht="19.149999999999999">
      <c r="B64" s="1467" t="s">
        <v>287</v>
      </c>
      <c r="C64" s="324" t="s">
        <v>2609</v>
      </c>
      <c r="D64" s="265"/>
      <c r="E64" s="510"/>
      <c r="F64" s="510"/>
      <c r="G64" s="510"/>
      <c r="H64" s="510"/>
      <c r="I64" s="510"/>
      <c r="J64" s="510"/>
      <c r="K64" s="510"/>
    </row>
    <row r="65" spans="2:11" ht="19.149999999999999">
      <c r="B65" s="1467"/>
      <c r="C65" s="290" t="s">
        <v>2614</v>
      </c>
      <c r="D65" s="265"/>
      <c r="E65" s="510"/>
      <c r="F65" s="510"/>
      <c r="G65" s="510"/>
      <c r="H65" s="510"/>
      <c r="I65" s="510"/>
      <c r="J65" s="510"/>
      <c r="K65" s="510"/>
    </row>
    <row r="66" spans="2:11" ht="19.149999999999999">
      <c r="B66" s="1467"/>
      <c r="C66" s="325" t="s">
        <v>316</v>
      </c>
      <c r="D66" s="265"/>
      <c r="E66" s="510"/>
      <c r="F66" s="510"/>
      <c r="G66" s="510"/>
      <c r="H66" s="510"/>
      <c r="I66" s="510"/>
      <c r="J66" s="510"/>
      <c r="K66" s="510"/>
    </row>
    <row r="67" spans="2:11" ht="19.149999999999999">
      <c r="B67" s="500" t="s">
        <v>317</v>
      </c>
      <c r="C67" s="125" t="s">
        <v>228</v>
      </c>
      <c r="D67" s="265"/>
      <c r="E67" s="510"/>
      <c r="F67" s="510"/>
      <c r="G67" s="510"/>
      <c r="H67" s="510"/>
      <c r="I67" s="510"/>
      <c r="J67" s="510"/>
      <c r="K67" s="510"/>
    </row>
  </sheetData>
  <mergeCells count="39">
    <mergeCell ref="B38:B41"/>
    <mergeCell ref="B16:B19"/>
    <mergeCell ref="B20:B24"/>
    <mergeCell ref="F20:G20"/>
    <mergeCell ref="I20:J20"/>
    <mergeCell ref="G21:H21"/>
    <mergeCell ref="J21:K21"/>
    <mergeCell ref="F22:G22"/>
    <mergeCell ref="G23:H23"/>
    <mergeCell ref="E3:G3"/>
    <mergeCell ref="H3:K3"/>
    <mergeCell ref="B6:B9"/>
    <mergeCell ref="B10:B13"/>
    <mergeCell ref="J11:K11"/>
    <mergeCell ref="M26:O26"/>
    <mergeCell ref="B27:B30"/>
    <mergeCell ref="B31:B35"/>
    <mergeCell ref="F31:G31"/>
    <mergeCell ref="I31:J31"/>
    <mergeCell ref="G32:H32"/>
    <mergeCell ref="J32:K32"/>
    <mergeCell ref="F33:G33"/>
    <mergeCell ref="H34:I34"/>
    <mergeCell ref="I33:J33"/>
    <mergeCell ref="B42:B46"/>
    <mergeCell ref="F42:G42"/>
    <mergeCell ref="I44:J44"/>
    <mergeCell ref="G45:H45"/>
    <mergeCell ref="F44:G44"/>
    <mergeCell ref="G43:H43"/>
    <mergeCell ref="J43:K43"/>
    <mergeCell ref="I42:J42"/>
    <mergeCell ref="B60:B63"/>
    <mergeCell ref="B64:B66"/>
    <mergeCell ref="B49:B52"/>
    <mergeCell ref="B53:B57"/>
    <mergeCell ref="G53:H53"/>
    <mergeCell ref="G55:H55"/>
    <mergeCell ref="H54:I54"/>
  </mergeCells>
  <phoneticPr fontId="6" type="noConversion"/>
  <pageMargins left="0.7" right="0.7" top="0.43" bottom="0.75" header="0.3" footer="0.3"/>
  <pageSetup paperSize="9" scale="29" orientation="portrait"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7">
    <pageSetUpPr fitToPage="1"/>
  </sheetPr>
  <dimension ref="A1:S59"/>
  <sheetViews>
    <sheetView zoomScale="55" zoomScaleNormal="55" workbookViewId="0">
      <selection activeCell="F36" sqref="F3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20" width="16.6640625" style="84" customWidth="1"/>
    <col min="21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45292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>
        <v>1</v>
      </c>
      <c r="G5" s="175">
        <v>2</v>
      </c>
      <c r="H5" s="175">
        <v>3</v>
      </c>
      <c r="I5" s="175">
        <v>4</v>
      </c>
      <c r="J5" s="175">
        <v>5</v>
      </c>
      <c r="K5" s="175">
        <v>6</v>
      </c>
      <c r="L5" s="90"/>
      <c r="M5" s="90"/>
      <c r="N5" s="90"/>
      <c r="R5" s="11"/>
      <c r="S5" s="90"/>
    </row>
    <row r="6" spans="1:19" s="5" customFormat="1" ht="24.6" customHeight="1">
      <c r="B6" s="1467" t="s">
        <v>286</v>
      </c>
      <c r="C6" s="324" t="s">
        <v>9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389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316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90"/>
      <c r="R9" s="11"/>
      <c r="S9" s="90"/>
    </row>
    <row r="10" spans="1:19" s="5" customFormat="1" ht="24.6" customHeight="1">
      <c r="B10" s="1467" t="s">
        <v>287</v>
      </c>
      <c r="C10" s="324" t="s">
        <v>9</v>
      </c>
      <c r="D10" s="265"/>
      <c r="E10" s="499"/>
      <c r="F10" s="499"/>
      <c r="G10" s="1574" t="s">
        <v>3206</v>
      </c>
      <c r="H10" s="1574"/>
      <c r="I10" s="637"/>
      <c r="J10" s="1574" t="s">
        <v>3223</v>
      </c>
      <c r="K10" s="1574"/>
      <c r="L10" s="90"/>
      <c r="M10" s="90"/>
      <c r="N10" s="90"/>
      <c r="R10" s="11"/>
      <c r="S10" s="90"/>
    </row>
    <row r="11" spans="1:19" s="5" customFormat="1" ht="24.6" customHeight="1">
      <c r="B11" s="1467"/>
      <c r="C11" s="324"/>
      <c r="D11" s="265"/>
      <c r="E11" s="637"/>
      <c r="F11" s="637"/>
      <c r="G11" s="637"/>
      <c r="H11" s="637"/>
      <c r="I11" s="1574" t="s">
        <v>3207</v>
      </c>
      <c r="J11" s="1574"/>
      <c r="K11" s="637"/>
      <c r="L11" s="90"/>
      <c r="M11" s="90"/>
      <c r="N11" s="90"/>
      <c r="R11" s="11"/>
      <c r="S11" s="90"/>
    </row>
    <row r="12" spans="1:19" s="5" customFormat="1" ht="24" customHeight="1">
      <c r="B12" s="1467"/>
      <c r="C12" s="290" t="s">
        <v>292</v>
      </c>
      <c r="D12" s="265"/>
      <c r="E12" s="499"/>
      <c r="F12" s="499"/>
      <c r="G12" s="1522" t="s">
        <v>3191</v>
      </c>
      <c r="H12" s="1523"/>
      <c r="I12" s="558"/>
      <c r="J12" s="499"/>
      <c r="K12" s="499"/>
      <c r="L12" s="90"/>
      <c r="M12" s="90"/>
      <c r="N12" s="90"/>
      <c r="R12" s="11"/>
      <c r="S12" s="90"/>
    </row>
    <row r="13" spans="1:19" s="5" customFormat="1" ht="24" customHeight="1">
      <c r="B13" s="1467"/>
      <c r="C13" s="290"/>
      <c r="D13" s="265"/>
      <c r="E13" s="499"/>
      <c r="F13" s="499"/>
      <c r="G13" s="505"/>
      <c r="H13" s="499"/>
      <c r="I13" s="1522" t="s">
        <v>3192</v>
      </c>
      <c r="J13" s="1523"/>
      <c r="K13" s="499"/>
      <c r="L13" s="90"/>
      <c r="M13" s="90"/>
      <c r="N13" s="90"/>
      <c r="R13" s="11"/>
      <c r="S13" s="90"/>
    </row>
    <row r="14" spans="1:19" s="5" customFormat="1" ht="24.6" customHeight="1">
      <c r="B14" s="1467"/>
      <c r="C14" s="325" t="s">
        <v>316</v>
      </c>
      <c r="D14" s="265"/>
      <c r="E14" s="499"/>
      <c r="F14" s="499"/>
      <c r="G14" s="325" t="s">
        <v>3055</v>
      </c>
      <c r="H14" s="325" t="s">
        <v>3015</v>
      </c>
      <c r="I14" s="325" t="s">
        <v>3015</v>
      </c>
      <c r="J14" s="325" t="s">
        <v>3053</v>
      </c>
      <c r="K14" s="499"/>
      <c r="L14" s="90"/>
      <c r="M14" s="90"/>
      <c r="N14" s="90"/>
      <c r="R14" s="11"/>
      <c r="S14" s="90"/>
    </row>
    <row r="15" spans="1:19" s="5" customFormat="1" ht="24.6" customHeight="1">
      <c r="B15" s="500" t="s">
        <v>317</v>
      </c>
      <c r="C15" s="125" t="s">
        <v>2615</v>
      </c>
      <c r="D15" s="265"/>
      <c r="E15" s="499"/>
      <c r="F15" s="125" t="s">
        <v>538</v>
      </c>
      <c r="G15" s="499"/>
      <c r="H15" s="499"/>
      <c r="I15" s="499"/>
      <c r="J15" s="499"/>
      <c r="K15" s="499"/>
      <c r="L15" s="90"/>
      <c r="M15" s="90"/>
      <c r="N15" s="90"/>
      <c r="R15" s="11"/>
      <c r="S15" s="90"/>
    </row>
    <row r="16" spans="1:19" ht="24.6" customHeight="1">
      <c r="A16" s="84"/>
      <c r="B16" s="84"/>
      <c r="C16" s="5"/>
      <c r="D16" s="5"/>
      <c r="E16" s="266">
        <f>K5+1</f>
        <v>7</v>
      </c>
      <c r="F16" s="65">
        <f t="shared" ref="F16:K16" si="0">E16+1</f>
        <v>8</v>
      </c>
      <c r="G16" s="65">
        <f t="shared" si="0"/>
        <v>9</v>
      </c>
      <c r="H16" s="65">
        <f t="shared" si="0"/>
        <v>10</v>
      </c>
      <c r="I16" s="65">
        <f t="shared" si="0"/>
        <v>11</v>
      </c>
      <c r="J16" s="65">
        <f t="shared" si="0"/>
        <v>12</v>
      </c>
      <c r="K16" s="65">
        <f t="shared" si="0"/>
        <v>13</v>
      </c>
    </row>
    <row r="17" spans="1:19" ht="24.6" customHeight="1">
      <c r="A17" s="84"/>
      <c r="B17" s="1467" t="s">
        <v>286</v>
      </c>
      <c r="C17" s="324" t="s">
        <v>9</v>
      </c>
      <c r="D17" s="265"/>
      <c r="E17" s="301"/>
      <c r="F17" s="301" t="s">
        <v>3189</v>
      </c>
      <c r="G17" s="301"/>
      <c r="H17" s="301"/>
      <c r="I17" s="301"/>
      <c r="J17" s="301"/>
      <c r="K17" s="301"/>
    </row>
    <row r="18" spans="1:19" ht="24.6" customHeight="1">
      <c r="A18" s="84"/>
      <c r="B18" s="1467"/>
      <c r="C18" s="290" t="s">
        <v>7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/>
      <c r="C19" s="163" t="s">
        <v>389</v>
      </c>
      <c r="D19" s="265"/>
      <c r="E19" s="301"/>
      <c r="F19" s="301"/>
      <c r="G19" s="301"/>
      <c r="H19" s="301"/>
      <c r="I19" s="301"/>
      <c r="J19" s="301"/>
      <c r="K19" s="301"/>
    </row>
    <row r="20" spans="1:19" ht="24.6" customHeight="1">
      <c r="A20" s="84"/>
      <c r="B20" s="1467"/>
      <c r="C20" s="325" t="s">
        <v>316</v>
      </c>
      <c r="D20" s="265"/>
      <c r="E20" s="301"/>
      <c r="F20" s="301"/>
      <c r="G20" s="301"/>
      <c r="H20" s="301"/>
      <c r="I20" s="301"/>
      <c r="J20" s="301"/>
      <c r="K20" s="301"/>
    </row>
    <row r="21" spans="1:19" ht="24.6" customHeight="1">
      <c r="A21" s="84"/>
      <c r="B21" s="1467" t="s">
        <v>287</v>
      </c>
      <c r="C21" s="324" t="s">
        <v>9</v>
      </c>
      <c r="D21" s="265"/>
      <c r="E21" s="301"/>
      <c r="F21" s="1574" t="s">
        <v>3211</v>
      </c>
      <c r="G21" s="1574"/>
      <c r="H21" s="301"/>
      <c r="I21" s="1574" t="s">
        <v>3213</v>
      </c>
      <c r="J21" s="1574"/>
      <c r="K21" s="301"/>
    </row>
    <row r="22" spans="1:19" ht="24.6" customHeight="1">
      <c r="A22" s="84"/>
      <c r="B22" s="1467"/>
      <c r="C22" s="324"/>
      <c r="D22" s="265"/>
      <c r="E22" s="301"/>
      <c r="F22" s="301"/>
      <c r="G22" s="1574" t="s">
        <v>3212</v>
      </c>
      <c r="H22" s="1574"/>
      <c r="I22" s="301"/>
      <c r="J22" s="1639" t="s">
        <v>3224</v>
      </c>
      <c r="K22" s="1640"/>
    </row>
    <row r="23" spans="1:19" ht="24" customHeight="1">
      <c r="A23" s="84"/>
      <c r="B23" s="1467"/>
      <c r="C23" s="290" t="s">
        <v>292</v>
      </c>
      <c r="D23" s="265"/>
      <c r="E23" s="301"/>
      <c r="F23" s="301"/>
      <c r="G23" s="301"/>
      <c r="H23" s="1522" t="s">
        <v>3193</v>
      </c>
      <c r="I23" s="1523"/>
      <c r="J23" s="301"/>
      <c r="K23" s="301"/>
    </row>
    <row r="24" spans="1:19" ht="24" customHeight="1">
      <c r="A24" s="84"/>
      <c r="B24" s="1467"/>
      <c r="C24" s="290"/>
      <c r="D24" s="265"/>
      <c r="E24" s="301"/>
      <c r="F24" s="506"/>
      <c r="G24" s="301"/>
      <c r="H24" s="301"/>
      <c r="I24" s="301"/>
      <c r="J24" s="243" t="s">
        <v>3190</v>
      </c>
      <c r="K24" s="301"/>
    </row>
    <row r="25" spans="1:19" ht="24" customHeight="1">
      <c r="A25" s="84"/>
      <c r="B25" s="1467"/>
      <c r="C25" s="325" t="s">
        <v>316</v>
      </c>
      <c r="D25" s="265"/>
      <c r="E25" s="301"/>
      <c r="F25" s="325" t="s">
        <v>3053</v>
      </c>
      <c r="G25" s="325" t="s">
        <v>3056</v>
      </c>
      <c r="H25" s="325" t="s">
        <v>3056</v>
      </c>
      <c r="I25" s="325" t="s">
        <v>3057</v>
      </c>
      <c r="J25" s="325" t="s">
        <v>3057</v>
      </c>
      <c r="K25" s="301"/>
    </row>
    <row r="26" spans="1:19" ht="24.6" customHeight="1">
      <c r="A26" s="84"/>
      <c r="B26" s="500" t="s">
        <v>317</v>
      </c>
      <c r="C26" s="125" t="s">
        <v>228</v>
      </c>
      <c r="D26" s="265"/>
      <c r="E26" s="301"/>
      <c r="F26" s="301"/>
      <c r="G26" s="301"/>
      <c r="H26" s="301"/>
      <c r="I26" s="301"/>
      <c r="J26" s="301"/>
      <c r="K26" s="301"/>
    </row>
    <row r="27" spans="1:19" ht="24.6" customHeight="1">
      <c r="A27" s="84"/>
      <c r="B27" s="84"/>
      <c r="C27" s="5"/>
      <c r="D27" s="5"/>
      <c r="E27" s="26">
        <f>K16+1</f>
        <v>14</v>
      </c>
      <c r="F27" s="175">
        <f t="shared" ref="F27:K27" si="1">E27+1</f>
        <v>15</v>
      </c>
      <c r="G27" s="175">
        <f t="shared" si="1"/>
        <v>16</v>
      </c>
      <c r="H27" s="175">
        <f t="shared" si="1"/>
        <v>17</v>
      </c>
      <c r="I27" s="175">
        <f t="shared" si="1"/>
        <v>18</v>
      </c>
      <c r="J27" s="175">
        <f t="shared" si="1"/>
        <v>19</v>
      </c>
      <c r="K27" s="175">
        <f t="shared" si="1"/>
        <v>20</v>
      </c>
      <c r="M27" s="1453"/>
      <c r="N27" s="1453"/>
      <c r="O27" s="1453"/>
    </row>
    <row r="28" spans="1:19" ht="24.6" customHeight="1">
      <c r="A28" s="84"/>
      <c r="B28" s="1467" t="s">
        <v>2616</v>
      </c>
      <c r="C28" s="324" t="s">
        <v>9</v>
      </c>
      <c r="D28" s="265"/>
      <c r="E28" s="499"/>
      <c r="F28" s="499"/>
      <c r="G28" s="499"/>
      <c r="H28" s="499"/>
      <c r="I28" s="499"/>
      <c r="J28" s="499"/>
      <c r="K28" s="499"/>
    </row>
    <row r="29" spans="1:19" ht="24.6" customHeight="1">
      <c r="A29" s="84"/>
      <c r="B29" s="1467"/>
      <c r="C29" s="290" t="s">
        <v>7</v>
      </c>
      <c r="D29" s="265"/>
      <c r="E29" s="499"/>
      <c r="F29" s="499"/>
      <c r="G29" s="499"/>
      <c r="H29" s="499"/>
      <c r="I29" s="499"/>
      <c r="J29" s="499"/>
      <c r="K29" s="499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163" t="s">
        <v>2610</v>
      </c>
      <c r="D30" s="265"/>
      <c r="E30" s="499"/>
      <c r="F30" s="499"/>
      <c r="G30" s="499"/>
      <c r="H30" s="499"/>
      <c r="I30" s="499"/>
      <c r="J30" s="499"/>
      <c r="K30" s="499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325" t="s">
        <v>316</v>
      </c>
      <c r="D31" s="265"/>
      <c r="E31" s="499"/>
      <c r="F31" s="499"/>
      <c r="G31" s="499"/>
      <c r="H31" s="499"/>
      <c r="I31" s="499"/>
      <c r="J31" s="499"/>
      <c r="K31" s="499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 t="s">
        <v>287</v>
      </c>
      <c r="C32" s="324" t="s">
        <v>9</v>
      </c>
      <c r="D32" s="265"/>
      <c r="E32" s="499"/>
      <c r="F32" s="1638" t="s">
        <v>3222</v>
      </c>
      <c r="G32" s="1638"/>
      <c r="H32" s="499"/>
      <c r="I32" s="638"/>
      <c r="J32" s="1638" t="s">
        <v>3228</v>
      </c>
      <c r="K32" s="1638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324"/>
      <c r="D33" s="265"/>
      <c r="E33" s="499"/>
      <c r="F33" s="499"/>
      <c r="G33" s="638"/>
      <c r="H33" s="1638" t="s">
        <v>3215</v>
      </c>
      <c r="I33" s="1638"/>
      <c r="J33" s="638"/>
      <c r="K33" s="638"/>
      <c r="L33" s="84"/>
      <c r="M33" s="84"/>
      <c r="N33" s="84"/>
      <c r="O33" s="84"/>
      <c r="P33" s="84"/>
      <c r="Q33" s="84"/>
      <c r="R33" s="84"/>
      <c r="S33" s="84"/>
    </row>
    <row r="34" spans="1:19" ht="24" customHeight="1">
      <c r="A34" s="84"/>
      <c r="B34" s="1467"/>
      <c r="C34" s="290" t="s">
        <v>292</v>
      </c>
      <c r="D34" s="265"/>
      <c r="E34" s="499"/>
      <c r="F34" s="438" t="s">
        <v>3288</v>
      </c>
      <c r="G34" s="1522" t="s">
        <v>3203</v>
      </c>
      <c r="H34" s="1545"/>
      <c r="I34" s="649"/>
      <c r="J34" s="649"/>
      <c r="K34" s="499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290"/>
      <c r="D35" s="265"/>
      <c r="E35" s="499"/>
      <c r="F35" s="438" t="s">
        <v>3204</v>
      </c>
      <c r="G35" s="649"/>
      <c r="H35" s="1522" t="s">
        <v>3194</v>
      </c>
      <c r="I35" s="1523"/>
      <c r="J35" s="647"/>
      <c r="K35" s="499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265"/>
      <c r="E36" s="499"/>
      <c r="F36" s="325" t="s">
        <v>3058</v>
      </c>
      <c r="G36" s="325" t="s">
        <v>3058</v>
      </c>
      <c r="H36" s="325" t="s">
        <v>3059</v>
      </c>
      <c r="I36" s="325" t="s">
        <v>3016</v>
      </c>
      <c r="J36" s="325" t="s">
        <v>3061</v>
      </c>
      <c r="K36" s="499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500" t="s">
        <v>317</v>
      </c>
      <c r="C37" s="125" t="s">
        <v>228</v>
      </c>
      <c r="D37" s="265"/>
      <c r="E37" s="499"/>
      <c r="F37" s="499"/>
      <c r="G37" s="499"/>
      <c r="H37" s="499"/>
      <c r="I37" s="499"/>
      <c r="J37" s="499"/>
      <c r="K37" s="499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84"/>
      <c r="C38" s="5"/>
      <c r="D38" s="5"/>
      <c r="E38" s="266">
        <f>K27+1</f>
        <v>21</v>
      </c>
      <c r="F38" s="304">
        <f t="shared" ref="F38:K38" si="2">E38+1</f>
        <v>22</v>
      </c>
      <c r="G38" s="304">
        <f t="shared" si="2"/>
        <v>23</v>
      </c>
      <c r="H38" s="304">
        <f t="shared" si="2"/>
        <v>24</v>
      </c>
      <c r="I38" s="304">
        <f t="shared" si="2"/>
        <v>25</v>
      </c>
      <c r="J38" s="304">
        <f t="shared" si="2"/>
        <v>26</v>
      </c>
      <c r="K38" s="65">
        <f t="shared" si="2"/>
        <v>27</v>
      </c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 t="s">
        <v>286</v>
      </c>
      <c r="C39" s="324" t="s">
        <v>9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290" t="s">
        <v>7</v>
      </c>
      <c r="D40" s="265"/>
      <c r="E40" s="301"/>
      <c r="F40" s="301"/>
      <c r="G40" s="301"/>
      <c r="H40" s="301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163" t="s">
        <v>389</v>
      </c>
      <c r="D41" s="265"/>
      <c r="E41" s="301"/>
      <c r="F41" s="301"/>
      <c r="G41" s="301"/>
      <c r="H41" s="301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325" t="s">
        <v>316</v>
      </c>
      <c r="D42" s="265"/>
      <c r="E42" s="301"/>
      <c r="F42" s="301"/>
      <c r="G42" s="301"/>
      <c r="H42" s="301"/>
      <c r="I42" s="301"/>
      <c r="J42" s="301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" customHeight="1">
      <c r="A43" s="84"/>
      <c r="B43" s="1467" t="s">
        <v>287</v>
      </c>
      <c r="C43" s="324" t="s">
        <v>9</v>
      </c>
      <c r="D43" s="265"/>
      <c r="E43" s="301"/>
      <c r="F43" s="1574" t="s">
        <v>3225</v>
      </c>
      <c r="G43" s="1574"/>
      <c r="H43" s="301"/>
      <c r="I43" s="1574" t="s">
        <v>3227</v>
      </c>
      <c r="J43" s="1574"/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" customHeight="1">
      <c r="A44" s="84"/>
      <c r="B44" s="1467"/>
      <c r="C44" s="324"/>
      <c r="D44" s="265"/>
      <c r="E44" s="301"/>
      <c r="F44" s="301"/>
      <c r="G44" s="1638" t="s">
        <v>3226</v>
      </c>
      <c r="H44" s="1638"/>
      <c r="I44" s="301"/>
      <c r="J44" s="1556" t="s">
        <v>3232</v>
      </c>
      <c r="K44" s="1557"/>
      <c r="L44" s="84"/>
      <c r="M44" s="84"/>
      <c r="N44" s="84"/>
      <c r="O44" s="84"/>
      <c r="P44" s="84"/>
      <c r="Q44" s="84"/>
      <c r="R44" s="84"/>
      <c r="S44" s="84"/>
    </row>
    <row r="45" spans="1:19" ht="24" customHeight="1">
      <c r="A45" s="84"/>
      <c r="B45" s="1467"/>
      <c r="C45" s="290" t="s">
        <v>292</v>
      </c>
      <c r="D45" s="265"/>
      <c r="E45" s="301"/>
      <c r="F45" s="438" t="s">
        <v>3230</v>
      </c>
      <c r="G45" s="301"/>
      <c r="H45" s="438" t="s">
        <v>3205</v>
      </c>
      <c r="I45" s="301"/>
      <c r="J45" s="301"/>
      <c r="K45" s="301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290"/>
      <c r="D46" s="265"/>
      <c r="E46" s="301"/>
      <c r="F46" s="506"/>
      <c r="G46" s="438" t="s">
        <v>3229</v>
      </c>
      <c r="H46" s="301"/>
      <c r="I46" s="1522" t="s">
        <v>3210</v>
      </c>
      <c r="J46" s="1545"/>
      <c r="K46" s="301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325" t="s">
        <v>316</v>
      </c>
      <c r="D47" s="265"/>
      <c r="E47" s="301"/>
      <c r="F47" s="325" t="s">
        <v>3062</v>
      </c>
      <c r="G47" s="325" t="s">
        <v>3017</v>
      </c>
      <c r="H47" s="325" t="s">
        <v>3060</v>
      </c>
      <c r="I47" s="325" t="s">
        <v>3063</v>
      </c>
      <c r="J47" s="325" t="s">
        <v>3064</v>
      </c>
      <c r="K47" s="301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500" t="s">
        <v>317</v>
      </c>
      <c r="C48" s="125" t="s">
        <v>228</v>
      </c>
      <c r="D48" s="265"/>
      <c r="E48" s="345"/>
      <c r="F48" s="301"/>
      <c r="G48" s="301"/>
      <c r="H48" s="301"/>
      <c r="I48" s="301"/>
      <c r="J48" s="301"/>
      <c r="K48" s="301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84"/>
      <c r="C49" s="269"/>
      <c r="D49" s="265"/>
      <c r="E49" s="26">
        <f>K38+1</f>
        <v>28</v>
      </c>
      <c r="F49" s="175">
        <f>E49+1</f>
        <v>29</v>
      </c>
      <c r="G49" s="175">
        <f>F49+1</f>
        <v>30</v>
      </c>
      <c r="H49" s="175">
        <f>G49+1</f>
        <v>31</v>
      </c>
      <c r="I49" s="654"/>
      <c r="J49" s="654"/>
      <c r="K49" s="175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286</v>
      </c>
      <c r="C50" s="324" t="s">
        <v>9</v>
      </c>
      <c r="D50" s="265"/>
      <c r="E50" s="499"/>
      <c r="F50" s="499"/>
      <c r="G50" s="499"/>
      <c r="H50" s="499"/>
      <c r="I50" s="499"/>
      <c r="J50" s="499"/>
      <c r="K50" s="499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290" t="s">
        <v>7</v>
      </c>
      <c r="D51" s="265"/>
      <c r="E51" s="499"/>
      <c r="F51" s="499"/>
      <c r="G51" s="499"/>
      <c r="H51" s="499"/>
      <c r="I51" s="499"/>
      <c r="J51" s="499"/>
      <c r="K51" s="499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163" t="s">
        <v>389</v>
      </c>
      <c r="D52" s="265"/>
      <c r="E52" s="499"/>
      <c r="F52" s="499"/>
      <c r="G52" s="499"/>
      <c r="H52" s="499"/>
      <c r="I52" s="499"/>
      <c r="J52" s="499"/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325" t="s">
        <v>316</v>
      </c>
      <c r="D53" s="265"/>
      <c r="E53" s="499"/>
      <c r="F53" s="653"/>
      <c r="G53" s="653"/>
      <c r="H53" s="652"/>
      <c r="I53" s="499"/>
      <c r="J53" s="499"/>
      <c r="K53" s="499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1467" t="s">
        <v>287</v>
      </c>
      <c r="C54" s="324" t="s">
        <v>9</v>
      </c>
      <c r="D54" s="265"/>
      <c r="E54" s="499"/>
      <c r="F54" s="1574" t="s">
        <v>3233</v>
      </c>
      <c r="G54" s="1574"/>
      <c r="H54" s="499"/>
      <c r="I54" s="654"/>
      <c r="J54" s="654"/>
      <c r="K54" s="499"/>
      <c r="L54" s="84"/>
      <c r="M54" s="84"/>
      <c r="N54" s="84"/>
      <c r="O54" s="84"/>
      <c r="P54" s="84"/>
      <c r="Q54" s="84"/>
      <c r="R54" s="84"/>
      <c r="S54" s="84"/>
    </row>
    <row r="55" spans="1:19" ht="24.6" customHeight="1">
      <c r="A55" s="84"/>
      <c r="B55" s="1467"/>
      <c r="C55" s="324"/>
      <c r="D55" s="265"/>
      <c r="E55" s="637"/>
      <c r="F55" s="637"/>
      <c r="G55" s="1574" t="s">
        <v>3234</v>
      </c>
      <c r="H55" s="1574"/>
      <c r="I55" s="637"/>
      <c r="J55" s="637"/>
      <c r="K55" s="637"/>
      <c r="L55" s="84"/>
      <c r="M55" s="84"/>
      <c r="N55" s="84"/>
      <c r="O55" s="84"/>
      <c r="P55" s="84"/>
      <c r="Q55" s="84"/>
      <c r="R55" s="84"/>
      <c r="S55" s="84"/>
    </row>
    <row r="56" spans="1:19" ht="24.6" customHeight="1">
      <c r="A56" s="84"/>
      <c r="B56" s="1467"/>
      <c r="C56" s="290" t="s">
        <v>292</v>
      </c>
      <c r="D56" s="265"/>
      <c r="E56" s="499"/>
      <c r="F56" s="1522" t="s">
        <v>3208</v>
      </c>
      <c r="G56" s="1523"/>
      <c r="H56" s="558"/>
      <c r="I56" s="654"/>
      <c r="J56" s="654"/>
      <c r="K56" s="499"/>
      <c r="L56" s="84"/>
      <c r="M56" s="84"/>
      <c r="N56" s="84"/>
      <c r="O56" s="84"/>
      <c r="P56" s="84"/>
      <c r="Q56" s="84"/>
      <c r="R56" s="84"/>
      <c r="S56" s="84"/>
    </row>
    <row r="57" spans="1:19" ht="24.6" customHeight="1">
      <c r="A57" s="84"/>
      <c r="B57" s="1467"/>
      <c r="C57" s="290"/>
      <c r="D57" s="265"/>
      <c r="E57" s="499"/>
      <c r="F57" s="499"/>
      <c r="G57" s="1522" t="s">
        <v>3220</v>
      </c>
      <c r="H57" s="1523"/>
      <c r="I57" s="499"/>
      <c r="J57" s="499"/>
      <c r="K57" s="499"/>
      <c r="L57" s="84"/>
      <c r="M57" s="84"/>
      <c r="N57" s="84"/>
      <c r="O57" s="84"/>
      <c r="P57" s="84"/>
      <c r="Q57" s="84"/>
      <c r="R57" s="84"/>
      <c r="S57" s="84"/>
    </row>
    <row r="58" spans="1:19" ht="24.6" customHeight="1">
      <c r="A58" s="84"/>
      <c r="B58" s="1467"/>
      <c r="C58" s="325" t="s">
        <v>316</v>
      </c>
      <c r="D58" s="265"/>
      <c r="E58" s="499"/>
      <c r="F58" s="325" t="s">
        <v>3018</v>
      </c>
      <c r="G58" s="325" t="s">
        <v>3065</v>
      </c>
      <c r="H58" s="325" t="s">
        <v>3066</v>
      </c>
      <c r="I58" s="499"/>
      <c r="J58" s="499"/>
      <c r="K58" s="499"/>
      <c r="L58" s="84"/>
      <c r="M58" s="84"/>
      <c r="N58" s="84"/>
      <c r="O58" s="84"/>
      <c r="P58" s="84"/>
      <c r="Q58" s="84"/>
      <c r="R58" s="84"/>
      <c r="S58" s="84"/>
    </row>
    <row r="59" spans="1:19" ht="24.6" customHeight="1">
      <c r="A59" s="84"/>
      <c r="B59" s="500" t="s">
        <v>317</v>
      </c>
      <c r="C59" s="125" t="s">
        <v>228</v>
      </c>
      <c r="D59" s="265"/>
      <c r="E59" s="499"/>
      <c r="F59" s="499"/>
      <c r="G59" s="499"/>
      <c r="H59" s="499"/>
      <c r="I59" s="499"/>
      <c r="J59" s="499"/>
      <c r="K59" s="499"/>
      <c r="L59" s="84"/>
      <c r="M59" s="84"/>
      <c r="N59" s="84"/>
      <c r="O59" s="84"/>
      <c r="P59" s="84"/>
      <c r="Q59" s="84"/>
      <c r="R59" s="84"/>
      <c r="S59" s="84"/>
    </row>
  </sheetData>
  <mergeCells count="37">
    <mergeCell ref="B28:B31"/>
    <mergeCell ref="B32:B36"/>
    <mergeCell ref="B39:B42"/>
    <mergeCell ref="B43:B47"/>
    <mergeCell ref="I46:J46"/>
    <mergeCell ref="B17:B20"/>
    <mergeCell ref="B21:B25"/>
    <mergeCell ref="F21:G21"/>
    <mergeCell ref="G22:H22"/>
    <mergeCell ref="E3:G3"/>
    <mergeCell ref="H3:K3"/>
    <mergeCell ref="B6:B9"/>
    <mergeCell ref="B10:B14"/>
    <mergeCell ref="G10:H10"/>
    <mergeCell ref="I13:J13"/>
    <mergeCell ref="I11:J11"/>
    <mergeCell ref="J10:K10"/>
    <mergeCell ref="G12:H12"/>
    <mergeCell ref="I21:J21"/>
    <mergeCell ref="J22:K22"/>
    <mergeCell ref="H23:I23"/>
    <mergeCell ref="M27:O27"/>
    <mergeCell ref="H33:I33"/>
    <mergeCell ref="J32:K32"/>
    <mergeCell ref="I43:J43"/>
    <mergeCell ref="G44:H44"/>
    <mergeCell ref="J44:K44"/>
    <mergeCell ref="F32:G32"/>
    <mergeCell ref="F43:G43"/>
    <mergeCell ref="G34:H34"/>
    <mergeCell ref="H35:I35"/>
    <mergeCell ref="F56:G56"/>
    <mergeCell ref="B50:B53"/>
    <mergeCell ref="B54:B58"/>
    <mergeCell ref="F54:G54"/>
    <mergeCell ref="G55:H55"/>
    <mergeCell ref="G57:H57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8">
    <pageSetUpPr fitToPage="1"/>
  </sheetPr>
  <dimension ref="A1:S54"/>
  <sheetViews>
    <sheetView topLeftCell="A16" zoomScale="55" zoomScaleNormal="55" workbookViewId="0">
      <selection activeCell="H27" sqref="H27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45323</v>
      </c>
      <c r="F3" s="1450"/>
      <c r="G3" s="1450"/>
      <c r="H3" s="1451" t="s">
        <v>10</v>
      </c>
      <c r="I3" s="1452"/>
      <c r="J3" s="1452"/>
      <c r="K3" s="1452"/>
    </row>
    <row r="4" spans="1:19" s="5" customFormat="1" ht="26.25" customHeight="1">
      <c r="E4" s="648">
        <v>45273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>
        <v>1</v>
      </c>
      <c r="J5" s="175">
        <v>2</v>
      </c>
      <c r="K5" s="175">
        <v>3</v>
      </c>
      <c r="L5" s="90"/>
      <c r="M5" s="90"/>
      <c r="N5" s="90"/>
      <c r="R5" s="11"/>
      <c r="S5" s="90"/>
    </row>
    <row r="6" spans="1:19" s="5" customFormat="1" ht="24.6" customHeight="1">
      <c r="B6" s="1467" t="s">
        <v>2616</v>
      </c>
      <c r="C6" s="324" t="s">
        <v>2609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2610</v>
      </c>
      <c r="D8" s="265"/>
      <c r="E8" s="499"/>
      <c r="F8" s="499"/>
      <c r="G8" s="499"/>
      <c r="H8" s="499"/>
      <c r="I8" s="651"/>
      <c r="J8" s="651"/>
      <c r="K8" s="499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2611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90"/>
      <c r="R9" s="11"/>
      <c r="S9" s="90"/>
    </row>
    <row r="10" spans="1:19" s="5" customFormat="1" ht="24.6" customHeight="1">
      <c r="B10" s="1467" t="s">
        <v>2612</v>
      </c>
      <c r="C10" s="324" t="s">
        <v>2609</v>
      </c>
      <c r="D10" s="265"/>
      <c r="E10" s="499"/>
      <c r="F10" s="499"/>
      <c r="G10" s="499"/>
      <c r="H10" s="499"/>
      <c r="I10" s="1574" t="s">
        <v>3235</v>
      </c>
      <c r="J10" s="1574"/>
      <c r="K10" s="499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2614</v>
      </c>
      <c r="D11" s="265"/>
      <c r="E11" s="499"/>
      <c r="F11" s="499"/>
      <c r="G11" s="499"/>
      <c r="H11" s="499"/>
      <c r="I11" s="1522" t="s">
        <v>3221</v>
      </c>
      <c r="J11" s="1545"/>
      <c r="K11" s="499"/>
      <c r="L11" s="90"/>
      <c r="M11" s="90"/>
      <c r="N11" s="90"/>
      <c r="R11" s="11"/>
      <c r="S11" s="90"/>
    </row>
    <row r="12" spans="1:19" s="5" customFormat="1" ht="24.6" customHeight="1">
      <c r="B12" s="1467"/>
      <c r="C12" s="290"/>
      <c r="D12" s="265"/>
      <c r="E12" s="499"/>
      <c r="F12" s="499"/>
      <c r="G12" s="499"/>
      <c r="H12" s="499"/>
      <c r="I12" s="499"/>
      <c r="J12" s="499"/>
      <c r="K12" s="499"/>
      <c r="L12" s="90"/>
      <c r="M12" s="90"/>
      <c r="N12" s="90"/>
      <c r="R12" s="11"/>
      <c r="S12" s="90"/>
    </row>
    <row r="13" spans="1:19" s="5" customFormat="1" ht="24.6" customHeight="1">
      <c r="B13" s="1467"/>
      <c r="C13" s="325" t="s">
        <v>2611</v>
      </c>
      <c r="D13" s="265"/>
      <c r="E13" s="499"/>
      <c r="F13" s="499"/>
      <c r="G13" s="499"/>
      <c r="H13" s="499"/>
      <c r="I13" s="325" t="s">
        <v>3067</v>
      </c>
      <c r="J13" s="325" t="s">
        <v>3019</v>
      </c>
      <c r="K13" s="499"/>
      <c r="L13" s="90"/>
      <c r="M13" s="90"/>
      <c r="N13" s="90"/>
      <c r="R13" s="11"/>
      <c r="S13" s="90"/>
    </row>
    <row r="14" spans="1:19" s="5" customFormat="1" ht="24.6" customHeight="1">
      <c r="B14" s="500" t="s">
        <v>2613</v>
      </c>
      <c r="C14" s="125" t="s">
        <v>2615</v>
      </c>
      <c r="D14" s="265"/>
      <c r="E14" s="499"/>
      <c r="F14" s="499"/>
      <c r="G14" s="499"/>
      <c r="H14" s="499"/>
      <c r="I14" s="499"/>
      <c r="J14" s="499"/>
      <c r="K14" s="499"/>
      <c r="L14" s="90"/>
      <c r="M14" s="90"/>
      <c r="N14" s="90"/>
      <c r="R14" s="11"/>
      <c r="S14" s="90"/>
    </row>
    <row r="15" spans="1:19" ht="24.6" customHeight="1">
      <c r="A15" s="84"/>
      <c r="B15" s="84"/>
      <c r="C15" s="5"/>
      <c r="D15" s="5"/>
      <c r="E15" s="266">
        <f>K5+1</f>
        <v>4</v>
      </c>
      <c r="F15" s="65">
        <f t="shared" ref="F15:K15" si="0">E15+1</f>
        <v>5</v>
      </c>
      <c r="G15" s="65">
        <f t="shared" si="0"/>
        <v>6</v>
      </c>
      <c r="H15" s="65">
        <f t="shared" si="0"/>
        <v>7</v>
      </c>
      <c r="I15" s="65">
        <f t="shared" si="0"/>
        <v>8</v>
      </c>
      <c r="J15" s="65">
        <f t="shared" si="0"/>
        <v>9</v>
      </c>
      <c r="K15" s="65">
        <f t="shared" si="0"/>
        <v>10</v>
      </c>
    </row>
    <row r="16" spans="1:19" ht="24.6" customHeight="1">
      <c r="A16" s="84"/>
      <c r="B16" s="1467" t="s">
        <v>286</v>
      </c>
      <c r="C16" s="324" t="s">
        <v>9</v>
      </c>
      <c r="D16" s="265"/>
      <c r="E16" s="301"/>
      <c r="F16" s="301"/>
      <c r="G16" s="301"/>
      <c r="H16" s="301"/>
      <c r="I16" s="301"/>
      <c r="J16" s="301"/>
      <c r="K16" s="301"/>
    </row>
    <row r="17" spans="1:19" ht="24.6" customHeight="1">
      <c r="A17" s="84"/>
      <c r="B17" s="1467"/>
      <c r="C17" s="290" t="s">
        <v>7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163" t="s">
        <v>389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/>
      <c r="C19" s="325" t="s">
        <v>316</v>
      </c>
      <c r="D19" s="265"/>
      <c r="E19" s="301"/>
      <c r="F19" s="301"/>
      <c r="G19" s="301"/>
      <c r="H19" s="301"/>
      <c r="I19" s="301"/>
      <c r="J19" s="301"/>
      <c r="K19" s="301"/>
    </row>
    <row r="20" spans="1:19" ht="24.6" customHeight="1">
      <c r="A20" s="84"/>
      <c r="B20" s="1467" t="s">
        <v>287</v>
      </c>
      <c r="C20" s="324" t="s">
        <v>9</v>
      </c>
      <c r="D20" s="265"/>
      <c r="E20" s="301"/>
      <c r="F20" s="1644" t="s">
        <v>336</v>
      </c>
      <c r="G20" s="1645"/>
      <c r="H20" s="1645"/>
      <c r="I20" s="1645"/>
      <c r="J20" s="1646"/>
      <c r="K20" s="301"/>
    </row>
    <row r="21" spans="1:19" ht="24" customHeight="1">
      <c r="A21" s="84"/>
      <c r="B21" s="1467"/>
      <c r="C21" s="290" t="s">
        <v>292</v>
      </c>
      <c r="D21" s="265"/>
      <c r="E21" s="301"/>
      <c r="F21" s="301"/>
      <c r="G21" s="301"/>
      <c r="H21" s="243" t="s">
        <v>3242</v>
      </c>
      <c r="I21" s="367" t="s">
        <v>3243</v>
      </c>
      <c r="J21" s="301"/>
      <c r="K21" s="301"/>
    </row>
    <row r="22" spans="1:19" ht="24" customHeight="1">
      <c r="A22" s="84"/>
      <c r="B22" s="1467"/>
      <c r="C22" s="290"/>
      <c r="D22" s="265"/>
      <c r="E22" s="301"/>
      <c r="F22" s="301"/>
      <c r="G22" s="1522" t="s">
        <v>3214</v>
      </c>
      <c r="H22" s="1545"/>
      <c r="I22" s="301"/>
      <c r="J22" s="301"/>
      <c r="K22" s="301"/>
    </row>
    <row r="23" spans="1:19" ht="24" customHeight="1">
      <c r="A23" s="84"/>
      <c r="B23" s="1467"/>
      <c r="C23" s="325" t="s">
        <v>316</v>
      </c>
      <c r="D23" s="265"/>
      <c r="E23" s="301"/>
      <c r="F23" s="325" t="s">
        <v>3019</v>
      </c>
      <c r="G23" s="325" t="s">
        <v>3020</v>
      </c>
      <c r="H23" s="325" t="s">
        <v>3020</v>
      </c>
      <c r="I23" s="325" t="s">
        <v>3069</v>
      </c>
      <c r="J23" s="301"/>
      <c r="K23" s="301"/>
    </row>
    <row r="24" spans="1:19" ht="24.6" customHeight="1">
      <c r="A24" s="84"/>
      <c r="B24" s="500" t="s">
        <v>317</v>
      </c>
      <c r="C24" s="125" t="s">
        <v>228</v>
      </c>
      <c r="D24" s="265"/>
      <c r="E24" s="301"/>
      <c r="F24" s="301"/>
      <c r="G24" s="301"/>
      <c r="H24" s="301"/>
      <c r="I24" s="301"/>
      <c r="J24" s="125" t="s">
        <v>1064</v>
      </c>
      <c r="K24" s="125" t="s">
        <v>1064</v>
      </c>
    </row>
    <row r="25" spans="1:19" ht="24.6" customHeight="1">
      <c r="A25" s="84"/>
      <c r="B25" s="84"/>
      <c r="C25" s="5"/>
      <c r="D25" s="5"/>
      <c r="E25" s="26">
        <f>K15+1</f>
        <v>11</v>
      </c>
      <c r="F25" s="175">
        <f t="shared" ref="F25:K25" si="1">E25+1</f>
        <v>12</v>
      </c>
      <c r="G25" s="175">
        <f t="shared" si="1"/>
        <v>13</v>
      </c>
      <c r="H25" s="175">
        <f t="shared" si="1"/>
        <v>14</v>
      </c>
      <c r="I25" s="175">
        <f t="shared" si="1"/>
        <v>15</v>
      </c>
      <c r="J25" s="175">
        <f t="shared" si="1"/>
        <v>16</v>
      </c>
      <c r="K25" s="175">
        <f t="shared" si="1"/>
        <v>17</v>
      </c>
      <c r="M25" s="1453"/>
      <c r="N25" s="1453"/>
      <c r="O25" s="1453"/>
    </row>
    <row r="26" spans="1:19" ht="24.6" customHeight="1">
      <c r="A26" s="84"/>
      <c r="B26" s="1467" t="s">
        <v>286</v>
      </c>
      <c r="C26" s="324" t="s">
        <v>9</v>
      </c>
      <c r="D26" s="265"/>
      <c r="E26" s="499"/>
      <c r="F26" s="499"/>
      <c r="G26" s="499"/>
      <c r="H26" s="499"/>
      <c r="I26" s="499"/>
      <c r="J26" s="499"/>
      <c r="K26" s="499"/>
    </row>
    <row r="27" spans="1:19" ht="24.6" customHeight="1">
      <c r="A27" s="84"/>
      <c r="B27" s="1467"/>
      <c r="C27" s="290" t="s">
        <v>7</v>
      </c>
      <c r="D27" s="265"/>
      <c r="E27" s="499"/>
      <c r="F27" s="499"/>
      <c r="G27" s="499"/>
      <c r="H27" s="499"/>
      <c r="I27" s="499"/>
      <c r="J27" s="499"/>
      <c r="K27" s="499"/>
      <c r="L27" s="84"/>
      <c r="M27" s="84"/>
      <c r="O27" s="84"/>
      <c r="P27" s="84"/>
      <c r="Q27" s="84"/>
      <c r="R27" s="84"/>
      <c r="S27" s="84"/>
    </row>
    <row r="28" spans="1:19" ht="24.6" customHeight="1">
      <c r="A28" s="84"/>
      <c r="B28" s="1467"/>
      <c r="C28" s="163" t="s">
        <v>389</v>
      </c>
      <c r="D28" s="265"/>
      <c r="E28" s="499"/>
      <c r="F28" s="499"/>
      <c r="G28" s="499"/>
      <c r="H28" s="499"/>
      <c r="I28" s="499"/>
      <c r="J28" s="499"/>
      <c r="K28" s="499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325" t="s">
        <v>316</v>
      </c>
      <c r="D29" s="265"/>
      <c r="E29" s="499"/>
      <c r="F29" s="499"/>
      <c r="G29" s="499"/>
      <c r="H29" s="499"/>
      <c r="I29" s="650"/>
      <c r="J29" s="650"/>
      <c r="K29" s="499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 t="s">
        <v>287</v>
      </c>
      <c r="C30" s="324" t="s">
        <v>9</v>
      </c>
      <c r="D30" s="265"/>
      <c r="E30" s="499"/>
      <c r="F30" s="499"/>
      <c r="G30" s="1644" t="s">
        <v>336</v>
      </c>
      <c r="H30" s="1645"/>
      <c r="I30" s="1645"/>
      <c r="J30" s="1645"/>
      <c r="K30" s="499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290" t="s">
        <v>292</v>
      </c>
      <c r="D31" s="265"/>
      <c r="E31" s="499"/>
      <c r="F31" s="499"/>
      <c r="G31" s="651"/>
      <c r="H31" s="438" t="s">
        <v>3236</v>
      </c>
      <c r="I31" s="656"/>
      <c r="J31" s="656"/>
      <c r="K31" s="499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290"/>
      <c r="D32" s="265"/>
      <c r="E32" s="499"/>
      <c r="F32" s="499"/>
      <c r="G32" s="654"/>
      <c r="H32" s="243" t="s">
        <v>3241</v>
      </c>
      <c r="I32" s="243" t="s">
        <v>3240</v>
      </c>
      <c r="J32" s="656"/>
      <c r="K32" s="499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325" t="s">
        <v>316</v>
      </c>
      <c r="D33" s="265"/>
      <c r="E33" s="499"/>
      <c r="F33" s="499"/>
      <c r="G33" s="325" t="s">
        <v>3068</v>
      </c>
      <c r="H33" s="325" t="s">
        <v>3073</v>
      </c>
      <c r="I33" s="325" t="s">
        <v>3074</v>
      </c>
      <c r="J33" s="325" t="s">
        <v>3070</v>
      </c>
      <c r="K33" s="499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500" t="s">
        <v>317</v>
      </c>
      <c r="C34" s="125" t="s">
        <v>228</v>
      </c>
      <c r="D34" s="265"/>
      <c r="E34" s="125" t="s">
        <v>1064</v>
      </c>
      <c r="F34" s="125" t="s">
        <v>1064</v>
      </c>
      <c r="G34" s="499"/>
      <c r="H34" s="499"/>
      <c r="I34" s="499"/>
      <c r="J34" s="499"/>
      <c r="K34" s="499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66">
        <f>K25+1</f>
        <v>18</v>
      </c>
      <c r="F35" s="304">
        <f t="shared" ref="F35:K35" si="2">E35+1</f>
        <v>19</v>
      </c>
      <c r="G35" s="304">
        <f t="shared" si="2"/>
        <v>20</v>
      </c>
      <c r="H35" s="304">
        <f t="shared" si="2"/>
        <v>21</v>
      </c>
      <c r="I35" s="304">
        <f t="shared" si="2"/>
        <v>22</v>
      </c>
      <c r="J35" s="304">
        <f t="shared" si="2"/>
        <v>23</v>
      </c>
      <c r="K35" s="65">
        <f t="shared" si="2"/>
        <v>24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286</v>
      </c>
      <c r="C36" s="324" t="s">
        <v>9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290" t="s">
        <v>7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63" t="s">
        <v>389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" customHeight="1">
      <c r="A40" s="84"/>
      <c r="B40" s="1467" t="s">
        <v>287</v>
      </c>
      <c r="C40" s="324" t="s">
        <v>9</v>
      </c>
      <c r="D40" s="265"/>
      <c r="E40" s="301"/>
      <c r="F40" s="1644" t="s">
        <v>3249</v>
      </c>
      <c r="G40" s="1645"/>
      <c r="H40" s="1645"/>
      <c r="I40" s="1645"/>
      <c r="J40" s="1646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290" t="s">
        <v>292</v>
      </c>
      <c r="D41" s="265"/>
      <c r="E41" s="301"/>
      <c r="F41" s="1641" t="s">
        <v>3209</v>
      </c>
      <c r="G41" s="1642"/>
      <c r="H41" s="1642"/>
      <c r="I41" s="1642"/>
      <c r="J41" s="1643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290"/>
      <c r="D42" s="265"/>
      <c r="E42" s="301"/>
      <c r="F42" s="506"/>
      <c r="G42" s="301"/>
      <c r="H42" s="301"/>
      <c r="I42" s="301"/>
      <c r="J42" s="506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325" t="s">
        <v>316</v>
      </c>
      <c r="D43" s="265"/>
      <c r="E43" s="301"/>
      <c r="F43" s="325" t="s">
        <v>3075</v>
      </c>
      <c r="G43" s="325" t="s">
        <v>3071</v>
      </c>
      <c r="H43" s="325" t="s">
        <v>3071</v>
      </c>
      <c r="I43" s="325" t="s">
        <v>3072</v>
      </c>
      <c r="J43" s="325" t="s">
        <v>3076</v>
      </c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500" t="s">
        <v>317</v>
      </c>
      <c r="C44" s="125" t="s">
        <v>228</v>
      </c>
      <c r="D44" s="265"/>
      <c r="E44" s="345"/>
      <c r="F44" s="301"/>
      <c r="G44" s="301"/>
      <c r="H44" s="301"/>
      <c r="I44" s="301"/>
      <c r="J44" s="301"/>
      <c r="K44" s="301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269"/>
      <c r="D45" s="265"/>
      <c r="E45" s="26">
        <f>K35+1</f>
        <v>25</v>
      </c>
      <c r="F45" s="175">
        <f>E45+1</f>
        <v>26</v>
      </c>
      <c r="G45" s="175">
        <f>F45+1</f>
        <v>27</v>
      </c>
      <c r="H45" s="175">
        <f>G45+1</f>
        <v>28</v>
      </c>
      <c r="I45" s="175">
        <f>H45+1</f>
        <v>29</v>
      </c>
      <c r="J45" s="175"/>
      <c r="K45" s="175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324" t="s">
        <v>9</v>
      </c>
      <c r="D46" s="265"/>
      <c r="E46" s="499"/>
      <c r="F46" s="499"/>
      <c r="G46" s="499"/>
      <c r="H46" s="499"/>
      <c r="I46" s="499"/>
      <c r="J46" s="499"/>
      <c r="K46" s="499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7</v>
      </c>
      <c r="D47" s="265"/>
      <c r="E47" s="499"/>
      <c r="F47" s="499"/>
      <c r="G47" s="499"/>
      <c r="H47" s="499"/>
      <c r="I47" s="499"/>
      <c r="J47" s="499"/>
      <c r="K47" s="499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3" t="s">
        <v>389</v>
      </c>
      <c r="D48" s="265"/>
      <c r="E48" s="499"/>
      <c r="F48" s="499"/>
      <c r="G48" s="499"/>
      <c r="H48" s="499"/>
      <c r="I48" s="499"/>
      <c r="J48" s="499"/>
      <c r="K48" s="499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325" t="s">
        <v>316</v>
      </c>
      <c r="D49" s="265"/>
      <c r="E49" s="499"/>
      <c r="F49" s="499"/>
      <c r="G49" s="499"/>
      <c r="H49" s="499"/>
      <c r="I49" s="499"/>
      <c r="J49" s="499"/>
      <c r="K49" s="499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287</v>
      </c>
      <c r="C50" s="324" t="s">
        <v>9</v>
      </c>
      <c r="D50" s="265"/>
      <c r="E50" s="499"/>
      <c r="F50" s="1644" t="s">
        <v>3249</v>
      </c>
      <c r="G50" s="1645"/>
      <c r="H50" s="1645"/>
      <c r="I50" s="1645"/>
      <c r="J50" s="1646"/>
      <c r="K50" s="499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290" t="s">
        <v>292</v>
      </c>
      <c r="D51" s="265"/>
      <c r="E51" s="499"/>
      <c r="F51" s="1641" t="s">
        <v>3209</v>
      </c>
      <c r="G51" s="1642"/>
      <c r="H51" s="1642"/>
      <c r="I51" s="1642"/>
      <c r="J51" s="1643"/>
      <c r="K51" s="499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290"/>
      <c r="D52" s="265"/>
      <c r="E52" s="499"/>
      <c r="F52" s="505"/>
      <c r="G52" s="646"/>
      <c r="H52" s="646"/>
      <c r="I52" s="499"/>
      <c r="J52" s="499"/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325" t="s">
        <v>316</v>
      </c>
      <c r="D53" s="265"/>
      <c r="E53" s="499"/>
      <c r="F53" s="325" t="s">
        <v>3077</v>
      </c>
      <c r="G53" s="325" t="s">
        <v>3077</v>
      </c>
      <c r="H53" s="610"/>
      <c r="I53" s="499"/>
      <c r="J53" s="499"/>
      <c r="K53" s="499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500" t="s">
        <v>317</v>
      </c>
      <c r="C54" s="125" t="s">
        <v>228</v>
      </c>
      <c r="D54" s="265"/>
      <c r="E54" s="499"/>
      <c r="F54" s="499"/>
      <c r="G54" s="499"/>
      <c r="H54" s="499"/>
      <c r="I54" s="499"/>
      <c r="J54" s="499"/>
      <c r="K54" s="499"/>
      <c r="L54" s="84"/>
      <c r="M54" s="84"/>
      <c r="N54" s="84"/>
      <c r="O54" s="84"/>
      <c r="P54" s="84"/>
      <c r="Q54" s="84"/>
      <c r="R54" s="84"/>
      <c r="S54" s="84"/>
    </row>
  </sheetData>
  <mergeCells count="22">
    <mergeCell ref="E3:G3"/>
    <mergeCell ref="H3:K3"/>
    <mergeCell ref="B6:B9"/>
    <mergeCell ref="B10:B13"/>
    <mergeCell ref="I11:J11"/>
    <mergeCell ref="I10:J10"/>
    <mergeCell ref="B20:B23"/>
    <mergeCell ref="M25:O25"/>
    <mergeCell ref="B26:B29"/>
    <mergeCell ref="B16:B19"/>
    <mergeCell ref="G22:H22"/>
    <mergeCell ref="F20:J20"/>
    <mergeCell ref="F41:J41"/>
    <mergeCell ref="F51:J51"/>
    <mergeCell ref="B30:B33"/>
    <mergeCell ref="B50:B53"/>
    <mergeCell ref="B36:B39"/>
    <mergeCell ref="B40:B43"/>
    <mergeCell ref="B46:B49"/>
    <mergeCell ref="G30:J30"/>
    <mergeCell ref="F40:J40"/>
    <mergeCell ref="F50:J50"/>
  </mergeCells>
  <phoneticPr fontId="6" type="noConversion"/>
  <pageMargins left="0.7" right="0.7" top="0.75" bottom="0.75" header="0.3" footer="0.3"/>
  <pageSetup paperSize="9" scale="37" orientation="landscape" r:id="rId1"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9">
    <pageSetUpPr fitToPage="1"/>
  </sheetPr>
  <dimension ref="A1:S61"/>
  <sheetViews>
    <sheetView topLeftCell="A16" zoomScale="55" zoomScaleNormal="55" workbookViewId="0">
      <selection activeCell="H27" sqref="H27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</row>
    <row r="3" spans="1:19" ht="57">
      <c r="A3" s="84"/>
      <c r="B3" s="84"/>
      <c r="C3" s="5"/>
      <c r="D3" s="5"/>
      <c r="E3" s="1450">
        <v>45352</v>
      </c>
      <c r="F3" s="1450"/>
      <c r="G3" s="1450"/>
      <c r="H3" s="1451" t="s">
        <v>2618</v>
      </c>
      <c r="I3" s="1452"/>
      <c r="J3" s="1452"/>
      <c r="K3" s="1452"/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19" s="5" customFormat="1" ht="24.6" customHeight="1">
      <c r="E5" s="26"/>
      <c r="F5" s="175"/>
      <c r="G5" s="175"/>
      <c r="H5" s="175"/>
      <c r="I5" s="175"/>
      <c r="J5" s="175">
        <v>1</v>
      </c>
      <c r="K5" s="175">
        <v>2</v>
      </c>
      <c r="L5" s="90"/>
      <c r="M5" s="90"/>
      <c r="N5" s="90"/>
      <c r="R5" s="11"/>
      <c r="S5" s="90"/>
    </row>
    <row r="6" spans="1:19" s="5" customFormat="1" ht="24.6" customHeight="1">
      <c r="B6" s="1467" t="s">
        <v>2616</v>
      </c>
      <c r="C6" s="324" t="s">
        <v>2609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90"/>
      <c r="R6" s="11"/>
      <c r="S6" s="90"/>
    </row>
    <row r="7" spans="1:19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90"/>
      <c r="R7" s="11"/>
      <c r="S7" s="90"/>
    </row>
    <row r="8" spans="1:19" s="5" customFormat="1" ht="24.6" customHeight="1">
      <c r="B8" s="1467"/>
      <c r="C8" s="163" t="s">
        <v>2610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R8" s="11"/>
      <c r="S8" s="90"/>
    </row>
    <row r="9" spans="1:19" s="5" customFormat="1" ht="24.6" customHeight="1">
      <c r="B9" s="1467"/>
      <c r="C9" s="325" t="s">
        <v>2611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90"/>
      <c r="R9" s="11"/>
      <c r="S9" s="90"/>
    </row>
    <row r="10" spans="1:19" s="5" customFormat="1" ht="24.6" customHeight="1">
      <c r="B10" s="1467" t="s">
        <v>287</v>
      </c>
      <c r="C10" s="324" t="s">
        <v>9</v>
      </c>
      <c r="D10" s="265"/>
      <c r="E10" s="499"/>
      <c r="F10" s="499"/>
      <c r="G10" s="499"/>
      <c r="H10" s="499"/>
      <c r="I10" s="499"/>
      <c r="J10" s="499"/>
      <c r="K10" s="499"/>
      <c r="L10" s="90"/>
      <c r="M10" s="90"/>
      <c r="N10" s="90"/>
      <c r="R10" s="11"/>
      <c r="S10" s="90"/>
    </row>
    <row r="11" spans="1:19" s="5" customFormat="1" ht="24.6" customHeight="1">
      <c r="B11" s="1467"/>
      <c r="C11" s="290" t="s">
        <v>2614</v>
      </c>
      <c r="D11" s="265"/>
      <c r="E11" s="499"/>
      <c r="F11" s="499"/>
      <c r="G11" s="499"/>
      <c r="H11" s="499"/>
      <c r="I11" s="499"/>
      <c r="J11" s="499"/>
      <c r="K11" s="499"/>
      <c r="L11" s="90"/>
      <c r="M11" s="90"/>
      <c r="N11" s="90"/>
      <c r="R11" s="11"/>
      <c r="S11" s="90"/>
    </row>
    <row r="12" spans="1:19" s="5" customFormat="1" ht="24.6" customHeight="1">
      <c r="B12" s="1467"/>
      <c r="C12" s="325" t="s">
        <v>2611</v>
      </c>
      <c r="D12" s="265"/>
      <c r="E12" s="499"/>
      <c r="F12" s="499"/>
      <c r="G12" s="499"/>
      <c r="H12" s="499"/>
      <c r="I12" s="499"/>
      <c r="J12" s="499"/>
      <c r="K12" s="499"/>
      <c r="L12" s="90"/>
      <c r="M12" s="90"/>
      <c r="N12" s="90"/>
      <c r="R12" s="11"/>
      <c r="S12" s="90"/>
    </row>
    <row r="13" spans="1:19" s="5" customFormat="1" ht="24.6" customHeight="1">
      <c r="B13" s="500" t="s">
        <v>317</v>
      </c>
      <c r="C13" s="125" t="s">
        <v>228</v>
      </c>
      <c r="D13" s="265"/>
      <c r="E13" s="499"/>
      <c r="F13" s="499"/>
      <c r="G13" s="499"/>
      <c r="H13" s="499"/>
      <c r="I13" s="499"/>
      <c r="J13" s="125" t="s">
        <v>2619</v>
      </c>
      <c r="K13" s="499"/>
      <c r="L13" s="90"/>
      <c r="M13" s="90"/>
      <c r="N13" s="90"/>
      <c r="R13" s="11"/>
      <c r="S13" s="90"/>
    </row>
    <row r="14" spans="1:19" ht="24.6" customHeight="1">
      <c r="A14" s="84"/>
      <c r="B14" s="84"/>
      <c r="C14" s="5"/>
      <c r="D14" s="5"/>
      <c r="E14" s="266">
        <f>K5+1</f>
        <v>3</v>
      </c>
      <c r="F14" s="65">
        <f t="shared" ref="F14:K14" si="0">E14+1</f>
        <v>4</v>
      </c>
      <c r="G14" s="65">
        <f t="shared" si="0"/>
        <v>5</v>
      </c>
      <c r="H14" s="65">
        <f t="shared" si="0"/>
        <v>6</v>
      </c>
      <c r="I14" s="65">
        <f t="shared" si="0"/>
        <v>7</v>
      </c>
      <c r="J14" s="65">
        <f t="shared" si="0"/>
        <v>8</v>
      </c>
      <c r="K14" s="65">
        <f t="shared" si="0"/>
        <v>9</v>
      </c>
    </row>
    <row r="15" spans="1:19" ht="24.6" customHeight="1">
      <c r="A15" s="84"/>
      <c r="B15" s="1467" t="s">
        <v>2616</v>
      </c>
      <c r="C15" s="324" t="s">
        <v>2609</v>
      </c>
      <c r="D15" s="265"/>
      <c r="E15" s="301"/>
      <c r="F15" s="301"/>
      <c r="G15" s="301"/>
      <c r="H15" s="301"/>
      <c r="I15" s="301"/>
      <c r="J15" s="301"/>
      <c r="K15" s="301"/>
    </row>
    <row r="16" spans="1:19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301"/>
      <c r="K16" s="301"/>
    </row>
    <row r="17" spans="1:19" ht="24.6" customHeight="1">
      <c r="A17" s="84"/>
      <c r="B17" s="1467"/>
      <c r="C17" s="163" t="s">
        <v>2610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325" t="s">
        <v>2611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 t="s">
        <v>2612</v>
      </c>
      <c r="C19" s="324" t="s">
        <v>2609</v>
      </c>
      <c r="D19" s="265"/>
      <c r="E19" s="301"/>
      <c r="F19" s="1644" t="s">
        <v>3249</v>
      </c>
      <c r="G19" s="1645"/>
      <c r="H19" s="1645"/>
      <c r="I19" s="1645"/>
      <c r="J19" s="1646"/>
      <c r="K19" s="301"/>
    </row>
    <row r="20" spans="1:19" ht="24" customHeight="1">
      <c r="A20" s="84"/>
      <c r="B20" s="1467"/>
      <c r="C20" s="290" t="s">
        <v>2614</v>
      </c>
      <c r="D20" s="265"/>
      <c r="E20" s="301"/>
      <c r="F20" s="301"/>
      <c r="G20" s="301"/>
      <c r="H20" s="301"/>
      <c r="I20" s="301"/>
      <c r="J20" s="301"/>
      <c r="K20" s="301"/>
    </row>
    <row r="21" spans="1:19" ht="24" customHeight="1">
      <c r="A21" s="84"/>
      <c r="B21" s="1467"/>
      <c r="C21" s="290"/>
      <c r="D21" s="265"/>
      <c r="E21" s="301"/>
      <c r="F21" s="1641" t="s">
        <v>3209</v>
      </c>
      <c r="G21" s="1642"/>
      <c r="H21" s="301"/>
      <c r="I21" s="1522" t="s">
        <v>3239</v>
      </c>
      <c r="J21" s="1545"/>
      <c r="K21" s="301"/>
    </row>
    <row r="22" spans="1:19" ht="24" customHeight="1">
      <c r="A22" s="84"/>
      <c r="B22" s="1467"/>
      <c r="C22" s="325" t="s">
        <v>2611</v>
      </c>
      <c r="D22" s="265"/>
      <c r="E22" s="301"/>
      <c r="F22" s="301"/>
      <c r="G22" s="301"/>
      <c r="H22" s="301"/>
      <c r="I22" s="301"/>
      <c r="J22" s="301"/>
      <c r="K22" s="301"/>
    </row>
    <row r="23" spans="1:19" ht="24.6" customHeight="1">
      <c r="A23" s="84"/>
      <c r="B23" s="500" t="s">
        <v>2613</v>
      </c>
      <c r="C23" s="125" t="s">
        <v>2615</v>
      </c>
      <c r="D23" s="265"/>
      <c r="E23" s="301"/>
      <c r="F23" s="301"/>
      <c r="G23" s="301"/>
      <c r="H23" s="301"/>
      <c r="I23" s="301"/>
      <c r="J23" s="301"/>
      <c r="K23" s="301"/>
    </row>
    <row r="24" spans="1:19" ht="24.6" customHeight="1">
      <c r="A24" s="84"/>
      <c r="B24" s="84"/>
      <c r="C24" s="5"/>
      <c r="D24" s="5"/>
      <c r="E24" s="26">
        <f>K14+1</f>
        <v>10</v>
      </c>
      <c r="F24" s="175">
        <f t="shared" ref="F24:K24" si="1">E24+1</f>
        <v>11</v>
      </c>
      <c r="G24" s="175">
        <f t="shared" si="1"/>
        <v>12</v>
      </c>
      <c r="H24" s="175">
        <f t="shared" si="1"/>
        <v>13</v>
      </c>
      <c r="I24" s="175">
        <f t="shared" si="1"/>
        <v>14</v>
      </c>
      <c r="J24" s="175">
        <f t="shared" si="1"/>
        <v>15</v>
      </c>
      <c r="K24" s="175">
        <f t="shared" si="1"/>
        <v>16</v>
      </c>
      <c r="M24" s="1453"/>
      <c r="N24" s="1453"/>
      <c r="O24" s="1453"/>
    </row>
    <row r="25" spans="1:19" ht="24.6" customHeight="1">
      <c r="A25" s="84"/>
      <c r="B25" s="1467" t="s">
        <v>286</v>
      </c>
      <c r="C25" s="324" t="s">
        <v>2609</v>
      </c>
      <c r="D25" s="265"/>
      <c r="E25" s="499"/>
      <c r="F25" s="499"/>
      <c r="G25" s="499"/>
      <c r="H25" s="499"/>
      <c r="I25" s="499"/>
      <c r="J25" s="499"/>
      <c r="K25" s="499"/>
    </row>
    <row r="26" spans="1:19" ht="24.6" customHeight="1">
      <c r="A26" s="84"/>
      <c r="B26" s="1467"/>
      <c r="C26" s="290" t="s">
        <v>7</v>
      </c>
      <c r="D26" s="265"/>
      <c r="E26" s="499"/>
      <c r="F26" s="499"/>
      <c r="G26" s="499"/>
      <c r="H26" s="499"/>
      <c r="I26" s="499"/>
      <c r="J26" s="499"/>
      <c r="K26" s="499"/>
      <c r="L26" s="84"/>
      <c r="M26" s="84"/>
      <c r="N26" s="84"/>
      <c r="O26" s="84"/>
      <c r="P26" s="84"/>
      <c r="Q26" s="84"/>
      <c r="R26" s="84"/>
      <c r="S26" s="84"/>
    </row>
    <row r="27" spans="1:19" ht="24.6" customHeight="1">
      <c r="A27" s="84"/>
      <c r="B27" s="1467"/>
      <c r="C27" s="163" t="s">
        <v>2610</v>
      </c>
      <c r="D27" s="265"/>
      <c r="E27" s="499"/>
      <c r="F27" s="499"/>
      <c r="G27" s="499"/>
      <c r="H27" s="499"/>
      <c r="I27" s="499"/>
      <c r="J27" s="499"/>
      <c r="K27" s="499"/>
      <c r="L27" s="84"/>
      <c r="M27" s="84"/>
      <c r="N27" s="84"/>
      <c r="O27" s="84"/>
      <c r="P27" s="84"/>
      <c r="Q27" s="84"/>
      <c r="R27" s="84"/>
      <c r="S27" s="84"/>
    </row>
    <row r="28" spans="1:19" ht="24.6" customHeight="1">
      <c r="A28" s="84"/>
      <c r="B28" s="1467"/>
      <c r="C28" s="325" t="s">
        <v>2611</v>
      </c>
      <c r="D28" s="265"/>
      <c r="E28" s="499"/>
      <c r="F28" s="499"/>
      <c r="G28" s="653"/>
      <c r="H28" s="653"/>
      <c r="I28" s="499"/>
      <c r="J28" s="499"/>
      <c r="K28" s="499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 t="s">
        <v>2612</v>
      </c>
      <c r="C29" s="324" t="s">
        <v>2609</v>
      </c>
      <c r="D29" s="265"/>
      <c r="E29" s="499"/>
      <c r="F29" s="1644" t="s">
        <v>3249</v>
      </c>
      <c r="G29" s="1645"/>
      <c r="H29" s="1645"/>
      <c r="I29" s="1645"/>
      <c r="J29" s="1646"/>
      <c r="K29" s="499"/>
      <c r="L29" s="84"/>
      <c r="M29" s="84"/>
      <c r="N29" s="84"/>
      <c r="O29" s="84"/>
      <c r="P29" s="84"/>
      <c r="Q29" s="84"/>
      <c r="R29" s="84"/>
      <c r="S29" s="84"/>
    </row>
    <row r="30" spans="1:19" ht="24.6" customHeight="1">
      <c r="A30" s="84"/>
      <c r="B30" s="1467"/>
      <c r="C30" s="290" t="s">
        <v>292</v>
      </c>
      <c r="D30" s="265"/>
      <c r="E30" s="499"/>
      <c r="F30" s="661" t="s">
        <v>3250</v>
      </c>
      <c r="G30" s="659"/>
      <c r="H30" s="653"/>
      <c r="I30" s="1522" t="s">
        <v>3246</v>
      </c>
      <c r="J30" s="1545"/>
      <c r="K30" s="499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290"/>
      <c r="D31" s="265"/>
      <c r="E31" s="499"/>
      <c r="F31" s="653"/>
      <c r="G31" s="1522" t="s">
        <v>3238</v>
      </c>
      <c r="H31" s="1545"/>
      <c r="I31" s="660"/>
      <c r="J31" s="660"/>
      <c r="K31" s="499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325" t="s">
        <v>2611</v>
      </c>
      <c r="D32" s="265"/>
      <c r="E32" s="499"/>
      <c r="F32" s="610"/>
      <c r="G32" s="610"/>
      <c r="H32" s="655"/>
      <c r="I32" s="660"/>
      <c r="J32" s="660"/>
      <c r="K32" s="499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500" t="s">
        <v>2613</v>
      </c>
      <c r="C33" s="125" t="s">
        <v>2615</v>
      </c>
      <c r="D33" s="265"/>
      <c r="E33" s="499"/>
      <c r="F33" s="499"/>
      <c r="G33" s="499"/>
      <c r="H33" s="660"/>
      <c r="I33" s="660"/>
      <c r="J33" s="499"/>
      <c r="K33" s="499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84"/>
      <c r="C34" s="5"/>
      <c r="D34" s="5"/>
      <c r="E34" s="266">
        <f>K24+1</f>
        <v>17</v>
      </c>
      <c r="F34" s="304">
        <f t="shared" ref="F34:K34" si="2">E34+1</f>
        <v>18</v>
      </c>
      <c r="G34" s="304">
        <f t="shared" si="2"/>
        <v>19</v>
      </c>
      <c r="H34" s="304">
        <f t="shared" si="2"/>
        <v>20</v>
      </c>
      <c r="I34" s="304">
        <f t="shared" si="2"/>
        <v>21</v>
      </c>
      <c r="J34" s="304">
        <f t="shared" si="2"/>
        <v>22</v>
      </c>
      <c r="K34" s="65">
        <f t="shared" si="2"/>
        <v>23</v>
      </c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 t="s">
        <v>286</v>
      </c>
      <c r="C35" s="324" t="s">
        <v>2609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/>
      <c r="C36" s="290" t="s">
        <v>7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163" t="s">
        <v>389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325" t="s">
        <v>2611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" customHeight="1">
      <c r="A39" s="84"/>
      <c r="B39" s="1467" t="s">
        <v>2612</v>
      </c>
      <c r="C39" s="324" t="s">
        <v>2609</v>
      </c>
      <c r="D39" s="265"/>
      <c r="E39" s="301"/>
      <c r="F39" s="1644" t="s">
        <v>3249</v>
      </c>
      <c r="G39" s="1645"/>
      <c r="H39" s="1645"/>
      <c r="I39" s="1645"/>
      <c r="J39" s="1646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.6" customHeight="1">
      <c r="A40" s="84"/>
      <c r="B40" s="1467"/>
      <c r="C40" s="290" t="s">
        <v>2614</v>
      </c>
      <c r="D40" s="265"/>
      <c r="E40" s="301"/>
      <c r="F40" s="1641" t="s">
        <v>3247</v>
      </c>
      <c r="G40" s="1642"/>
      <c r="H40" s="1643"/>
      <c r="I40" s="301"/>
      <c r="J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1467"/>
      <c r="C41" s="290"/>
      <c r="D41" s="265"/>
      <c r="E41" s="301"/>
      <c r="F41" s="301"/>
      <c r="G41" s="301"/>
      <c r="H41" s="301"/>
      <c r="I41" s="1522" t="s">
        <v>3251</v>
      </c>
      <c r="J41" s="1545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325" t="s">
        <v>2611</v>
      </c>
      <c r="D42" s="265"/>
      <c r="E42" s="301"/>
      <c r="F42" s="301"/>
      <c r="G42" s="301"/>
      <c r="H42" s="301"/>
      <c r="I42" s="301"/>
      <c r="J42" s="301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500" t="s">
        <v>2613</v>
      </c>
      <c r="C43" s="125" t="s">
        <v>2615</v>
      </c>
      <c r="D43" s="265"/>
      <c r="E43" s="345"/>
      <c r="F43" s="301"/>
      <c r="G43" s="301"/>
      <c r="H43" s="301"/>
      <c r="I43" s="301"/>
      <c r="J43" s="301"/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84"/>
      <c r="C44" s="269"/>
      <c r="D44" s="265"/>
      <c r="E44" s="26">
        <f>K34+1</f>
        <v>24</v>
      </c>
      <c r="F44" s="175">
        <f t="shared" ref="F44:K44" si="3">E44+1</f>
        <v>25</v>
      </c>
      <c r="G44" s="175">
        <f t="shared" si="3"/>
        <v>26</v>
      </c>
      <c r="H44" s="175">
        <f t="shared" si="3"/>
        <v>27</v>
      </c>
      <c r="I44" s="175">
        <f t="shared" si="3"/>
        <v>28</v>
      </c>
      <c r="J44" s="175">
        <f t="shared" si="3"/>
        <v>29</v>
      </c>
      <c r="K44" s="175">
        <f t="shared" si="3"/>
        <v>30</v>
      </c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1467" t="s">
        <v>2616</v>
      </c>
      <c r="C45" s="324" t="s">
        <v>2609</v>
      </c>
      <c r="D45" s="265"/>
      <c r="E45" s="499"/>
      <c r="F45" s="499"/>
      <c r="G45" s="499"/>
      <c r="H45" s="499"/>
      <c r="I45" s="499"/>
      <c r="J45" s="499"/>
      <c r="K45" s="499"/>
      <c r="L45" s="84"/>
      <c r="O45" s="84"/>
      <c r="P45" s="84"/>
      <c r="Q45" s="84"/>
      <c r="R45" s="84"/>
      <c r="S45" s="84"/>
    </row>
    <row r="46" spans="1:19" ht="24.6" customHeight="1">
      <c r="A46" s="84"/>
      <c r="B46" s="1467"/>
      <c r="C46" s="290" t="s">
        <v>7</v>
      </c>
      <c r="D46" s="265"/>
      <c r="E46" s="499"/>
      <c r="F46" s="499"/>
      <c r="G46" s="499"/>
      <c r="H46" s="499"/>
      <c r="I46" s="499"/>
      <c r="J46" s="499"/>
      <c r="K46" s="499"/>
      <c r="L46" s="84"/>
      <c r="O46" s="84"/>
      <c r="R46" s="84"/>
      <c r="S46" s="84"/>
    </row>
    <row r="47" spans="1:19" ht="24.6" customHeight="1">
      <c r="A47" s="84"/>
      <c r="B47" s="1467"/>
      <c r="C47" s="163" t="s">
        <v>2610</v>
      </c>
      <c r="D47" s="265"/>
      <c r="E47" s="499"/>
      <c r="F47" s="499"/>
      <c r="G47" s="499"/>
      <c r="H47" s="499"/>
      <c r="I47" s="499"/>
      <c r="J47" s="499"/>
      <c r="K47" s="499"/>
      <c r="L47" s="84"/>
      <c r="M47" s="84"/>
      <c r="N47" s="84"/>
      <c r="O47" s="84"/>
      <c r="Q47" s="84"/>
      <c r="R47" s="84"/>
      <c r="S47" s="84"/>
    </row>
    <row r="48" spans="1:19" ht="24.6" customHeight="1">
      <c r="A48" s="84"/>
      <c r="B48" s="1467"/>
      <c r="C48" s="325" t="s">
        <v>2611</v>
      </c>
      <c r="D48" s="265"/>
      <c r="E48" s="499"/>
      <c r="F48" s="663"/>
      <c r="G48" s="663"/>
      <c r="H48" s="499"/>
      <c r="I48" s="663"/>
      <c r="J48" s="663"/>
      <c r="K48" s="499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 t="s">
        <v>2612</v>
      </c>
      <c r="C49" s="324" t="s">
        <v>2609</v>
      </c>
      <c r="D49" s="265"/>
      <c r="E49" s="499"/>
      <c r="F49" s="499"/>
      <c r="G49" s="665"/>
      <c r="H49" s="665"/>
      <c r="I49" s="1574" t="s">
        <v>3259</v>
      </c>
      <c r="J49" s="1574"/>
      <c r="K49" s="499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/>
      <c r="C50" s="324"/>
      <c r="D50" s="265"/>
      <c r="E50" s="645"/>
      <c r="F50" s="645"/>
      <c r="G50" s="1647" t="s">
        <v>3258</v>
      </c>
      <c r="H50" s="1574"/>
      <c r="I50" s="645"/>
      <c r="J50" s="1647" t="s">
        <v>3260</v>
      </c>
      <c r="K50" s="1574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290" t="s">
        <v>2614</v>
      </c>
      <c r="D51" s="265"/>
      <c r="E51" s="499"/>
      <c r="F51" s="1522" t="s">
        <v>3254</v>
      </c>
      <c r="G51" s="1545"/>
      <c r="H51" s="657"/>
      <c r="I51" s="1522" t="s">
        <v>3231</v>
      </c>
      <c r="J51" s="1545"/>
      <c r="K51" s="499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290"/>
      <c r="D52" s="265"/>
      <c r="E52" s="499"/>
      <c r="F52" s="662"/>
      <c r="G52" s="1522" t="s">
        <v>3255</v>
      </c>
      <c r="H52" s="1545"/>
      <c r="I52" s="662"/>
      <c r="J52" s="662"/>
      <c r="K52" s="49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325" t="s">
        <v>316</v>
      </c>
      <c r="D53" s="265"/>
      <c r="E53" s="499"/>
      <c r="F53" s="499"/>
      <c r="G53" s="657"/>
      <c r="H53" s="662"/>
      <c r="I53" s="662"/>
      <c r="J53" s="662"/>
      <c r="K53" s="499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500" t="s">
        <v>2613</v>
      </c>
      <c r="C54" s="125" t="s">
        <v>2615</v>
      </c>
      <c r="D54" s="265"/>
      <c r="E54" s="499"/>
      <c r="F54" s="499"/>
      <c r="G54" s="499"/>
      <c r="H54" s="499"/>
      <c r="I54" s="499"/>
      <c r="J54" s="499"/>
      <c r="K54" s="499"/>
      <c r="L54" s="84"/>
      <c r="M54" s="84"/>
      <c r="N54" s="84"/>
      <c r="O54" s="84"/>
      <c r="P54" s="84"/>
      <c r="Q54" s="84"/>
      <c r="R54" s="84"/>
      <c r="S54" s="84"/>
    </row>
    <row r="61" spans="1:19">
      <c r="H61" s="90" t="s">
        <v>3253</v>
      </c>
    </row>
  </sheetData>
  <mergeCells count="28">
    <mergeCell ref="F21:G21"/>
    <mergeCell ref="B19:B22"/>
    <mergeCell ref="E3:G3"/>
    <mergeCell ref="H3:K3"/>
    <mergeCell ref="B6:B9"/>
    <mergeCell ref="B10:B12"/>
    <mergeCell ref="B15:B18"/>
    <mergeCell ref="F19:J19"/>
    <mergeCell ref="I21:J21"/>
    <mergeCell ref="M24:O24"/>
    <mergeCell ref="B25:B28"/>
    <mergeCell ref="B29:B32"/>
    <mergeCell ref="B35:B38"/>
    <mergeCell ref="B39:B42"/>
    <mergeCell ref="G31:H31"/>
    <mergeCell ref="I30:J30"/>
    <mergeCell ref="I41:J41"/>
    <mergeCell ref="F40:H40"/>
    <mergeCell ref="F29:J29"/>
    <mergeCell ref="F39:J39"/>
    <mergeCell ref="B49:B53"/>
    <mergeCell ref="B45:B48"/>
    <mergeCell ref="G50:H50"/>
    <mergeCell ref="I49:J49"/>
    <mergeCell ref="J50:K50"/>
    <mergeCell ref="I51:J51"/>
    <mergeCell ref="F51:G51"/>
    <mergeCell ref="G52:H52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0">
    <pageSetUpPr fitToPage="1"/>
  </sheetPr>
  <dimension ref="A1:T54"/>
  <sheetViews>
    <sheetView zoomScale="55" zoomScaleNormal="55" workbookViewId="0">
      <selection activeCell="H27" sqref="H27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31" style="90" customWidth="1"/>
    <col min="15" max="18" width="6.6640625" style="90" customWidth="1"/>
    <col min="19" max="19" width="36.6640625" style="90" bestFit="1" customWidth="1"/>
    <col min="20" max="16384" width="8.88671875" style="84"/>
  </cols>
  <sheetData>
    <row r="1" spans="1:20" ht="19.149999999999999">
      <c r="A1" s="84"/>
      <c r="B1" s="84"/>
      <c r="C1" s="5"/>
      <c r="D1" s="5"/>
    </row>
    <row r="2" spans="1:20" ht="19.149999999999999">
      <c r="A2" s="84"/>
      <c r="B2" s="84" t="s">
        <v>3277</v>
      </c>
      <c r="C2" s="5"/>
      <c r="D2" s="5"/>
      <c r="E2" s="262"/>
      <c r="F2" s="262"/>
      <c r="G2" s="262"/>
      <c r="H2" s="262"/>
      <c r="I2" s="262"/>
      <c r="J2" s="262"/>
      <c r="K2" s="262"/>
    </row>
    <row r="3" spans="1:20" ht="57">
      <c r="A3" s="84"/>
      <c r="B3" s="84"/>
      <c r="C3" s="5"/>
      <c r="D3" s="5"/>
      <c r="E3" s="1450">
        <v>45383</v>
      </c>
      <c r="F3" s="1450"/>
      <c r="G3" s="1450"/>
      <c r="H3" s="1451" t="s">
        <v>2618</v>
      </c>
      <c r="I3" s="1452"/>
      <c r="J3" s="1452"/>
      <c r="K3" s="1452"/>
    </row>
    <row r="4" spans="1:20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R4" s="90"/>
      <c r="S4" s="90"/>
    </row>
    <row r="5" spans="1:20" s="5" customFormat="1" ht="24.6" customHeight="1">
      <c r="E5" s="26"/>
      <c r="F5" s="175">
        <v>1</v>
      </c>
      <c r="G5" s="175">
        <v>2</v>
      </c>
      <c r="H5" s="175">
        <v>3</v>
      </c>
      <c r="I5" s="175">
        <v>4</v>
      </c>
      <c r="J5" s="175">
        <v>5</v>
      </c>
      <c r="K5" s="175">
        <v>6</v>
      </c>
      <c r="L5" s="90"/>
      <c r="M5" s="90"/>
      <c r="N5" s="90"/>
      <c r="Q5" s="5" t="s">
        <v>3091</v>
      </c>
      <c r="T5" s="11"/>
    </row>
    <row r="6" spans="1:20" s="5" customFormat="1" ht="24.6" customHeight="1">
      <c r="B6" s="1467" t="s">
        <v>2616</v>
      </c>
      <c r="C6" s="324" t="s">
        <v>2609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90"/>
      <c r="Q6" s="586" t="s">
        <v>2905</v>
      </c>
      <c r="R6" s="1634" t="s">
        <v>2732</v>
      </c>
      <c r="S6" s="1634"/>
      <c r="T6" s="587" t="s">
        <v>228</v>
      </c>
    </row>
    <row r="7" spans="1:20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90"/>
      <c r="Q7" s="601" t="s">
        <v>3252</v>
      </c>
      <c r="R7" s="1522" t="s">
        <v>3310</v>
      </c>
      <c r="S7" s="1545"/>
      <c r="T7" s="600"/>
    </row>
    <row r="8" spans="1:20" s="5" customFormat="1" ht="24.6" customHeight="1">
      <c r="B8" s="1467"/>
      <c r="C8" s="163" t="s">
        <v>2610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90"/>
      <c r="R8" s="1522" t="s">
        <v>3245</v>
      </c>
      <c r="S8" s="1545"/>
    </row>
    <row r="9" spans="1:20" s="5" customFormat="1" ht="24.6" customHeight="1">
      <c r="B9" s="1467"/>
      <c r="C9" s="325" t="s">
        <v>2611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N9" s="90"/>
      <c r="R9" s="11"/>
    </row>
    <row r="10" spans="1:20" s="5" customFormat="1" ht="24.6" customHeight="1">
      <c r="B10" s="1467" t="s">
        <v>2612</v>
      </c>
      <c r="C10" s="324" t="s">
        <v>2609</v>
      </c>
      <c r="D10" s="265"/>
      <c r="E10" s="499"/>
      <c r="F10" s="1574" t="s">
        <v>3264</v>
      </c>
      <c r="G10" s="1574"/>
      <c r="H10" s="499"/>
      <c r="I10" s="1574" t="s">
        <v>3266</v>
      </c>
      <c r="J10" s="1574"/>
      <c r="K10" s="499"/>
      <c r="L10" s="90"/>
      <c r="M10" s="90"/>
      <c r="N10" s="90"/>
      <c r="R10" s="11"/>
      <c r="S10" s="90"/>
    </row>
    <row r="11" spans="1:20" s="5" customFormat="1" ht="24.6" customHeight="1">
      <c r="B11" s="1467"/>
      <c r="C11" s="324"/>
      <c r="D11" s="265"/>
      <c r="E11" s="645"/>
      <c r="F11" s="645"/>
      <c r="G11" s="1574" t="s">
        <v>3265</v>
      </c>
      <c r="H11" s="1574"/>
      <c r="I11" s="645"/>
      <c r="J11" s="1574" t="s">
        <v>3267</v>
      </c>
      <c r="K11" s="1574"/>
      <c r="L11" s="90"/>
      <c r="M11" s="90"/>
      <c r="N11" s="90"/>
      <c r="R11" s="11"/>
    </row>
    <row r="12" spans="1:20" s="5" customFormat="1" ht="24.6" customHeight="1">
      <c r="B12" s="1467"/>
      <c r="C12" s="290" t="s">
        <v>2614</v>
      </c>
      <c r="D12" s="265"/>
      <c r="E12" s="499"/>
      <c r="F12" s="1522" t="s">
        <v>3244</v>
      </c>
      <c r="G12" s="1545"/>
      <c r="H12" s="499"/>
      <c r="I12" s="1522" t="s">
        <v>3256</v>
      </c>
      <c r="J12" s="1545"/>
      <c r="K12" s="499"/>
      <c r="L12" s="90"/>
      <c r="M12" s="90"/>
      <c r="N12" s="90"/>
      <c r="R12" s="11"/>
    </row>
    <row r="13" spans="1:20" s="5" customFormat="1" ht="24.6" customHeight="1">
      <c r="B13" s="1467"/>
      <c r="C13" s="325" t="s">
        <v>2611</v>
      </c>
      <c r="D13" s="265"/>
      <c r="E13" s="499"/>
      <c r="F13" s="499"/>
      <c r="G13" s="499"/>
      <c r="H13" s="664"/>
      <c r="I13" s="664"/>
      <c r="J13" s="499"/>
      <c r="K13" s="499"/>
      <c r="L13" s="90"/>
      <c r="M13" s="90"/>
      <c r="N13" s="90"/>
      <c r="R13" s="11"/>
    </row>
    <row r="14" spans="1:20" s="5" customFormat="1" ht="24.6" customHeight="1">
      <c r="B14" s="500" t="s">
        <v>2613</v>
      </c>
      <c r="C14" s="125" t="s">
        <v>2615</v>
      </c>
      <c r="D14" s="265"/>
      <c r="E14" s="499"/>
      <c r="F14" s="499"/>
      <c r="G14" s="499"/>
      <c r="H14" s="499"/>
      <c r="I14" s="499"/>
      <c r="J14" s="499"/>
      <c r="K14" s="499"/>
      <c r="L14" s="90"/>
      <c r="M14" s="90"/>
      <c r="N14" s="90"/>
      <c r="R14" s="11"/>
      <c r="S14" s="90"/>
    </row>
    <row r="15" spans="1:20" ht="24.6" customHeight="1">
      <c r="A15" s="84"/>
      <c r="B15" s="84"/>
      <c r="C15" s="5"/>
      <c r="D15" s="5"/>
      <c r="E15" s="266">
        <f>K5+1</f>
        <v>7</v>
      </c>
      <c r="F15" s="65">
        <f t="shared" ref="F15:K15" si="0">E15+1</f>
        <v>8</v>
      </c>
      <c r="G15" s="65">
        <f t="shared" si="0"/>
        <v>9</v>
      </c>
      <c r="H15" s="65">
        <f t="shared" si="0"/>
        <v>10</v>
      </c>
      <c r="I15" s="65">
        <f t="shared" si="0"/>
        <v>11</v>
      </c>
      <c r="J15" s="65">
        <f t="shared" si="0"/>
        <v>12</v>
      </c>
      <c r="K15" s="65">
        <f t="shared" si="0"/>
        <v>13</v>
      </c>
    </row>
    <row r="16" spans="1:20" ht="24.6" customHeight="1">
      <c r="A16" s="84"/>
      <c r="B16" s="1467" t="s">
        <v>2616</v>
      </c>
      <c r="C16" s="324" t="s">
        <v>2609</v>
      </c>
      <c r="D16" s="265"/>
      <c r="E16" s="301"/>
      <c r="F16" s="301"/>
      <c r="G16" s="301"/>
      <c r="H16" s="301"/>
      <c r="I16" s="301"/>
      <c r="J16" s="301"/>
      <c r="K16" s="301"/>
    </row>
    <row r="17" spans="1:19" ht="24.6" customHeight="1">
      <c r="A17" s="84"/>
      <c r="B17" s="1467"/>
      <c r="C17" s="290" t="s">
        <v>7</v>
      </c>
      <c r="D17" s="265"/>
      <c r="E17" s="301"/>
      <c r="F17" s="301"/>
      <c r="G17" s="301"/>
      <c r="H17" s="301"/>
      <c r="I17" s="301"/>
      <c r="J17" s="301"/>
      <c r="K17" s="301"/>
    </row>
    <row r="18" spans="1:19" ht="24.6" customHeight="1">
      <c r="A18" s="84"/>
      <c r="B18" s="1467"/>
      <c r="C18" s="163" t="s">
        <v>2610</v>
      </c>
      <c r="D18" s="265"/>
      <c r="E18" s="301"/>
      <c r="F18" s="301"/>
      <c r="G18" s="301"/>
      <c r="H18" s="301"/>
      <c r="I18" s="301"/>
      <c r="J18" s="301"/>
      <c r="K18" s="301"/>
    </row>
    <row r="19" spans="1:19" ht="24.6" customHeight="1">
      <c r="A19" s="84"/>
      <c r="B19" s="1467"/>
      <c r="C19" s="325" t="s">
        <v>2611</v>
      </c>
      <c r="D19" s="265"/>
      <c r="E19" s="301"/>
      <c r="F19" s="301"/>
      <c r="G19" s="301"/>
      <c r="H19" s="301"/>
      <c r="I19" s="301"/>
      <c r="J19" s="301"/>
      <c r="K19" s="301"/>
    </row>
    <row r="20" spans="1:19" ht="24.6" customHeight="1">
      <c r="A20" s="84"/>
      <c r="B20" s="1467" t="s">
        <v>2612</v>
      </c>
      <c r="C20" s="324" t="s">
        <v>2609</v>
      </c>
      <c r="D20" s="265"/>
      <c r="E20" s="301"/>
      <c r="F20" s="1574" t="s">
        <v>3271</v>
      </c>
      <c r="G20" s="1574"/>
      <c r="H20" s="301"/>
      <c r="I20" s="1574" t="s">
        <v>3273</v>
      </c>
      <c r="J20" s="1574"/>
      <c r="K20" s="301"/>
    </row>
    <row r="21" spans="1:19" ht="24.6" customHeight="1">
      <c r="A21" s="84"/>
      <c r="B21" s="1467"/>
      <c r="C21" s="324"/>
      <c r="D21" s="265"/>
      <c r="E21" s="301"/>
      <c r="F21" s="301"/>
      <c r="G21" s="301" t="s">
        <v>193</v>
      </c>
      <c r="H21" s="301"/>
      <c r="I21" s="301"/>
      <c r="J21" s="1574" t="s">
        <v>3274</v>
      </c>
      <c r="K21" s="1574"/>
    </row>
    <row r="22" spans="1:19" ht="24" customHeight="1">
      <c r="A22" s="84"/>
      <c r="B22" s="1467"/>
      <c r="C22" s="290" t="s">
        <v>2614</v>
      </c>
      <c r="D22" s="265"/>
      <c r="E22" s="301"/>
      <c r="F22" s="243" t="s">
        <v>3272</v>
      </c>
      <c r="G22" s="301"/>
      <c r="H22" s="301"/>
      <c r="I22" s="1522" t="s">
        <v>3257</v>
      </c>
      <c r="J22" s="1545"/>
      <c r="K22" s="301"/>
    </row>
    <row r="23" spans="1:19" ht="24" customHeight="1">
      <c r="A23" s="84"/>
      <c r="B23" s="1467"/>
      <c r="C23" s="325" t="s">
        <v>2611</v>
      </c>
      <c r="D23" s="265"/>
      <c r="E23" s="301"/>
      <c r="F23" s="301"/>
      <c r="G23" s="301"/>
      <c r="H23" s="301"/>
      <c r="I23" s="301"/>
      <c r="K23" s="301"/>
    </row>
    <row r="24" spans="1:19" ht="24.6" customHeight="1">
      <c r="A24" s="84"/>
      <c r="B24" s="500" t="s">
        <v>2613</v>
      </c>
      <c r="C24" s="125" t="s">
        <v>2615</v>
      </c>
      <c r="D24" s="265"/>
      <c r="E24" s="301"/>
      <c r="F24" s="301"/>
      <c r="G24" s="301"/>
      <c r="H24" s="125" t="s">
        <v>2621</v>
      </c>
      <c r="I24" s="301"/>
      <c r="J24" s="301"/>
      <c r="K24" s="301"/>
    </row>
    <row r="25" spans="1:19" ht="24.6" customHeight="1">
      <c r="A25" s="84"/>
      <c r="B25" s="84"/>
      <c r="C25" s="5"/>
      <c r="D25" s="5"/>
      <c r="E25" s="26">
        <f>K15+1</f>
        <v>14</v>
      </c>
      <c r="F25" s="175">
        <f t="shared" ref="F25:K25" si="1">E25+1</f>
        <v>15</v>
      </c>
      <c r="G25" s="175">
        <f t="shared" si="1"/>
        <v>16</v>
      </c>
      <c r="H25" s="175">
        <f t="shared" si="1"/>
        <v>17</v>
      </c>
      <c r="I25" s="175">
        <f t="shared" si="1"/>
        <v>18</v>
      </c>
      <c r="J25" s="175">
        <f t="shared" si="1"/>
        <v>19</v>
      </c>
      <c r="K25" s="175">
        <f t="shared" si="1"/>
        <v>20</v>
      </c>
      <c r="M25" s="1453"/>
      <c r="N25" s="1453"/>
      <c r="O25" s="1453"/>
    </row>
    <row r="26" spans="1:19" ht="24.6" customHeight="1">
      <c r="A26" s="84"/>
      <c r="B26" s="1467" t="s">
        <v>286</v>
      </c>
      <c r="C26" s="324" t="s">
        <v>2609</v>
      </c>
      <c r="D26" s="265"/>
      <c r="E26" s="499"/>
      <c r="F26" s="499"/>
      <c r="G26" s="499"/>
      <c r="H26" s="499"/>
      <c r="I26" s="499"/>
      <c r="J26" s="499"/>
      <c r="K26" s="499"/>
    </row>
    <row r="27" spans="1:19" ht="24.6" customHeight="1">
      <c r="A27" s="84"/>
      <c r="B27" s="1467"/>
      <c r="C27" s="290" t="s">
        <v>7</v>
      </c>
      <c r="D27" s="265"/>
      <c r="E27" s="499"/>
      <c r="F27" s="499"/>
      <c r="G27" s="499"/>
      <c r="H27" s="499"/>
      <c r="I27" s="499"/>
      <c r="J27" s="499"/>
      <c r="K27" s="499"/>
      <c r="L27" s="84"/>
      <c r="M27" s="84"/>
      <c r="P27" s="84"/>
      <c r="Q27" s="84"/>
      <c r="R27" s="84"/>
      <c r="S27" s="84"/>
    </row>
    <row r="28" spans="1:19" ht="24.6" customHeight="1">
      <c r="A28" s="84"/>
      <c r="B28" s="1467"/>
      <c r="C28" s="163" t="s">
        <v>2610</v>
      </c>
      <c r="D28" s="265"/>
      <c r="E28" s="499"/>
      <c r="F28" s="499"/>
      <c r="G28" s="499"/>
      <c r="H28" s="499"/>
      <c r="I28" s="499"/>
      <c r="J28" s="499"/>
      <c r="K28" s="499"/>
      <c r="L28" s="84"/>
      <c r="M28" s="84"/>
      <c r="N28" s="84"/>
      <c r="O28" s="84"/>
      <c r="P28" s="84"/>
      <c r="Q28" s="84"/>
      <c r="R28" s="84"/>
      <c r="S28" s="84"/>
    </row>
    <row r="29" spans="1:19" ht="24.6" customHeight="1">
      <c r="A29" s="84"/>
      <c r="B29" s="1467"/>
      <c r="C29" s="325" t="s">
        <v>2611</v>
      </c>
      <c r="D29" s="265"/>
      <c r="E29" s="499"/>
      <c r="F29" s="499"/>
      <c r="G29" s="499"/>
      <c r="H29" s="499"/>
      <c r="I29" s="499"/>
      <c r="J29" s="670"/>
      <c r="K29" s="670"/>
      <c r="L29" s="84"/>
      <c r="M29" s="84"/>
      <c r="N29" s="84"/>
      <c r="Q29" s="84"/>
      <c r="R29" s="84"/>
      <c r="S29" s="84"/>
    </row>
    <row r="30" spans="1:19" ht="24.6" customHeight="1">
      <c r="A30" s="84"/>
      <c r="B30" s="1467" t="s">
        <v>2612</v>
      </c>
      <c r="C30" s="324" t="s">
        <v>2609</v>
      </c>
      <c r="D30" s="265"/>
      <c r="E30" s="499"/>
      <c r="F30" s="1574" t="s">
        <v>3279</v>
      </c>
      <c r="G30" s="1574"/>
      <c r="H30" s="499"/>
      <c r="I30" s="658"/>
      <c r="J30" s="1574" t="s">
        <v>3281</v>
      </c>
      <c r="K30" s="1574"/>
      <c r="L30" s="84"/>
      <c r="M30" s="84"/>
      <c r="N30" s="84"/>
      <c r="O30" s="84"/>
      <c r="P30" s="84"/>
      <c r="Q30" s="84"/>
      <c r="R30" s="84"/>
      <c r="S30" s="84"/>
    </row>
    <row r="31" spans="1:19" ht="24.6" customHeight="1">
      <c r="A31" s="84"/>
      <c r="B31" s="1467"/>
      <c r="C31" s="324"/>
      <c r="D31" s="265"/>
      <c r="E31" s="645"/>
      <c r="F31" s="645"/>
      <c r="G31" s="658"/>
      <c r="H31" s="1556" t="s">
        <v>3280</v>
      </c>
      <c r="I31" s="1557"/>
      <c r="J31" s="658"/>
      <c r="K31" s="658"/>
      <c r="L31" s="84"/>
      <c r="M31" s="84"/>
      <c r="N31" s="84"/>
      <c r="O31" s="84"/>
      <c r="P31" s="84"/>
      <c r="Q31" s="84"/>
      <c r="R31" s="84"/>
      <c r="S31" s="84"/>
    </row>
    <row r="32" spans="1:19" ht="24.6" customHeight="1">
      <c r="A32" s="84"/>
      <c r="B32" s="1467"/>
      <c r="C32" s="290" t="s">
        <v>292</v>
      </c>
      <c r="D32" s="265"/>
      <c r="E32" s="499"/>
      <c r="F32" s="664"/>
      <c r="G32" s="669"/>
      <c r="H32" s="669"/>
      <c r="I32" s="664"/>
      <c r="J32" s="243" t="s">
        <v>3248</v>
      </c>
      <c r="K32" s="499"/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/>
      <c r="C33" s="325" t="s">
        <v>2611</v>
      </c>
      <c r="D33" s="265"/>
      <c r="E33" s="499"/>
      <c r="F33" s="438" t="s">
        <v>3276</v>
      </c>
      <c r="G33" s="664"/>
      <c r="H33" s="1522" t="s">
        <v>3268</v>
      </c>
      <c r="I33" s="1545"/>
      <c r="J33" s="672"/>
      <c r="K33" s="499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500" t="s">
        <v>2613</v>
      </c>
      <c r="C34" s="125" t="s">
        <v>2615</v>
      </c>
      <c r="D34" s="265"/>
      <c r="E34" s="499"/>
      <c r="F34" s="499"/>
      <c r="G34" s="672"/>
      <c r="H34" s="672"/>
      <c r="I34" s="672"/>
      <c r="J34" s="672"/>
      <c r="K34" s="499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84"/>
      <c r="C35" s="5"/>
      <c r="D35" s="5"/>
      <c r="E35" s="266">
        <f>K25+1</f>
        <v>21</v>
      </c>
      <c r="F35" s="304">
        <f t="shared" ref="F35:K35" si="2">E35+1</f>
        <v>22</v>
      </c>
      <c r="G35" s="304">
        <f t="shared" si="2"/>
        <v>23</v>
      </c>
      <c r="H35" s="304">
        <f t="shared" si="2"/>
        <v>24</v>
      </c>
      <c r="I35" s="304">
        <f t="shared" si="2"/>
        <v>25</v>
      </c>
      <c r="J35" s="304">
        <f t="shared" si="2"/>
        <v>26</v>
      </c>
      <c r="K35" s="65">
        <f t="shared" si="2"/>
        <v>27</v>
      </c>
      <c r="L35" s="84"/>
      <c r="M35" s="84"/>
      <c r="N35" s="84"/>
      <c r="O35" s="84"/>
      <c r="P35" s="84"/>
      <c r="Q35" s="84"/>
      <c r="R35" s="84"/>
      <c r="S35" s="84"/>
    </row>
    <row r="36" spans="1:19" ht="24.6" customHeight="1">
      <c r="A36" s="84"/>
      <c r="B36" s="1467" t="s">
        <v>2616</v>
      </c>
      <c r="C36" s="324" t="s">
        <v>2609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.6" customHeight="1">
      <c r="A37" s="84"/>
      <c r="B37" s="1467"/>
      <c r="C37" s="290" t="s">
        <v>7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.6" customHeight="1">
      <c r="A38" s="84"/>
      <c r="B38" s="1467"/>
      <c r="C38" s="163" t="s">
        <v>2622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2611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</row>
    <row r="40" spans="1:19" ht="24" customHeight="1">
      <c r="A40" s="84"/>
      <c r="B40" s="1467" t="s">
        <v>2623</v>
      </c>
      <c r="C40" s="324" t="s">
        <v>2609</v>
      </c>
      <c r="D40" s="265"/>
      <c r="E40" s="301"/>
      <c r="F40" s="1574" t="s">
        <v>3284</v>
      </c>
      <c r="G40" s="1574"/>
      <c r="H40" s="301"/>
      <c r="I40" s="1574" t="s">
        <v>3285</v>
      </c>
      <c r="J40" s="1574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" customHeight="1">
      <c r="A41" s="84"/>
      <c r="B41" s="1467"/>
      <c r="C41" s="324"/>
      <c r="D41" s="265"/>
      <c r="E41" s="301"/>
      <c r="F41" s="301"/>
      <c r="G41" s="1574" t="s">
        <v>3321</v>
      </c>
      <c r="H41" s="1574"/>
      <c r="I41" s="301"/>
      <c r="J41" s="1574" t="s">
        <v>3286</v>
      </c>
      <c r="K41" s="1574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1467"/>
      <c r="C42" s="290" t="s">
        <v>2614</v>
      </c>
      <c r="D42" s="265"/>
      <c r="E42" s="301"/>
      <c r="F42" s="1522" t="s">
        <v>3261</v>
      </c>
      <c r="G42" s="1545"/>
      <c r="H42" s="301"/>
      <c r="I42" s="1522" t="s">
        <v>3270</v>
      </c>
      <c r="J42" s="1545"/>
      <c r="K42" s="301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/>
      <c r="C43" s="325" t="s">
        <v>2611</v>
      </c>
      <c r="D43" s="265"/>
      <c r="E43" s="301"/>
      <c r="F43" s="301"/>
      <c r="G43" s="301"/>
      <c r="H43" s="1522" t="s">
        <v>3269</v>
      </c>
      <c r="I43" s="1545"/>
      <c r="J43" s="301"/>
      <c r="K43" s="301"/>
      <c r="L43" s="84"/>
      <c r="M43" s="84"/>
      <c r="N43" s="84"/>
      <c r="O43" s="84"/>
      <c r="P43" s="84"/>
      <c r="Q43" s="84"/>
      <c r="R43" s="84"/>
      <c r="S43" s="84"/>
    </row>
    <row r="44" spans="1:19" ht="24.6" customHeight="1">
      <c r="A44" s="84"/>
      <c r="B44" s="500" t="s">
        <v>2613</v>
      </c>
      <c r="C44" s="125" t="s">
        <v>2615</v>
      </c>
      <c r="D44" s="265"/>
      <c r="E44" s="345"/>
      <c r="F44" s="301"/>
      <c r="G44" s="301"/>
      <c r="H44" s="301"/>
      <c r="I44" s="301"/>
      <c r="J44" s="301"/>
      <c r="K44" s="301"/>
      <c r="L44" s="84"/>
      <c r="M44" s="84"/>
      <c r="N44" s="84"/>
      <c r="O44" s="84"/>
      <c r="P44" s="84"/>
      <c r="Q44" s="84"/>
      <c r="R44" s="84"/>
      <c r="S44" s="84"/>
    </row>
    <row r="45" spans="1:19" ht="24.6" customHeight="1">
      <c r="A45" s="84"/>
      <c r="B45" s="84"/>
      <c r="C45" s="269"/>
      <c r="D45" s="265"/>
      <c r="E45" s="26">
        <f>K35+1</f>
        <v>28</v>
      </c>
      <c r="F45" s="175">
        <f>E45+1</f>
        <v>29</v>
      </c>
      <c r="G45" s="175">
        <f>F45+1</f>
        <v>30</v>
      </c>
      <c r="H45" s="175">
        <v>1</v>
      </c>
      <c r="I45" s="175">
        <v>2</v>
      </c>
      <c r="J45" s="175">
        <v>3</v>
      </c>
      <c r="K45" s="175">
        <v>4</v>
      </c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2616</v>
      </c>
      <c r="C46" s="324" t="s">
        <v>2609</v>
      </c>
      <c r="D46" s="265"/>
      <c r="E46" s="499"/>
      <c r="F46" s="499"/>
      <c r="G46" s="499"/>
      <c r="H46" s="672"/>
      <c r="I46" s="674"/>
      <c r="J46" s="674"/>
      <c r="K46" s="674"/>
      <c r="L46" s="84"/>
      <c r="M46" s="84"/>
      <c r="N46" s="84"/>
      <c r="O46" s="84"/>
      <c r="P46" s="84"/>
      <c r="Q46" s="84"/>
      <c r="R46" s="84"/>
      <c r="S46" s="84"/>
    </row>
    <row r="47" spans="1:19" ht="24.6" customHeight="1">
      <c r="A47" s="84"/>
      <c r="B47" s="1467"/>
      <c r="C47" s="290" t="s">
        <v>7</v>
      </c>
      <c r="D47" s="265"/>
      <c r="E47" s="499"/>
      <c r="F47" s="499"/>
      <c r="G47" s="499"/>
      <c r="H47" s="672"/>
      <c r="I47" s="674"/>
      <c r="J47" s="674"/>
      <c r="K47" s="674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3" t="s">
        <v>2610</v>
      </c>
      <c r="D48" s="265"/>
      <c r="E48" s="499"/>
      <c r="F48" s="499"/>
      <c r="G48" s="499"/>
      <c r="H48" s="672"/>
      <c r="I48" s="679"/>
      <c r="J48" s="679"/>
      <c r="K48" s="679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325" t="s">
        <v>2611</v>
      </c>
      <c r="D49" s="265"/>
      <c r="E49" s="499"/>
      <c r="F49" s="673"/>
      <c r="G49" s="673"/>
      <c r="H49" s="672"/>
      <c r="I49" s="679"/>
      <c r="J49" s="679"/>
      <c r="K49" s="679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2612</v>
      </c>
      <c r="C50" s="324" t="s">
        <v>2609</v>
      </c>
      <c r="D50" s="265"/>
      <c r="E50" s="499"/>
      <c r="F50" s="1574" t="s">
        <v>3287</v>
      </c>
      <c r="G50" s="1574"/>
      <c r="H50" s="672"/>
      <c r="I50" s="679"/>
      <c r="J50" s="679"/>
      <c r="K50" s="679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324"/>
      <c r="D51" s="265"/>
      <c r="E51" s="645"/>
      <c r="F51" s="672"/>
      <c r="G51" s="672"/>
      <c r="H51" s="672"/>
      <c r="I51" s="679"/>
      <c r="J51" s="679"/>
      <c r="K51" s="679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290" t="s">
        <v>2614</v>
      </c>
      <c r="D52" s="265"/>
      <c r="E52" s="499"/>
      <c r="F52" s="499"/>
      <c r="G52" s="243" t="s">
        <v>3278</v>
      </c>
      <c r="H52" s="672"/>
      <c r="I52" s="679"/>
      <c r="J52" s="679"/>
      <c r="K52" s="679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325" t="s">
        <v>2611</v>
      </c>
      <c r="D53" s="265"/>
      <c r="E53" s="499"/>
      <c r="F53" s="1522" t="s">
        <v>3262</v>
      </c>
      <c r="G53" s="1545"/>
      <c r="H53" s="672"/>
      <c r="I53" s="679"/>
      <c r="J53" s="679"/>
      <c r="K53" s="679"/>
      <c r="L53" s="84"/>
      <c r="M53" s="84"/>
      <c r="N53" s="84"/>
      <c r="O53" s="84"/>
      <c r="P53" s="84"/>
      <c r="Q53" s="84"/>
      <c r="R53" s="84"/>
      <c r="S53" s="84"/>
    </row>
    <row r="54" spans="1:19" ht="24.6" customHeight="1">
      <c r="A54" s="84"/>
      <c r="B54" s="500" t="s">
        <v>2613</v>
      </c>
      <c r="C54" s="125" t="s">
        <v>2615</v>
      </c>
      <c r="D54" s="265"/>
      <c r="E54" s="499"/>
      <c r="F54" s="499"/>
      <c r="G54" s="499"/>
      <c r="H54" s="679"/>
      <c r="I54" s="679"/>
      <c r="J54" s="679"/>
      <c r="K54" s="679"/>
      <c r="L54" s="84"/>
      <c r="M54" s="84"/>
      <c r="N54" s="84"/>
      <c r="O54" s="84"/>
      <c r="P54" s="84"/>
      <c r="Q54" s="84"/>
      <c r="R54" s="84"/>
      <c r="S54" s="84"/>
    </row>
  </sheetData>
  <mergeCells count="39">
    <mergeCell ref="F53:G53"/>
    <mergeCell ref="R6:S6"/>
    <mergeCell ref="R7:S7"/>
    <mergeCell ref="F12:G12"/>
    <mergeCell ref="H33:I33"/>
    <mergeCell ref="M25:O25"/>
    <mergeCell ref="R8:S8"/>
    <mergeCell ref="I22:J22"/>
    <mergeCell ref="H43:I43"/>
    <mergeCell ref="G41:H41"/>
    <mergeCell ref="F42:G42"/>
    <mergeCell ref="I40:J40"/>
    <mergeCell ref="J41:K41"/>
    <mergeCell ref="B20:B23"/>
    <mergeCell ref="F20:G20"/>
    <mergeCell ref="I20:J20"/>
    <mergeCell ref="J21:K21"/>
    <mergeCell ref="B50:B53"/>
    <mergeCell ref="B46:B49"/>
    <mergeCell ref="F50:G50"/>
    <mergeCell ref="B26:B29"/>
    <mergeCell ref="B30:B33"/>
    <mergeCell ref="B36:B39"/>
    <mergeCell ref="B40:B43"/>
    <mergeCell ref="F30:G30"/>
    <mergeCell ref="H31:I31"/>
    <mergeCell ref="J30:K30"/>
    <mergeCell ref="F40:G40"/>
    <mergeCell ref="I42:J42"/>
    <mergeCell ref="B6:B9"/>
    <mergeCell ref="B10:B13"/>
    <mergeCell ref="B16:B19"/>
    <mergeCell ref="F10:G10"/>
    <mergeCell ref="G11:H11"/>
    <mergeCell ref="E3:G3"/>
    <mergeCell ref="H3:K3"/>
    <mergeCell ref="I10:J10"/>
    <mergeCell ref="J11:K11"/>
    <mergeCell ref="I12:J12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1">
    <pageSetUpPr fitToPage="1"/>
  </sheetPr>
  <dimension ref="A1:R57"/>
  <sheetViews>
    <sheetView topLeftCell="A19" zoomScale="55" zoomScaleNormal="55" workbookViewId="0">
      <selection activeCell="H27" sqref="H27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0.33203125" style="90" customWidth="1"/>
    <col min="15" max="16" width="17.88671875" style="90" customWidth="1"/>
    <col min="17" max="17" width="14.6640625" style="90" customWidth="1"/>
    <col min="18" max="18" width="9.5546875" style="90" bestFit="1" customWidth="1"/>
    <col min="19" max="16384" width="8.88671875" style="84"/>
  </cols>
  <sheetData>
    <row r="1" spans="1:18" ht="19.149999999999999">
      <c r="A1" s="84"/>
      <c r="B1" s="84"/>
      <c r="C1" s="5"/>
      <c r="D1" s="5"/>
      <c r="N1" s="683" t="s">
        <v>3296</v>
      </c>
    </row>
    <row r="2" spans="1:18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  <c r="N2" s="681" t="s">
        <v>3290</v>
      </c>
      <c r="O2" s="677" t="s">
        <v>3291</v>
      </c>
      <c r="P2" s="680" t="s">
        <v>3292</v>
      </c>
    </row>
    <row r="3" spans="1:18" ht="57">
      <c r="A3" s="84"/>
      <c r="B3" s="84"/>
      <c r="C3" s="5"/>
      <c r="D3" s="5"/>
      <c r="E3" s="1450">
        <v>45413</v>
      </c>
      <c r="F3" s="1450"/>
      <c r="G3" s="1450"/>
      <c r="H3" s="1451" t="s">
        <v>2618</v>
      </c>
      <c r="I3" s="1452"/>
      <c r="J3" s="1452"/>
      <c r="K3" s="1452"/>
      <c r="N3" s="685">
        <f>N4*34000</f>
        <v>306000</v>
      </c>
      <c r="O3" s="678">
        <f>1620+15000+2500+19000+14400+9600+4000</f>
        <v>66120</v>
      </c>
      <c r="P3" s="684">
        <f>N3+O3</f>
        <v>372120</v>
      </c>
    </row>
    <row r="4" spans="1:18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681">
        <v>9</v>
      </c>
      <c r="O4" s="677">
        <v>9</v>
      </c>
      <c r="P4" s="684">
        <f>N4+O4</f>
        <v>18</v>
      </c>
      <c r="Q4" s="90"/>
    </row>
    <row r="5" spans="1:18" s="5" customFormat="1" ht="24.6" customHeight="1">
      <c r="E5" s="26"/>
      <c r="F5" s="175"/>
      <c r="G5" s="175"/>
      <c r="H5" s="175">
        <v>1</v>
      </c>
      <c r="I5" s="175">
        <v>2</v>
      </c>
      <c r="J5" s="175">
        <v>3</v>
      </c>
      <c r="K5" s="175">
        <v>4</v>
      </c>
      <c r="L5" s="90"/>
      <c r="M5" s="90"/>
      <c r="Q5" s="90"/>
      <c r="R5" s="90"/>
    </row>
    <row r="6" spans="1:18" s="5" customFormat="1" ht="24.6" customHeight="1">
      <c r="B6" s="1467" t="s">
        <v>2616</v>
      </c>
      <c r="C6" s="324" t="s">
        <v>2609</v>
      </c>
      <c r="D6" s="265"/>
      <c r="E6" s="499"/>
      <c r="F6" s="499"/>
      <c r="G6" s="499"/>
      <c r="H6" s="499"/>
      <c r="I6" s="499"/>
      <c r="J6" s="499"/>
      <c r="K6" s="499"/>
      <c r="L6" s="90"/>
      <c r="M6" s="90"/>
      <c r="N6" s="5" t="s">
        <v>3294</v>
      </c>
      <c r="Q6" s="11"/>
      <c r="R6" s="90"/>
    </row>
    <row r="7" spans="1:18" s="5" customFormat="1" ht="24.6" customHeight="1">
      <c r="B7" s="1467"/>
      <c r="C7" s="290" t="s">
        <v>7</v>
      </c>
      <c r="D7" s="265"/>
      <c r="E7" s="499"/>
      <c r="F7" s="499"/>
      <c r="G7" s="499"/>
      <c r="H7" s="499"/>
      <c r="I7" s="499"/>
      <c r="J7" s="499"/>
      <c r="K7" s="499"/>
      <c r="L7" s="90"/>
      <c r="M7" s="90"/>
      <c r="N7" s="1652" t="s">
        <v>2732</v>
      </c>
      <c r="O7" s="1652"/>
      <c r="P7" s="587" t="s">
        <v>228</v>
      </c>
      <c r="R7" s="90"/>
    </row>
    <row r="8" spans="1:18" s="5" customFormat="1" ht="24.6" customHeight="1">
      <c r="B8" s="1467"/>
      <c r="C8" s="163" t="s">
        <v>2610</v>
      </c>
      <c r="D8" s="265"/>
      <c r="E8" s="499"/>
      <c r="F8" s="499"/>
      <c r="G8" s="499"/>
      <c r="H8" s="499"/>
      <c r="I8" s="499"/>
      <c r="J8" s="499"/>
      <c r="K8" s="499"/>
      <c r="L8" s="90"/>
      <c r="M8" s="90"/>
      <c r="N8" s="1522" t="s">
        <v>3314</v>
      </c>
      <c r="O8" s="1545"/>
      <c r="P8" s="686"/>
      <c r="Q8" s="11"/>
      <c r="R8" s="90"/>
    </row>
    <row r="9" spans="1:18" s="5" customFormat="1" ht="24.6" customHeight="1">
      <c r="B9" s="1467"/>
      <c r="C9" s="325" t="s">
        <v>2611</v>
      </c>
      <c r="D9" s="265"/>
      <c r="E9" s="499"/>
      <c r="F9" s="499"/>
      <c r="G9" s="499"/>
      <c r="H9" s="499"/>
      <c r="I9" s="499"/>
      <c r="J9" s="499"/>
      <c r="K9" s="499"/>
      <c r="L9" s="90"/>
      <c r="M9" s="90"/>
      <c r="Q9" s="11"/>
      <c r="R9" s="90"/>
    </row>
    <row r="10" spans="1:18" s="5" customFormat="1" ht="24.6" customHeight="1">
      <c r="B10" s="1467" t="s">
        <v>2612</v>
      </c>
      <c r="C10" s="324" t="s">
        <v>2609</v>
      </c>
      <c r="D10" s="265"/>
      <c r="E10" s="499"/>
      <c r="F10" s="499"/>
      <c r="G10" s="499"/>
      <c r="H10" s="499"/>
      <c r="I10" s="1574" t="s">
        <v>3298</v>
      </c>
      <c r="J10" s="1574"/>
      <c r="K10" s="679"/>
      <c r="L10" s="90"/>
      <c r="M10" s="90"/>
      <c r="Q10" s="11"/>
      <c r="R10" s="90"/>
    </row>
    <row r="11" spans="1:18" s="5" customFormat="1" ht="24.6" customHeight="1">
      <c r="B11" s="1467"/>
      <c r="C11" s="324"/>
      <c r="D11" s="265"/>
      <c r="E11" s="645"/>
      <c r="F11" s="645"/>
      <c r="G11" s="645"/>
      <c r="H11" s="645"/>
      <c r="I11" s="679"/>
      <c r="J11" s="1574" t="s">
        <v>3320</v>
      </c>
      <c r="K11" s="1574"/>
      <c r="L11" s="90"/>
      <c r="M11" s="90"/>
      <c r="Q11" s="11"/>
      <c r="R11" s="90"/>
    </row>
    <row r="12" spans="1:18" s="5" customFormat="1" ht="24.6" customHeight="1">
      <c r="B12" s="1467"/>
      <c r="C12" s="290" t="s">
        <v>2614</v>
      </c>
      <c r="D12" s="265"/>
      <c r="E12" s="499"/>
      <c r="F12" s="499"/>
      <c r="G12" s="499"/>
      <c r="H12" s="499"/>
      <c r="I12" s="367" t="s">
        <v>3316</v>
      </c>
      <c r="J12" s="699"/>
      <c r="K12" s="679"/>
      <c r="L12" s="90"/>
      <c r="M12" s="90"/>
      <c r="R12" s="90"/>
    </row>
    <row r="13" spans="1:18" s="5" customFormat="1" ht="24.6" customHeight="1">
      <c r="B13" s="1467"/>
      <c r="C13" s="325" t="s">
        <v>2611</v>
      </c>
      <c r="D13" s="265"/>
      <c r="E13" s="499"/>
      <c r="F13" s="499"/>
      <c r="G13" s="499"/>
      <c r="H13" s="499"/>
      <c r="I13" s="699"/>
      <c r="J13" s="243" t="s">
        <v>3315</v>
      </c>
      <c r="K13" s="698"/>
      <c r="L13" s="90"/>
      <c r="M13" s="90"/>
      <c r="N13" s="5" t="s">
        <v>3364</v>
      </c>
      <c r="O13" s="5">
        <v>4</v>
      </c>
      <c r="R13" s="90"/>
    </row>
    <row r="14" spans="1:18" s="5" customFormat="1" ht="24.6" customHeight="1">
      <c r="B14" s="500" t="s">
        <v>2613</v>
      </c>
      <c r="C14" s="125" t="s">
        <v>2615</v>
      </c>
      <c r="D14" s="265"/>
      <c r="E14" s="499"/>
      <c r="F14" s="499"/>
      <c r="G14" s="499"/>
      <c r="H14" s="125" t="s">
        <v>331</v>
      </c>
      <c r="I14" s="699"/>
      <c r="J14" s="699"/>
      <c r="K14" s="499"/>
      <c r="L14" s="90"/>
      <c r="M14" s="90"/>
      <c r="N14" s="5" t="s">
        <v>3365</v>
      </c>
      <c r="O14" s="90">
        <v>4</v>
      </c>
      <c r="R14" s="90"/>
    </row>
    <row r="15" spans="1:18" ht="24.6" customHeight="1">
      <c r="A15" s="84"/>
      <c r="B15" s="84"/>
      <c r="C15" s="5"/>
      <c r="D15" s="5"/>
      <c r="E15" s="266">
        <f>K5+1</f>
        <v>5</v>
      </c>
      <c r="F15" s="65">
        <f t="shared" ref="F15:K15" si="0">E15+1</f>
        <v>6</v>
      </c>
      <c r="G15" s="65">
        <f t="shared" si="0"/>
        <v>7</v>
      </c>
      <c r="H15" s="65">
        <f t="shared" si="0"/>
        <v>8</v>
      </c>
      <c r="I15" s="65">
        <f t="shared" si="0"/>
        <v>9</v>
      </c>
      <c r="J15" s="65">
        <f t="shared" si="0"/>
        <v>10</v>
      </c>
      <c r="K15" s="65">
        <f t="shared" si="0"/>
        <v>11</v>
      </c>
      <c r="N15" s="90" t="s">
        <v>3366</v>
      </c>
      <c r="O15" s="5">
        <v>2</v>
      </c>
      <c r="P15" s="5"/>
      <c r="Q15" s="11"/>
    </row>
    <row r="16" spans="1:18" ht="24.6" customHeight="1">
      <c r="A16" s="84"/>
      <c r="B16" s="1467" t="s">
        <v>2616</v>
      </c>
      <c r="C16" s="324" t="s">
        <v>2609</v>
      </c>
      <c r="D16" s="265"/>
      <c r="E16" s="301"/>
      <c r="F16" s="301"/>
      <c r="G16" s="301"/>
      <c r="H16" s="301"/>
      <c r="I16" s="301"/>
      <c r="J16" s="301"/>
      <c r="K16" s="301"/>
      <c r="N16" s="90">
        <v>150</v>
      </c>
      <c r="O16" s="5">
        <v>3</v>
      </c>
    </row>
    <row r="17" spans="1:18" ht="24.6" customHeight="1">
      <c r="A17" s="84"/>
      <c r="B17" s="1467"/>
      <c r="C17" s="290" t="s">
        <v>7</v>
      </c>
      <c r="D17" s="265"/>
      <c r="E17" s="301"/>
      <c r="F17" s="301"/>
      <c r="G17" s="301"/>
      <c r="H17" s="301"/>
      <c r="I17" s="301"/>
      <c r="J17" s="301"/>
      <c r="K17" s="301"/>
    </row>
    <row r="18" spans="1:18" ht="24.6" customHeight="1">
      <c r="A18" s="84"/>
      <c r="B18" s="1467"/>
      <c r="C18" s="163" t="s">
        <v>2610</v>
      </c>
      <c r="D18" s="265"/>
      <c r="E18" s="301"/>
      <c r="F18" s="301"/>
      <c r="G18" s="301"/>
      <c r="H18" s="301"/>
      <c r="I18" s="301"/>
      <c r="J18" s="301"/>
      <c r="K18" s="301"/>
    </row>
    <row r="19" spans="1:18" ht="24.6" customHeight="1">
      <c r="A19" s="84"/>
      <c r="B19" s="1467"/>
      <c r="C19" s="325" t="s">
        <v>2611</v>
      </c>
      <c r="D19" s="265"/>
      <c r="E19" s="301"/>
      <c r="F19" s="301"/>
      <c r="G19" s="301"/>
      <c r="H19" s="301"/>
      <c r="I19" s="301"/>
      <c r="J19" s="301"/>
      <c r="K19" s="301"/>
    </row>
    <row r="20" spans="1:18" ht="24.6" customHeight="1">
      <c r="A20" s="84"/>
      <c r="B20" s="1467" t="s">
        <v>2612</v>
      </c>
      <c r="C20" s="324" t="s">
        <v>2609</v>
      </c>
      <c r="D20" s="265"/>
      <c r="E20" s="301"/>
      <c r="F20" s="301"/>
      <c r="G20" s="301"/>
      <c r="H20" s="301"/>
      <c r="I20" s="1574" t="s">
        <v>3325</v>
      </c>
      <c r="J20" s="1574"/>
      <c r="K20" s="301"/>
    </row>
    <row r="21" spans="1:18" ht="24.6" customHeight="1">
      <c r="A21" s="84"/>
      <c r="B21" s="1467"/>
      <c r="C21" s="324"/>
      <c r="D21" s="265"/>
      <c r="E21" s="301"/>
      <c r="F21" s="301"/>
      <c r="G21" s="1574" t="s">
        <v>3322</v>
      </c>
      <c r="H21" s="1574"/>
      <c r="J21" s="1647" t="s">
        <v>3449</v>
      </c>
      <c r="K21" s="1574"/>
    </row>
    <row r="22" spans="1:18" ht="24" customHeight="1">
      <c r="A22" s="84"/>
      <c r="B22" s="1467"/>
      <c r="C22" s="290" t="s">
        <v>2614</v>
      </c>
      <c r="D22" s="265"/>
      <c r="E22" s="301"/>
      <c r="F22" s="301" t="s">
        <v>2620</v>
      </c>
      <c r="G22" s="1522" t="s">
        <v>3314</v>
      </c>
      <c r="H22" s="1545"/>
      <c r="I22" s="243" t="s">
        <v>3361</v>
      </c>
      <c r="J22" s="476"/>
      <c r="K22" s="301"/>
    </row>
    <row r="23" spans="1:18" ht="24" customHeight="1">
      <c r="A23" s="84"/>
      <c r="B23" s="1467"/>
      <c r="C23" s="325" t="s">
        <v>2611</v>
      </c>
      <c r="D23" s="265"/>
      <c r="E23" s="301"/>
      <c r="F23" s="301"/>
      <c r="G23" s="301"/>
      <c r="H23" s="243" t="s">
        <v>3317</v>
      </c>
      <c r="I23" s="301"/>
      <c r="J23" s="243" t="s">
        <v>3282</v>
      </c>
      <c r="K23" s="301"/>
    </row>
    <row r="24" spans="1:18" ht="24.6" customHeight="1">
      <c r="A24" s="84"/>
      <c r="B24" s="500" t="s">
        <v>2624</v>
      </c>
      <c r="C24" s="125" t="s">
        <v>2615</v>
      </c>
      <c r="D24" s="265"/>
      <c r="E24" s="125" t="s">
        <v>2625</v>
      </c>
      <c r="F24" s="125" t="s">
        <v>2626</v>
      </c>
      <c r="G24" s="301"/>
      <c r="H24" s="301"/>
      <c r="I24" s="301"/>
      <c r="J24" s="301"/>
      <c r="K24" s="301"/>
    </row>
    <row r="25" spans="1:18" ht="24.6" customHeight="1">
      <c r="A25" s="84"/>
      <c r="B25" s="84"/>
      <c r="C25" s="5"/>
      <c r="D25" s="5"/>
      <c r="E25" s="26">
        <f>K15+1</f>
        <v>12</v>
      </c>
      <c r="F25" s="175">
        <f t="shared" ref="F25:K25" si="1">E25+1</f>
        <v>13</v>
      </c>
      <c r="G25" s="175">
        <f t="shared" si="1"/>
        <v>14</v>
      </c>
      <c r="H25" s="175">
        <f t="shared" si="1"/>
        <v>15</v>
      </c>
      <c r="I25" s="175">
        <f t="shared" si="1"/>
        <v>16</v>
      </c>
      <c r="J25" s="175">
        <f t="shared" si="1"/>
        <v>17</v>
      </c>
      <c r="K25" s="175">
        <f t="shared" si="1"/>
        <v>18</v>
      </c>
      <c r="M25" s="675"/>
    </row>
    <row r="26" spans="1:18" ht="24.6" customHeight="1">
      <c r="A26" s="84"/>
      <c r="B26" s="1467" t="s">
        <v>2616</v>
      </c>
      <c r="C26" s="324" t="s">
        <v>2609</v>
      </c>
      <c r="D26" s="265"/>
      <c r="E26" s="499"/>
      <c r="F26" s="499"/>
      <c r="G26" s="499"/>
      <c r="H26" s="499"/>
      <c r="I26" s="499"/>
      <c r="J26" s="499"/>
      <c r="K26" s="499"/>
      <c r="N26" s="675">
        <f>34000*5</f>
        <v>170000</v>
      </c>
      <c r="O26" s="90">
        <f>15000+2500+19000+14400+12000+9600+4000</f>
        <v>76500</v>
      </c>
    </row>
    <row r="27" spans="1:18" ht="24.6" customHeight="1">
      <c r="A27" s="84"/>
      <c r="B27" s="1467"/>
      <c r="C27" s="290" t="s">
        <v>7</v>
      </c>
      <c r="D27" s="265"/>
      <c r="E27" s="499"/>
      <c r="F27" s="499"/>
      <c r="G27" s="499"/>
      <c r="H27" s="499"/>
      <c r="I27" s="499"/>
      <c r="J27" s="499"/>
      <c r="K27" s="499"/>
      <c r="L27" s="84"/>
      <c r="M27" s="84"/>
      <c r="O27" s="90">
        <f>SUM(N26:O26)</f>
        <v>246500</v>
      </c>
      <c r="R27" s="84"/>
    </row>
    <row r="28" spans="1:18" ht="24.6" customHeight="1">
      <c r="A28" s="84"/>
      <c r="B28" s="1467"/>
      <c r="C28" s="163" t="s">
        <v>2610</v>
      </c>
      <c r="D28" s="265"/>
      <c r="E28" s="499"/>
      <c r="F28" s="671"/>
      <c r="G28" s="671"/>
      <c r="H28" s="499"/>
      <c r="I28" s="707"/>
      <c r="J28" s="499"/>
      <c r="K28" s="499"/>
      <c r="L28" s="84"/>
      <c r="M28" s="84"/>
      <c r="N28" s="84"/>
      <c r="O28" s="90">
        <f>34000*4</f>
        <v>136000</v>
      </c>
      <c r="P28" s="84"/>
      <c r="Q28" s="84"/>
      <c r="R28" s="84"/>
    </row>
    <row r="29" spans="1:18" ht="24.6" customHeight="1">
      <c r="A29" s="84"/>
      <c r="B29" s="1467"/>
      <c r="C29" s="325" t="s">
        <v>2611</v>
      </c>
      <c r="D29" s="265"/>
      <c r="E29" s="499"/>
      <c r="F29" s="499"/>
      <c r="G29" s="499"/>
      <c r="H29" s="499"/>
      <c r="I29" s="499"/>
      <c r="J29" s="499"/>
      <c r="K29" s="499"/>
      <c r="L29" s="84"/>
      <c r="M29" s="84"/>
      <c r="N29" s="84"/>
      <c r="O29" s="84"/>
      <c r="P29" s="84"/>
      <c r="Q29" s="84"/>
      <c r="R29" s="84"/>
    </row>
    <row r="30" spans="1:18" ht="24.6" customHeight="1">
      <c r="A30" s="84"/>
      <c r="B30" s="1467" t="s">
        <v>2612</v>
      </c>
      <c r="C30" s="324" t="s">
        <v>2609</v>
      </c>
      <c r="D30" s="265"/>
      <c r="E30" s="499"/>
      <c r="F30" s="1574" t="s">
        <v>3323</v>
      </c>
      <c r="G30" s="1574"/>
      <c r="H30" s="499"/>
      <c r="I30" s="1574" t="s">
        <v>3327</v>
      </c>
      <c r="J30" s="1574"/>
      <c r="K30" s="499"/>
      <c r="L30" s="84"/>
      <c r="M30" s="84"/>
      <c r="N30" s="84"/>
      <c r="O30" s="84"/>
      <c r="P30" s="84"/>
      <c r="Q30" s="84"/>
      <c r="R30" s="84"/>
    </row>
    <row r="31" spans="1:18" ht="24.6" customHeight="1">
      <c r="A31" s="84"/>
      <c r="B31" s="1467"/>
      <c r="C31" s="324"/>
      <c r="D31" s="265"/>
      <c r="E31" s="645"/>
      <c r="F31" s="645"/>
      <c r="G31" s="645"/>
      <c r="H31" s="645"/>
      <c r="I31" s="645"/>
      <c r="J31" s="1574" t="s">
        <v>3328</v>
      </c>
      <c r="K31" s="1574"/>
      <c r="L31" s="84"/>
      <c r="M31" s="84"/>
      <c r="N31" s="84"/>
      <c r="O31" s="84"/>
      <c r="P31" s="84"/>
      <c r="Q31" s="84"/>
      <c r="R31" s="84"/>
    </row>
    <row r="32" spans="1:18" ht="24.6" customHeight="1">
      <c r="A32" s="84"/>
      <c r="B32" s="1467"/>
      <c r="C32" s="290" t="s">
        <v>2614</v>
      </c>
      <c r="D32" s="265"/>
      <c r="E32" s="499"/>
      <c r="F32" s="1522" t="s">
        <v>3275</v>
      </c>
      <c r="G32" s="1545"/>
      <c r="H32" s="499"/>
      <c r="I32" s="243" t="s">
        <v>3362</v>
      </c>
      <c r="J32" s="438" t="s">
        <v>3363</v>
      </c>
      <c r="K32" s="499"/>
      <c r="L32" s="84"/>
      <c r="M32" s="84"/>
      <c r="N32" s="84"/>
      <c r="O32" s="84"/>
      <c r="P32" s="84"/>
      <c r="Q32" s="84"/>
      <c r="R32" s="84"/>
    </row>
    <row r="33" spans="1:18" ht="24.6" customHeight="1">
      <c r="A33" s="84"/>
      <c r="B33" s="1467"/>
      <c r="C33" s="325" t="s">
        <v>316</v>
      </c>
      <c r="D33" s="265"/>
      <c r="E33" s="499"/>
      <c r="F33" s="676"/>
      <c r="G33" s="676"/>
      <c r="H33" s="666"/>
      <c r="I33" s="707"/>
      <c r="J33" s="707"/>
      <c r="K33" s="499"/>
      <c r="L33" s="84"/>
      <c r="M33" s="84"/>
      <c r="P33" s="84"/>
      <c r="Q33" s="84"/>
      <c r="R33" s="84"/>
    </row>
    <row r="34" spans="1:18" ht="24.6" customHeight="1">
      <c r="A34" s="84"/>
      <c r="B34" s="500" t="s">
        <v>2613</v>
      </c>
      <c r="C34" s="125" t="s">
        <v>2615</v>
      </c>
      <c r="D34" s="265"/>
      <c r="E34" s="499"/>
      <c r="F34" s="499"/>
      <c r="G34" s="499"/>
      <c r="H34" s="125" t="s">
        <v>616</v>
      </c>
      <c r="I34" s="707"/>
      <c r="J34" s="499"/>
      <c r="K34" s="499"/>
      <c r="L34" s="84"/>
      <c r="M34" s="84"/>
      <c r="P34" s="84"/>
      <c r="Q34" s="84"/>
      <c r="R34" s="84"/>
    </row>
    <row r="35" spans="1:18" ht="24.6" customHeight="1">
      <c r="A35" s="84"/>
      <c r="B35" s="84"/>
      <c r="C35" s="5"/>
      <c r="D35" s="5"/>
      <c r="E35" s="266">
        <f>K25+1</f>
        <v>19</v>
      </c>
      <c r="F35" s="304">
        <f t="shared" ref="F35:K35" si="2">E35+1</f>
        <v>20</v>
      </c>
      <c r="G35" s="304">
        <f t="shared" si="2"/>
        <v>21</v>
      </c>
      <c r="H35" s="304">
        <f t="shared" si="2"/>
        <v>22</v>
      </c>
      <c r="I35" s="304">
        <f t="shared" si="2"/>
        <v>23</v>
      </c>
      <c r="J35" s="304">
        <f t="shared" si="2"/>
        <v>24</v>
      </c>
      <c r="K35" s="65">
        <f t="shared" si="2"/>
        <v>25</v>
      </c>
      <c r="L35" s="84"/>
      <c r="M35" s="84"/>
      <c r="N35" s="84"/>
      <c r="O35" s="84"/>
      <c r="P35" s="84"/>
      <c r="Q35" s="84"/>
      <c r="R35" s="84"/>
    </row>
    <row r="36" spans="1:18" ht="24.6" customHeight="1">
      <c r="A36" s="84"/>
      <c r="B36" s="1467" t="s">
        <v>2627</v>
      </c>
      <c r="C36" s="324" t="s">
        <v>2609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</row>
    <row r="37" spans="1:18" ht="24.6" customHeight="1">
      <c r="A37" s="84"/>
      <c r="B37" s="1467"/>
      <c r="C37" s="290" t="s">
        <v>7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</row>
    <row r="38" spans="1:18" ht="24.6" customHeight="1">
      <c r="A38" s="84"/>
      <c r="B38" s="1467"/>
      <c r="C38" s="163" t="s">
        <v>2610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</row>
    <row r="39" spans="1:18" ht="24.6" customHeight="1">
      <c r="A39" s="84"/>
      <c r="B39" s="1467"/>
      <c r="C39" s="325" t="s">
        <v>2628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</row>
    <row r="40" spans="1:18" ht="24" customHeight="1">
      <c r="A40" s="84"/>
      <c r="B40" s="1467" t="s">
        <v>2612</v>
      </c>
      <c r="C40" s="324" t="s">
        <v>2609</v>
      </c>
      <c r="D40" s="265"/>
      <c r="E40" s="301"/>
      <c r="F40" s="1574" t="s">
        <v>3350</v>
      </c>
      <c r="G40" s="1574"/>
      <c r="H40" s="301"/>
      <c r="I40" s="301"/>
      <c r="J40" s="1574" t="s">
        <v>3351</v>
      </c>
      <c r="K40" s="1574"/>
      <c r="L40" s="84"/>
      <c r="M40" s="84"/>
      <c r="O40" s="84"/>
      <c r="P40" s="84"/>
      <c r="Q40" s="84"/>
      <c r="R40" s="84"/>
    </row>
    <row r="41" spans="1:18" ht="24" customHeight="1">
      <c r="A41" s="84"/>
      <c r="B41" s="1467"/>
      <c r="C41" s="324"/>
      <c r="D41" s="265"/>
      <c r="E41" s="301"/>
      <c r="F41" s="301"/>
      <c r="G41" s="301"/>
      <c r="H41" s="1574" t="s">
        <v>3374</v>
      </c>
      <c r="I41" s="1574"/>
      <c r="J41" s="301"/>
      <c r="K41" s="301"/>
      <c r="L41" s="84"/>
      <c r="M41" s="84"/>
      <c r="N41" s="84"/>
      <c r="O41" s="84"/>
      <c r="P41" s="84"/>
      <c r="Q41" s="84"/>
      <c r="R41" s="84"/>
    </row>
    <row r="42" spans="1:18" ht="24.6" customHeight="1">
      <c r="A42" s="84"/>
      <c r="B42" s="1467"/>
      <c r="C42" s="290" t="s">
        <v>2614</v>
      </c>
      <c r="D42" s="265"/>
      <c r="E42" s="301"/>
      <c r="F42" s="243" t="s">
        <v>3283</v>
      </c>
      <c r="G42" s="301"/>
      <c r="I42" s="1522" t="s">
        <v>3299</v>
      </c>
      <c r="J42" s="1545"/>
      <c r="K42" s="301"/>
      <c r="L42" s="84"/>
      <c r="M42" s="84"/>
      <c r="N42" s="84"/>
      <c r="O42" s="84"/>
      <c r="P42" s="84"/>
      <c r="Q42" s="84"/>
      <c r="R42" s="84"/>
    </row>
    <row r="43" spans="1:18" ht="24.6" customHeight="1">
      <c r="A43" s="84"/>
      <c r="B43" s="1467"/>
      <c r="C43" s="325" t="s">
        <v>2628</v>
      </c>
      <c r="D43" s="265"/>
      <c r="E43" s="301"/>
      <c r="F43" s="301"/>
      <c r="G43" s="1522" t="s">
        <v>3297</v>
      </c>
      <c r="H43" s="1545"/>
      <c r="I43" s="301"/>
      <c r="J43" s="301"/>
      <c r="K43" s="301"/>
      <c r="L43" s="84"/>
      <c r="M43" s="84"/>
      <c r="P43" s="84"/>
      <c r="Q43" s="84"/>
      <c r="R43" s="84"/>
    </row>
    <row r="44" spans="1:18" ht="24.6" customHeight="1">
      <c r="A44" s="84"/>
      <c r="B44" s="500" t="s">
        <v>2613</v>
      </c>
      <c r="C44" s="125" t="s">
        <v>2615</v>
      </c>
      <c r="D44" s="265"/>
      <c r="E44" s="345"/>
      <c r="F44" s="301"/>
      <c r="G44" s="301"/>
      <c r="H44" s="301"/>
      <c r="I44" s="301"/>
      <c r="J44" s="301"/>
      <c r="K44" s="301"/>
      <c r="L44" s="84"/>
      <c r="M44" s="84"/>
      <c r="N44" s="84"/>
      <c r="O44" s="84"/>
      <c r="P44" s="84"/>
      <c r="Q44" s="84"/>
      <c r="R44" s="84"/>
    </row>
    <row r="45" spans="1:18" ht="24.6" customHeight="1">
      <c r="A45" s="84"/>
      <c r="B45" s="84"/>
      <c r="C45" s="269"/>
      <c r="D45" s="265"/>
      <c r="E45" s="26">
        <f>K35+1</f>
        <v>26</v>
      </c>
      <c r="F45" s="175">
        <f>E45+1</f>
        <v>27</v>
      </c>
      <c r="G45" s="175">
        <f>F45+1</f>
        <v>28</v>
      </c>
      <c r="H45" s="175">
        <f>G45+1</f>
        <v>29</v>
      </c>
      <c r="I45" s="175">
        <v>30</v>
      </c>
      <c r="J45" s="175">
        <v>31</v>
      </c>
      <c r="K45" s="175"/>
      <c r="L45" s="84"/>
      <c r="M45" s="84"/>
      <c r="N45" s="84"/>
      <c r="O45" s="84"/>
      <c r="P45" s="84"/>
      <c r="Q45" s="84"/>
      <c r="R45" s="84"/>
    </row>
    <row r="46" spans="1:18" ht="24.6" customHeight="1">
      <c r="A46" s="84"/>
      <c r="B46" s="1467" t="s">
        <v>2616</v>
      </c>
      <c r="C46" s="324" t="s">
        <v>2609</v>
      </c>
      <c r="D46" s="265"/>
      <c r="E46" s="499"/>
      <c r="F46" s="499"/>
      <c r="G46" s="499"/>
      <c r="H46" s="499"/>
      <c r="I46" s="499"/>
      <c r="J46" s="499"/>
      <c r="K46" s="499"/>
      <c r="L46" s="84"/>
      <c r="M46" s="84"/>
      <c r="N46" s="84"/>
      <c r="O46" s="84"/>
      <c r="P46" s="84"/>
      <c r="Q46" s="84"/>
      <c r="R46" s="84"/>
    </row>
    <row r="47" spans="1:18" ht="24.6" customHeight="1">
      <c r="A47" s="84"/>
      <c r="B47" s="1467"/>
      <c r="C47" s="290" t="s">
        <v>7</v>
      </c>
      <c r="D47" s="265"/>
      <c r="E47" s="499"/>
      <c r="F47" s="667"/>
      <c r="G47" s="667"/>
      <c r="H47" s="499"/>
      <c r="I47" s="499"/>
      <c r="J47" s="499"/>
      <c r="K47" s="499"/>
      <c r="L47" s="84"/>
      <c r="M47" s="84"/>
      <c r="N47" s="84"/>
      <c r="O47" s="84"/>
      <c r="P47" s="84"/>
      <c r="Q47" s="84"/>
      <c r="R47" s="84"/>
    </row>
    <row r="48" spans="1:18" ht="24.6" customHeight="1">
      <c r="A48" s="84"/>
      <c r="B48" s="1467"/>
      <c r="C48" s="163" t="s">
        <v>2610</v>
      </c>
      <c r="D48" s="265"/>
      <c r="E48" s="499"/>
      <c r="F48" s="667"/>
      <c r="G48" s="667"/>
      <c r="H48" s="499"/>
      <c r="I48" s="499"/>
      <c r="J48" s="499"/>
      <c r="K48" s="499"/>
      <c r="L48" s="84"/>
      <c r="P48" s="84"/>
      <c r="Q48" s="84"/>
      <c r="R48" s="84"/>
    </row>
    <row r="49" spans="1:18" ht="24.6" customHeight="1">
      <c r="A49" s="84"/>
      <c r="B49" s="1467"/>
      <c r="C49" s="325" t="s">
        <v>2611</v>
      </c>
      <c r="D49" s="265"/>
      <c r="E49" s="499"/>
      <c r="F49" s="499"/>
      <c r="G49" s="499"/>
      <c r="H49" s="499"/>
      <c r="I49" s="718"/>
      <c r="J49" s="718"/>
      <c r="K49" s="499"/>
      <c r="L49" s="84"/>
      <c r="M49" s="84"/>
      <c r="P49" s="84"/>
      <c r="Q49" s="84"/>
      <c r="R49" s="84"/>
    </row>
    <row r="50" spans="1:18" ht="24.6" customHeight="1">
      <c r="A50" s="84"/>
      <c r="B50" s="1467" t="s">
        <v>2612</v>
      </c>
      <c r="C50" s="324" t="s">
        <v>2609</v>
      </c>
      <c r="D50" s="265"/>
      <c r="E50" s="499"/>
      <c r="F50" s="1556" t="s">
        <v>3352</v>
      </c>
      <c r="G50" s="1557"/>
      <c r="H50" s="499"/>
      <c r="I50" s="1650" t="s">
        <v>3367</v>
      </c>
      <c r="J50" s="1651"/>
      <c r="K50" s="720"/>
      <c r="L50" s="84"/>
      <c r="M50" s="84"/>
      <c r="P50" s="84"/>
      <c r="Q50" s="84"/>
      <c r="R50" s="84"/>
    </row>
    <row r="51" spans="1:18" ht="24.6" customHeight="1">
      <c r="A51" s="84"/>
      <c r="B51" s="1467"/>
      <c r="C51" s="324"/>
      <c r="D51" s="265"/>
      <c r="E51" s="645"/>
      <c r="F51" s="645"/>
      <c r="G51" s="1650" t="s">
        <v>3367</v>
      </c>
      <c r="H51" s="1651"/>
      <c r="I51" s="660"/>
      <c r="J51" s="1574" t="s">
        <v>3353</v>
      </c>
      <c r="K51" s="1574"/>
      <c r="L51" s="84"/>
      <c r="M51" s="84"/>
      <c r="N51" s="84"/>
      <c r="O51" s="84"/>
      <c r="P51" s="84"/>
      <c r="Q51" s="84"/>
      <c r="R51" s="84"/>
    </row>
    <row r="52" spans="1:18" ht="24.6" customHeight="1">
      <c r="A52" s="84"/>
      <c r="B52" s="1467"/>
      <c r="C52" s="290" t="s">
        <v>2614</v>
      </c>
      <c r="D52" s="265"/>
      <c r="E52" s="499"/>
      <c r="F52" s="1522" t="s">
        <v>3289</v>
      </c>
      <c r="G52" s="1545"/>
      <c r="H52" s="667"/>
      <c r="I52" s="1648" t="s">
        <v>3304</v>
      </c>
      <c r="J52" s="1649"/>
      <c r="K52" s="499"/>
      <c r="L52" s="84"/>
      <c r="M52" s="84"/>
      <c r="N52" s="84"/>
      <c r="O52" s="84"/>
      <c r="P52" s="84"/>
      <c r="Q52" s="84"/>
      <c r="R52" s="84"/>
    </row>
    <row r="53" spans="1:18" ht="24.6" customHeight="1">
      <c r="A53" s="84"/>
      <c r="B53" s="1467"/>
      <c r="C53" s="325" t="s">
        <v>2611</v>
      </c>
      <c r="D53" s="265"/>
      <c r="E53" s="499"/>
      <c r="F53" s="667"/>
      <c r="G53" s="1522" t="s">
        <v>3391</v>
      </c>
      <c r="H53" s="1545"/>
      <c r="I53" s="679"/>
      <c r="J53" s="690" t="s">
        <v>3313</v>
      </c>
      <c r="K53" s="499"/>
      <c r="L53" s="84"/>
      <c r="M53" s="84"/>
      <c r="N53" s="84"/>
      <c r="O53" s="84"/>
      <c r="P53" s="84"/>
      <c r="Q53" s="84"/>
      <c r="R53" s="84"/>
    </row>
    <row r="54" spans="1:18" ht="24.6" customHeight="1">
      <c r="A54" s="84"/>
      <c r="B54" s="500" t="s">
        <v>2613</v>
      </c>
      <c r="C54" s="125" t="s">
        <v>2615</v>
      </c>
      <c r="D54" s="265"/>
      <c r="E54" s="499"/>
      <c r="F54" s="499"/>
      <c r="G54" s="668"/>
      <c r="H54" s="668"/>
      <c r="I54" s="499"/>
      <c r="J54" s="499"/>
      <c r="K54" s="499"/>
      <c r="L54" s="84"/>
      <c r="M54" s="84"/>
      <c r="N54" s="84"/>
      <c r="O54" s="84"/>
      <c r="P54" s="84"/>
      <c r="Q54" s="84"/>
      <c r="R54" s="84"/>
    </row>
    <row r="55" spans="1:18">
      <c r="N55" s="84"/>
      <c r="O55" s="84"/>
      <c r="P55" s="84"/>
      <c r="Q55" s="84"/>
    </row>
    <row r="57" spans="1:18" ht="19.899999999999999" customHeight="1"/>
  </sheetData>
  <mergeCells count="36">
    <mergeCell ref="J40:K40"/>
    <mergeCell ref="H41:I41"/>
    <mergeCell ref="I42:J42"/>
    <mergeCell ref="E3:G3"/>
    <mergeCell ref="H3:K3"/>
    <mergeCell ref="J31:K31"/>
    <mergeCell ref="F32:G32"/>
    <mergeCell ref="F40:G40"/>
    <mergeCell ref="I30:J30"/>
    <mergeCell ref="B6:B9"/>
    <mergeCell ref="B10:B13"/>
    <mergeCell ref="B16:B19"/>
    <mergeCell ref="I10:J10"/>
    <mergeCell ref="J11:K11"/>
    <mergeCell ref="N7:O7"/>
    <mergeCell ref="N8:O8"/>
    <mergeCell ref="G21:H21"/>
    <mergeCell ref="F30:G30"/>
    <mergeCell ref="G22:H22"/>
    <mergeCell ref="I20:J20"/>
    <mergeCell ref="J21:K21"/>
    <mergeCell ref="G53:H53"/>
    <mergeCell ref="F52:G52"/>
    <mergeCell ref="F50:G50"/>
    <mergeCell ref="G43:H43"/>
    <mergeCell ref="I52:J52"/>
    <mergeCell ref="G51:H51"/>
    <mergeCell ref="J51:K51"/>
    <mergeCell ref="I50:J50"/>
    <mergeCell ref="B20:B23"/>
    <mergeCell ref="B50:B53"/>
    <mergeCell ref="B26:B29"/>
    <mergeCell ref="B30:B33"/>
    <mergeCell ref="B36:B39"/>
    <mergeCell ref="B40:B43"/>
    <mergeCell ref="B46:B49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4">
    <pageSetUpPr fitToPage="1"/>
  </sheetPr>
  <dimension ref="A1:R63"/>
  <sheetViews>
    <sheetView topLeftCell="A26" zoomScale="55" zoomScaleNormal="55" workbookViewId="0">
      <selection activeCell="K33" sqref="K33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5" width="35.77734375" style="90" customWidth="1"/>
    <col min="16" max="17" width="23.88671875" style="90" customWidth="1"/>
    <col min="18" max="18" width="42.77734375" style="90" customWidth="1"/>
    <col min="19" max="16384" width="8.88671875" style="84"/>
  </cols>
  <sheetData>
    <row r="1" spans="1:18" ht="19.149999999999999">
      <c r="A1" s="84"/>
      <c r="B1" s="84"/>
      <c r="C1" s="5"/>
      <c r="D1" s="5"/>
      <c r="N1" s="683" t="s">
        <v>3296</v>
      </c>
    </row>
    <row r="2" spans="1:18" ht="22.5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  <c r="N2" s="691" t="s">
        <v>3290</v>
      </c>
      <c r="O2" s="692" t="s">
        <v>3291</v>
      </c>
      <c r="P2" s="693" t="s">
        <v>3292</v>
      </c>
    </row>
    <row r="3" spans="1:18" ht="57">
      <c r="A3" s="84"/>
      <c r="B3" s="84"/>
      <c r="C3" s="5"/>
      <c r="D3" s="5"/>
      <c r="E3" s="1450">
        <v>45444</v>
      </c>
      <c r="F3" s="1450"/>
      <c r="G3" s="1450"/>
      <c r="H3" s="1451" t="s">
        <v>10</v>
      </c>
      <c r="I3" s="1452"/>
      <c r="J3" s="1452"/>
      <c r="K3" s="1452"/>
      <c r="N3" s="694">
        <f>34000*N4</f>
        <v>204000</v>
      </c>
      <c r="O3" s="695">
        <f>12000+22000+7209+23056+2400+7200+8400</f>
        <v>82265</v>
      </c>
      <c r="P3" s="696">
        <f>N3+O3</f>
        <v>286265</v>
      </c>
    </row>
    <row r="4" spans="1:18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697">
        <v>6</v>
      </c>
      <c r="O4" s="692"/>
      <c r="P4" s="696">
        <f>N4+O4</f>
        <v>6</v>
      </c>
      <c r="R4" s="90"/>
    </row>
    <row r="5" spans="1:18" s="5" customFormat="1" ht="24.6" hidden="1" customHeight="1">
      <c r="E5" s="26"/>
      <c r="F5" s="175"/>
      <c r="G5" s="175"/>
      <c r="H5" s="175"/>
      <c r="I5" s="175"/>
      <c r="J5" s="175"/>
      <c r="K5" s="175">
        <v>1</v>
      </c>
      <c r="L5" s="90"/>
      <c r="M5" s="90"/>
      <c r="Q5" s="90"/>
    </row>
    <row r="6" spans="1:18" s="5" customFormat="1" ht="24.6" hidden="1" customHeight="1">
      <c r="B6" s="1467" t="s">
        <v>286</v>
      </c>
      <c r="C6" s="324" t="s">
        <v>9</v>
      </c>
      <c r="D6" s="265"/>
      <c r="E6" s="640"/>
      <c r="F6" s="640"/>
      <c r="G6" s="640"/>
      <c r="H6" s="640"/>
      <c r="I6" s="640"/>
      <c r="J6" s="640"/>
      <c r="K6" s="640"/>
      <c r="L6" s="90"/>
      <c r="M6" s="90"/>
      <c r="N6" s="683" t="s">
        <v>3294</v>
      </c>
      <c r="Q6" s="90"/>
    </row>
    <row r="7" spans="1:18" s="5" customFormat="1" ht="24.6" hidden="1" customHeight="1">
      <c r="B7" s="1467"/>
      <c r="C7" s="290" t="s">
        <v>7</v>
      </c>
      <c r="D7" s="265"/>
      <c r="E7" s="640"/>
      <c r="F7" s="640"/>
      <c r="G7" s="640"/>
      <c r="H7" s="640"/>
      <c r="I7" s="640"/>
      <c r="J7" s="640"/>
      <c r="K7" s="640"/>
      <c r="L7" s="90"/>
      <c r="M7" s="90"/>
      <c r="N7" s="1652" t="s">
        <v>2732</v>
      </c>
      <c r="O7" s="1652"/>
      <c r="P7" s="682" t="s">
        <v>228</v>
      </c>
      <c r="Q7" s="90"/>
    </row>
    <row r="8" spans="1:18" s="5" customFormat="1" ht="24.6" hidden="1" customHeight="1">
      <c r="B8" s="1467"/>
      <c r="C8" s="163" t="s">
        <v>389</v>
      </c>
      <c r="D8" s="265"/>
      <c r="E8" s="640"/>
      <c r="F8" s="640"/>
      <c r="G8" s="640"/>
      <c r="H8" s="640"/>
      <c r="I8" s="640"/>
      <c r="J8" s="640"/>
      <c r="K8" s="640"/>
      <c r="L8" s="90"/>
      <c r="M8" s="90"/>
      <c r="Q8" s="90"/>
    </row>
    <row r="9" spans="1:18" s="5" customFormat="1" ht="24.6" hidden="1" customHeight="1">
      <c r="B9" s="1467"/>
      <c r="C9" s="325" t="s">
        <v>316</v>
      </c>
      <c r="D9" s="265"/>
      <c r="E9" s="640"/>
      <c r="F9" s="640"/>
      <c r="G9" s="640"/>
      <c r="H9" s="640"/>
      <c r="I9" s="640"/>
      <c r="J9" s="640"/>
      <c r="K9" s="640"/>
      <c r="L9" s="90"/>
      <c r="M9" s="702" t="s">
        <v>3319</v>
      </c>
      <c r="N9" s="1660" t="s">
        <v>3293</v>
      </c>
      <c r="O9" s="1660"/>
      <c r="P9" s="18" t="s">
        <v>3355</v>
      </c>
      <c r="Q9" s="90" t="s">
        <v>3356</v>
      </c>
    </row>
    <row r="10" spans="1:18" s="5" customFormat="1" ht="24.6" hidden="1" customHeight="1">
      <c r="B10" s="1467" t="s">
        <v>287</v>
      </c>
      <c r="C10" s="324" t="s">
        <v>9</v>
      </c>
      <c r="D10" s="265"/>
      <c r="E10" s="640"/>
      <c r="F10" s="640"/>
      <c r="G10" s="640"/>
      <c r="H10" s="640"/>
      <c r="I10" s="640"/>
      <c r="J10" s="640"/>
      <c r="K10" s="640"/>
      <c r="L10" s="90"/>
      <c r="M10" s="702" t="s">
        <v>3319</v>
      </c>
      <c r="N10" s="1648" t="s">
        <v>3331</v>
      </c>
      <c r="O10" s="1648"/>
      <c r="P10" s="18" t="s">
        <v>3307</v>
      </c>
      <c r="Q10" s="90"/>
    </row>
    <row r="11" spans="1:18" s="5" customFormat="1" ht="24.6" hidden="1" customHeight="1">
      <c r="B11" s="1467"/>
      <c r="C11" s="290" t="s">
        <v>292</v>
      </c>
      <c r="D11" s="265"/>
      <c r="E11" s="640"/>
      <c r="F11" s="640"/>
      <c r="G11" s="640"/>
      <c r="H11" s="640"/>
      <c r="I11" s="708"/>
      <c r="J11" s="640"/>
      <c r="K11" s="640"/>
      <c r="L11" s="90"/>
      <c r="M11" s="702" t="s">
        <v>3319</v>
      </c>
      <c r="N11" s="1648" t="s">
        <v>3301</v>
      </c>
      <c r="O11" s="1649"/>
      <c r="P11" s="18" t="s">
        <v>3307</v>
      </c>
      <c r="Q11" s="90"/>
    </row>
    <row r="12" spans="1:18" s="5" customFormat="1" ht="24.6" hidden="1" customHeight="1">
      <c r="B12" s="1467"/>
      <c r="C12" s="325" t="s">
        <v>316</v>
      </c>
      <c r="D12" s="265"/>
      <c r="E12" s="640"/>
      <c r="F12" s="640"/>
      <c r="G12" s="640"/>
      <c r="H12" s="640"/>
      <c r="I12" s="640"/>
      <c r="J12" s="640"/>
      <c r="K12" s="640"/>
      <c r="L12" s="90"/>
      <c r="M12" s="702" t="s">
        <v>3319</v>
      </c>
      <c r="N12" s="1648" t="s">
        <v>3304</v>
      </c>
      <c r="O12" s="1649"/>
      <c r="P12" s="18" t="s">
        <v>3307</v>
      </c>
      <c r="R12" s="90"/>
    </row>
    <row r="13" spans="1:18" s="5" customFormat="1" ht="24.6" hidden="1" customHeight="1">
      <c r="B13" s="641" t="s">
        <v>317</v>
      </c>
      <c r="C13" s="125" t="s">
        <v>228</v>
      </c>
      <c r="D13" s="265"/>
      <c r="E13" s="640"/>
      <c r="F13" s="640"/>
      <c r="G13" s="640"/>
      <c r="H13" s="640"/>
      <c r="I13" s="640"/>
      <c r="J13" s="640"/>
      <c r="K13" s="640"/>
      <c r="L13" s="90"/>
      <c r="M13" s="702" t="s">
        <v>3319</v>
      </c>
      <c r="N13" s="1648" t="s">
        <v>3295</v>
      </c>
      <c r="O13" s="1648"/>
      <c r="P13" s="714"/>
      <c r="R13" s="90"/>
    </row>
    <row r="14" spans="1:18" ht="24.6" customHeight="1">
      <c r="A14" s="84"/>
      <c r="B14" s="84"/>
      <c r="C14" s="5"/>
      <c r="D14" s="5"/>
      <c r="E14" s="266">
        <f>K5+1</f>
        <v>2</v>
      </c>
      <c r="F14" s="65">
        <f t="shared" ref="F14:K14" si="0">E14+1</f>
        <v>3</v>
      </c>
      <c r="G14" s="65">
        <f t="shared" si="0"/>
        <v>4</v>
      </c>
      <c r="H14" s="65">
        <f t="shared" si="0"/>
        <v>5</v>
      </c>
      <c r="I14" s="65">
        <f t="shared" si="0"/>
        <v>6</v>
      </c>
      <c r="J14" s="65">
        <f t="shared" si="0"/>
        <v>7</v>
      </c>
      <c r="K14" s="65">
        <f t="shared" si="0"/>
        <v>8</v>
      </c>
      <c r="M14" s="702" t="s">
        <v>3319</v>
      </c>
      <c r="N14" s="1648" t="s">
        <v>3379</v>
      </c>
      <c r="O14" s="1648"/>
      <c r="P14" s="714"/>
    </row>
    <row r="15" spans="1:18" ht="24.6" customHeight="1">
      <c r="A15" s="84"/>
      <c r="B15" s="1467" t="s">
        <v>286</v>
      </c>
      <c r="C15" s="324" t="s">
        <v>9</v>
      </c>
      <c r="D15" s="265"/>
      <c r="E15" s="301"/>
      <c r="F15" s="301"/>
      <c r="G15" s="301"/>
      <c r="H15" s="301"/>
      <c r="I15" s="301"/>
      <c r="J15" s="301"/>
      <c r="K15" s="301"/>
      <c r="M15" s="702" t="s">
        <v>3319</v>
      </c>
      <c r="N15" s="1648" t="s">
        <v>3302</v>
      </c>
      <c r="O15" s="1649"/>
      <c r="P15" s="714"/>
    </row>
    <row r="16" spans="1:18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301"/>
      <c r="K16" s="301"/>
      <c r="M16" s="702" t="s">
        <v>3319</v>
      </c>
      <c r="N16" s="1648" t="s">
        <v>3303</v>
      </c>
      <c r="O16" s="1649"/>
      <c r="P16" s="714"/>
    </row>
    <row r="17" spans="1:18" ht="24.6" customHeight="1">
      <c r="A17" s="84"/>
      <c r="B17" s="1467"/>
      <c r="C17" s="163" t="s">
        <v>389</v>
      </c>
      <c r="D17" s="265"/>
      <c r="E17" s="301"/>
      <c r="F17" s="301"/>
      <c r="H17" s="301"/>
      <c r="I17" s="301"/>
      <c r="J17" s="301"/>
      <c r="K17" s="301"/>
      <c r="M17" s="702" t="s">
        <v>3319</v>
      </c>
      <c r="N17" s="687" t="s">
        <v>3306</v>
      </c>
      <c r="O17" s="688"/>
      <c r="P17" s="18" t="s">
        <v>3307</v>
      </c>
    </row>
    <row r="18" spans="1:18" ht="24.6" customHeight="1">
      <c r="A18" s="84"/>
      <c r="B18" s="1467"/>
      <c r="C18" s="325" t="s">
        <v>316</v>
      </c>
      <c r="D18" s="265"/>
      <c r="E18" s="301"/>
      <c r="F18" s="301"/>
      <c r="G18" s="301"/>
      <c r="H18" s="301"/>
      <c r="I18" s="301"/>
      <c r="J18" s="301"/>
      <c r="K18" s="301"/>
      <c r="M18" s="702" t="s">
        <v>3319</v>
      </c>
      <c r="N18" s="687" t="s">
        <v>3305</v>
      </c>
      <c r="O18" s="84"/>
      <c r="P18" s="18" t="s">
        <v>3307</v>
      </c>
    </row>
    <row r="19" spans="1:18" ht="24.6" customHeight="1">
      <c r="A19" s="84"/>
      <c r="B19" s="1467" t="s">
        <v>287</v>
      </c>
      <c r="C19" s="324" t="s">
        <v>9</v>
      </c>
      <c r="D19" s="265"/>
      <c r="E19" s="301"/>
      <c r="F19" s="1574" t="s">
        <v>3354</v>
      </c>
      <c r="G19" s="1574"/>
      <c r="H19" s="1574" t="s">
        <v>3386</v>
      </c>
      <c r="I19" s="1574"/>
      <c r="J19" s="301"/>
      <c r="K19" s="301"/>
      <c r="M19" s="702"/>
      <c r="P19" s="18" t="s">
        <v>3307</v>
      </c>
    </row>
    <row r="20" spans="1:18" ht="24.6" customHeight="1">
      <c r="A20" s="84"/>
      <c r="B20" s="1467"/>
      <c r="C20" s="324"/>
      <c r="D20" s="265"/>
      <c r="E20" s="301"/>
      <c r="F20" s="301"/>
      <c r="G20" s="1574" t="s">
        <v>3360</v>
      </c>
      <c r="H20" s="1574"/>
      <c r="I20" s="301"/>
      <c r="J20" s="301"/>
      <c r="K20" s="301"/>
      <c r="M20" s="702" t="s">
        <v>3319</v>
      </c>
      <c r="N20" s="687" t="s">
        <v>3308</v>
      </c>
      <c r="O20" s="84"/>
      <c r="P20" s="25"/>
    </row>
    <row r="21" spans="1:18" ht="24" customHeight="1">
      <c r="A21" s="84"/>
      <c r="B21" s="1467"/>
      <c r="C21" s="290" t="s">
        <v>292</v>
      </c>
      <c r="D21" s="265"/>
      <c r="E21" s="301"/>
      <c r="F21" s="243" t="s">
        <v>3318</v>
      </c>
      <c r="I21" s="301"/>
      <c r="J21" s="301"/>
      <c r="K21" s="301"/>
      <c r="M21" s="702" t="s">
        <v>3319</v>
      </c>
      <c r="N21" s="690" t="s">
        <v>3312</v>
      </c>
      <c r="P21" s="18" t="s">
        <v>3307</v>
      </c>
    </row>
    <row r="22" spans="1:18" ht="24" customHeight="1">
      <c r="A22" s="84"/>
      <c r="B22" s="1467"/>
      <c r="C22" s="325" t="s">
        <v>316</v>
      </c>
      <c r="D22" s="265"/>
      <c r="E22" s="301"/>
      <c r="G22" s="367" t="s">
        <v>3295</v>
      </c>
      <c r="I22" s="301"/>
      <c r="J22" s="301"/>
      <c r="K22" s="301"/>
      <c r="M22" s="702" t="s">
        <v>3319</v>
      </c>
      <c r="N22" s="1654" t="s">
        <v>3300</v>
      </c>
      <c r="O22" s="1655"/>
      <c r="P22" s="18" t="s">
        <v>3336</v>
      </c>
      <c r="Q22" s="90" t="s">
        <v>3356</v>
      </c>
    </row>
    <row r="23" spans="1:18" ht="24.6" customHeight="1">
      <c r="A23" s="84"/>
      <c r="B23" s="641" t="s">
        <v>317</v>
      </c>
      <c r="C23" s="125" t="s">
        <v>228</v>
      </c>
      <c r="D23" s="265"/>
      <c r="E23" s="301"/>
      <c r="F23" s="301" t="s">
        <v>193</v>
      </c>
      <c r="G23" s="301"/>
      <c r="H23" s="301"/>
      <c r="I23" s="125" t="s">
        <v>91</v>
      </c>
      <c r="J23" s="301"/>
      <c r="K23" s="301"/>
      <c r="M23" s="702" t="s">
        <v>3319</v>
      </c>
      <c r="N23" s="367" t="s">
        <v>3338</v>
      </c>
      <c r="P23" s="18" t="s">
        <v>3336</v>
      </c>
    </row>
    <row r="24" spans="1:18" ht="24.6" customHeight="1">
      <c r="A24" s="84"/>
      <c r="B24" s="84"/>
      <c r="C24" s="5"/>
      <c r="D24" s="5"/>
      <c r="E24" s="26">
        <f>K14+1</f>
        <v>9</v>
      </c>
      <c r="F24" s="175">
        <f t="shared" ref="F24:K24" si="1">E24+1</f>
        <v>10</v>
      </c>
      <c r="G24" s="175">
        <f t="shared" si="1"/>
        <v>11</v>
      </c>
      <c r="H24" s="175">
        <f t="shared" si="1"/>
        <v>12</v>
      </c>
      <c r="I24" s="175">
        <f t="shared" si="1"/>
        <v>13</v>
      </c>
      <c r="J24" s="175">
        <f t="shared" si="1"/>
        <v>14</v>
      </c>
      <c r="K24" s="175">
        <f t="shared" si="1"/>
        <v>15</v>
      </c>
      <c r="M24" s="702" t="s">
        <v>3319</v>
      </c>
      <c r="N24" s="367" t="s">
        <v>3347</v>
      </c>
      <c r="O24" s="84"/>
      <c r="P24" s="18" t="s">
        <v>3336</v>
      </c>
    </row>
    <row r="25" spans="1:18" ht="24.6" customHeight="1">
      <c r="A25" s="84"/>
      <c r="B25" s="1467" t="s">
        <v>286</v>
      </c>
      <c r="C25" s="324" t="s">
        <v>9</v>
      </c>
      <c r="D25" s="265"/>
      <c r="E25" s="640"/>
      <c r="F25" s="640"/>
      <c r="G25" s="640"/>
      <c r="H25" s="640"/>
      <c r="I25" s="640"/>
      <c r="J25" s="640"/>
      <c r="K25" s="640"/>
      <c r="M25" s="702" t="s">
        <v>3319</v>
      </c>
      <c r="N25" s="728" t="s">
        <v>3309</v>
      </c>
      <c r="P25" s="18" t="s">
        <v>3336</v>
      </c>
      <c r="Q25" s="90" t="s">
        <v>3357</v>
      </c>
    </row>
    <row r="26" spans="1:18" ht="24.6" customHeight="1">
      <c r="A26" s="84"/>
      <c r="B26" s="1467"/>
      <c r="C26" s="290" t="s">
        <v>7</v>
      </c>
      <c r="D26" s="265"/>
      <c r="E26" s="640"/>
      <c r="F26" s="640"/>
      <c r="G26" s="723"/>
      <c r="H26" s="723"/>
      <c r="I26" s="640"/>
      <c r="J26" s="640"/>
      <c r="K26" s="640" t="s">
        <v>3311</v>
      </c>
      <c r="L26" s="84"/>
      <c r="Q26" s="84"/>
      <c r="R26" s="84"/>
    </row>
    <row r="27" spans="1:18" ht="24.6" customHeight="1">
      <c r="A27" s="84"/>
      <c r="B27" s="1467"/>
      <c r="C27" s="163" t="s">
        <v>389</v>
      </c>
      <c r="D27" s="265"/>
      <c r="E27" s="640"/>
      <c r="F27" s="709"/>
      <c r="G27" s="689"/>
      <c r="H27" s="640"/>
      <c r="I27" s="640"/>
      <c r="J27" s="640"/>
      <c r="K27" s="640"/>
      <c r="L27" s="84"/>
      <c r="Q27" s="84"/>
      <c r="R27" s="84"/>
    </row>
    <row r="28" spans="1:18" ht="24.6" customHeight="1">
      <c r="A28" s="84"/>
      <c r="B28" s="1467"/>
      <c r="C28" s="325" t="s">
        <v>316</v>
      </c>
      <c r="D28" s="265"/>
      <c r="E28" s="640"/>
      <c r="F28" s="640"/>
      <c r="G28" s="640"/>
      <c r="H28" s="640"/>
      <c r="I28" s="723"/>
      <c r="J28" s="723"/>
      <c r="K28" s="723"/>
      <c r="L28" s="84"/>
      <c r="Q28" s="84"/>
      <c r="R28" s="84"/>
    </row>
    <row r="29" spans="1:18" ht="24.6" customHeight="1">
      <c r="A29" s="84"/>
      <c r="B29" s="1467" t="s">
        <v>287</v>
      </c>
      <c r="C29" s="324" t="s">
        <v>9</v>
      </c>
      <c r="D29" s="265"/>
      <c r="E29" s="640"/>
      <c r="F29" s="1574" t="s">
        <v>3369</v>
      </c>
      <c r="G29" s="1574"/>
      <c r="H29" s="640"/>
      <c r="I29" s="1574" t="s">
        <v>3388</v>
      </c>
      <c r="J29" s="1574"/>
      <c r="K29" s="640"/>
      <c r="L29" s="84"/>
      <c r="N29" s="84"/>
      <c r="O29" s="84"/>
      <c r="Q29" s="84"/>
      <c r="R29" s="84"/>
    </row>
    <row r="30" spans="1:18" ht="24.6" customHeight="1">
      <c r="A30" s="84"/>
      <c r="B30" s="1467"/>
      <c r="C30" s="324"/>
      <c r="D30" s="265"/>
      <c r="E30" s="645"/>
      <c r="F30" s="645"/>
      <c r="G30" s="1556" t="s">
        <v>3359</v>
      </c>
      <c r="H30" s="1574"/>
      <c r="I30" s="645"/>
      <c r="J30" s="1556"/>
      <c r="K30" s="1557"/>
      <c r="L30" s="84"/>
      <c r="O30" s="84"/>
      <c r="Q30" s="84"/>
      <c r="R30" s="84"/>
    </row>
    <row r="31" spans="1:18" ht="24.6" customHeight="1">
      <c r="A31" s="84"/>
      <c r="B31" s="1467"/>
      <c r="C31" s="290" t="s">
        <v>292</v>
      </c>
      <c r="D31" s="265"/>
      <c r="E31" s="640"/>
      <c r="F31" s="725"/>
      <c r="G31" s="243" t="s">
        <v>3358</v>
      </c>
      <c r="H31" s="710"/>
      <c r="I31" s="243" t="s">
        <v>3308</v>
      </c>
      <c r="J31" s="689"/>
      <c r="K31" s="640"/>
      <c r="L31" s="84"/>
      <c r="M31" s="84"/>
      <c r="P31" s="84"/>
      <c r="Q31" s="84"/>
      <c r="R31" s="84"/>
    </row>
    <row r="32" spans="1:18" ht="24.6" customHeight="1">
      <c r="A32" s="84"/>
      <c r="B32" s="1467"/>
      <c r="C32" s="325" t="s">
        <v>316</v>
      </c>
      <c r="D32" s="265"/>
      <c r="E32" s="640"/>
      <c r="F32" s="709"/>
      <c r="G32" s="1622" t="s">
        <v>3346</v>
      </c>
      <c r="H32" s="1545"/>
      <c r="I32" s="1648" t="s">
        <v>3324</v>
      </c>
      <c r="J32" s="1649"/>
      <c r="K32" s="640"/>
      <c r="L32" s="84"/>
      <c r="M32" s="84"/>
      <c r="N32" s="84"/>
      <c r="P32" s="84"/>
      <c r="Q32" s="84"/>
      <c r="R32" s="84"/>
    </row>
    <row r="33" spans="1:18" ht="24.6" customHeight="1">
      <c r="A33" s="84"/>
      <c r="B33" s="641" t="s">
        <v>317</v>
      </c>
      <c r="C33" s="125" t="s">
        <v>228</v>
      </c>
      <c r="D33" s="265"/>
      <c r="E33" s="640"/>
      <c r="F33" s="703"/>
      <c r="G33" s="703"/>
      <c r="H33" s="689"/>
      <c r="I33" s="640"/>
      <c r="J33" s="689"/>
      <c r="K33" s="640"/>
      <c r="L33" s="84"/>
      <c r="M33" s="84"/>
      <c r="P33" s="84"/>
      <c r="Q33" s="84"/>
      <c r="R33" s="84"/>
    </row>
    <row r="34" spans="1:18" ht="24.6" customHeight="1">
      <c r="A34" s="84"/>
      <c r="B34" s="84"/>
      <c r="C34" s="5"/>
      <c r="D34" s="5"/>
      <c r="E34" s="266">
        <f>K24+1</f>
        <v>16</v>
      </c>
      <c r="F34" s="304">
        <f t="shared" ref="F34:K34" si="2">E34+1</f>
        <v>17</v>
      </c>
      <c r="G34" s="304">
        <f t="shared" si="2"/>
        <v>18</v>
      </c>
      <c r="H34" s="304">
        <f t="shared" si="2"/>
        <v>19</v>
      </c>
      <c r="I34" s="304">
        <f t="shared" si="2"/>
        <v>20</v>
      </c>
      <c r="J34" s="304">
        <f t="shared" si="2"/>
        <v>21</v>
      </c>
      <c r="K34" s="65">
        <f t="shared" si="2"/>
        <v>22</v>
      </c>
      <c r="L34" s="84"/>
      <c r="M34" s="84"/>
      <c r="P34" s="84"/>
      <c r="R34" s="84"/>
    </row>
    <row r="35" spans="1:18" ht="24.6" customHeight="1">
      <c r="A35" s="84"/>
      <c r="B35" s="1467" t="s">
        <v>286</v>
      </c>
      <c r="C35" s="324" t="s">
        <v>9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P35" s="84"/>
      <c r="R35" s="84"/>
    </row>
    <row r="36" spans="1:18" ht="24.6" customHeight="1">
      <c r="A36" s="84"/>
      <c r="B36" s="1467"/>
      <c r="C36" s="290" t="s">
        <v>7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P36" s="84"/>
      <c r="Q36" s="84"/>
      <c r="R36" s="84"/>
    </row>
    <row r="37" spans="1:18" ht="24.6" customHeight="1">
      <c r="A37" s="84"/>
      <c r="B37" s="1467"/>
      <c r="C37" s="163" t="s">
        <v>389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O37" s="90" t="s">
        <v>3339</v>
      </c>
      <c r="P37" s="84"/>
      <c r="Q37" s="84"/>
      <c r="R37" s="84"/>
    </row>
    <row r="38" spans="1:18" ht="24.6" customHeight="1">
      <c r="A38" s="84"/>
      <c r="B38" s="1467"/>
      <c r="C38" s="325" t="s">
        <v>316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P38" s="84"/>
      <c r="Q38" s="84"/>
      <c r="R38" s="84"/>
    </row>
    <row r="39" spans="1:18" ht="24" customHeight="1">
      <c r="A39" s="84"/>
      <c r="B39" s="1467" t="s">
        <v>287</v>
      </c>
      <c r="C39" s="324" t="s">
        <v>9</v>
      </c>
      <c r="D39" s="265"/>
      <c r="E39" s="301"/>
      <c r="F39" s="1574" t="s">
        <v>3370</v>
      </c>
      <c r="G39" s="1574"/>
      <c r="H39" s="301"/>
      <c r="I39" s="1574" t="s">
        <v>3392</v>
      </c>
      <c r="J39" s="1574"/>
      <c r="K39" s="301"/>
      <c r="L39" s="84"/>
      <c r="M39" s="84"/>
      <c r="P39" s="84"/>
      <c r="Q39" s="84"/>
      <c r="R39" s="84"/>
    </row>
    <row r="40" spans="1:18" ht="24" customHeight="1">
      <c r="A40" s="84"/>
      <c r="B40" s="1467"/>
      <c r="C40" s="324"/>
      <c r="D40" s="265"/>
      <c r="E40" s="301"/>
      <c r="F40" s="301"/>
      <c r="G40" s="1574" t="s">
        <v>3371</v>
      </c>
      <c r="H40" s="1574"/>
      <c r="I40" s="301"/>
      <c r="J40" s="1574" t="s">
        <v>3448</v>
      </c>
      <c r="K40" s="1574"/>
      <c r="L40" s="84"/>
      <c r="M40" s="84"/>
      <c r="O40" s="84"/>
      <c r="P40" s="84"/>
      <c r="Q40" s="84"/>
      <c r="R40" s="84"/>
    </row>
    <row r="41" spans="1:18" ht="24.6" customHeight="1">
      <c r="A41" s="84"/>
      <c r="B41" s="1467"/>
      <c r="C41" s="290" t="s">
        <v>292</v>
      </c>
      <c r="D41" s="265"/>
      <c r="E41" s="301"/>
      <c r="F41" s="1653" t="s">
        <v>3372</v>
      </c>
      <c r="G41" s="1649"/>
      <c r="H41" s="301"/>
      <c r="I41" s="1656" t="s">
        <v>3300</v>
      </c>
      <c r="J41" s="1657"/>
      <c r="K41" s="301"/>
      <c r="L41" s="84"/>
      <c r="M41" s="84"/>
      <c r="N41" s="203"/>
      <c r="P41" s="84"/>
      <c r="Q41" s="84"/>
      <c r="R41" s="84"/>
    </row>
    <row r="42" spans="1:18" ht="24.6" customHeight="1">
      <c r="A42" s="84"/>
      <c r="B42" s="1467"/>
      <c r="C42" s="325" t="s">
        <v>316</v>
      </c>
      <c r="D42" s="265"/>
      <c r="E42" s="301"/>
      <c r="F42" s="301"/>
      <c r="G42" s="301"/>
      <c r="H42" s="726" t="s">
        <v>3373</v>
      </c>
      <c r="I42" s="301"/>
      <c r="J42" s="301"/>
      <c r="K42" s="301"/>
      <c r="L42" s="84"/>
      <c r="M42" s="84"/>
      <c r="P42" s="84"/>
      <c r="Q42" s="84"/>
      <c r="R42" s="84"/>
    </row>
    <row r="43" spans="1:18" ht="24.6" customHeight="1">
      <c r="A43" s="84"/>
      <c r="B43" s="641" t="s">
        <v>317</v>
      </c>
      <c r="C43" s="125" t="s">
        <v>228</v>
      </c>
      <c r="D43" s="265"/>
      <c r="E43" s="345"/>
      <c r="F43" s="301"/>
      <c r="G43" s="301"/>
      <c r="H43" s="301"/>
      <c r="I43" s="301"/>
      <c r="J43" s="301"/>
      <c r="K43" s="301"/>
      <c r="L43" s="84"/>
      <c r="M43" s="84"/>
      <c r="N43" s="84"/>
      <c r="P43" s="84"/>
      <c r="Q43" s="84"/>
      <c r="R43" s="84"/>
    </row>
    <row r="44" spans="1:18" ht="24.6" customHeight="1">
      <c r="A44" s="84"/>
      <c r="B44" s="84"/>
      <c r="C44" s="269"/>
      <c r="D44" s="265"/>
      <c r="E44" s="26">
        <f>K34+1</f>
        <v>23</v>
      </c>
      <c r="F44" s="175">
        <f t="shared" ref="F44:K44" si="3">E44+1</f>
        <v>24</v>
      </c>
      <c r="G44" s="175">
        <f t="shared" si="3"/>
        <v>25</v>
      </c>
      <c r="H44" s="175">
        <f t="shared" si="3"/>
        <v>26</v>
      </c>
      <c r="I44" s="175">
        <f t="shared" si="3"/>
        <v>27</v>
      </c>
      <c r="J44" s="175">
        <f t="shared" si="3"/>
        <v>28</v>
      </c>
      <c r="K44" s="175">
        <f t="shared" si="3"/>
        <v>29</v>
      </c>
      <c r="L44" s="84"/>
      <c r="M44" s="84"/>
      <c r="N44" s="203"/>
      <c r="O44" s="84"/>
      <c r="P44" s="84"/>
      <c r="Q44" s="84"/>
      <c r="R44" s="84"/>
    </row>
    <row r="45" spans="1:18" ht="24.6" hidden="1" customHeight="1">
      <c r="A45" s="84"/>
      <c r="B45" s="1467" t="s">
        <v>286</v>
      </c>
      <c r="C45" s="324" t="s">
        <v>9</v>
      </c>
      <c r="D45" s="265"/>
      <c r="E45" s="640"/>
      <c r="F45" s="640"/>
      <c r="G45" s="640"/>
      <c r="H45" s="640"/>
      <c r="I45" s="640"/>
      <c r="J45" s="640"/>
      <c r="K45" s="640"/>
      <c r="L45" s="84"/>
      <c r="M45" s="84"/>
      <c r="N45" s="84"/>
      <c r="O45" s="84"/>
      <c r="P45" s="84"/>
      <c r="Q45" s="84"/>
      <c r="R45" s="84"/>
    </row>
    <row r="46" spans="1:18" ht="24.6" hidden="1" customHeight="1">
      <c r="A46" s="84"/>
      <c r="B46" s="1467"/>
      <c r="C46" s="290" t="s">
        <v>7</v>
      </c>
      <c r="D46" s="265"/>
      <c r="E46" s="640"/>
      <c r="F46" s="640"/>
      <c r="G46" s="640"/>
      <c r="H46" s="689"/>
      <c r="I46" s="689"/>
      <c r="J46" s="689"/>
      <c r="K46" s="689"/>
      <c r="L46" s="84"/>
      <c r="M46" s="84"/>
      <c r="P46" s="84"/>
      <c r="Q46" s="84"/>
      <c r="R46" s="84"/>
    </row>
    <row r="47" spans="1:18" ht="24.6" hidden="1" customHeight="1">
      <c r="A47" s="84"/>
      <c r="B47" s="1467"/>
      <c r="C47" s="163" t="s">
        <v>389</v>
      </c>
      <c r="D47" s="265"/>
      <c r="E47" s="640"/>
      <c r="F47" s="640"/>
      <c r="G47" s="640"/>
      <c r="H47" s="713"/>
      <c r="I47" s="713"/>
      <c r="J47" s="713"/>
      <c r="K47" s="704"/>
      <c r="L47" s="84"/>
      <c r="M47" s="84"/>
      <c r="O47" s="84"/>
      <c r="P47" s="84"/>
      <c r="Q47" s="84"/>
      <c r="R47" s="84"/>
    </row>
    <row r="48" spans="1:18" ht="24.6" hidden="1" customHeight="1">
      <c r="A48" s="84"/>
      <c r="B48" s="1467"/>
      <c r="C48" s="325" t="s">
        <v>316</v>
      </c>
      <c r="D48" s="265"/>
      <c r="E48" s="640"/>
      <c r="F48" s="640"/>
      <c r="G48" s="640"/>
      <c r="H48" s="640"/>
      <c r="I48" s="640"/>
      <c r="J48" s="640"/>
      <c r="K48" s="640"/>
      <c r="L48" s="84"/>
      <c r="M48" s="84"/>
      <c r="N48" s="84"/>
      <c r="O48" s="84"/>
      <c r="P48" s="84"/>
      <c r="Q48" s="84"/>
      <c r="R48" s="84"/>
    </row>
    <row r="49" spans="1:18" ht="24.6" customHeight="1">
      <c r="A49" s="84"/>
      <c r="B49" s="1467" t="s">
        <v>287</v>
      </c>
      <c r="C49" s="324" t="s">
        <v>9</v>
      </c>
      <c r="D49" s="265"/>
      <c r="E49" s="640"/>
      <c r="F49" s="1574" t="s">
        <v>3381</v>
      </c>
      <c r="G49" s="1574"/>
      <c r="H49" s="640"/>
      <c r="I49" s="1574" t="s">
        <v>3389</v>
      </c>
      <c r="J49" s="1574"/>
      <c r="K49" s="640"/>
      <c r="L49" s="84"/>
      <c r="Q49" s="84"/>
      <c r="R49" s="84"/>
    </row>
    <row r="50" spans="1:18" ht="24.6" customHeight="1">
      <c r="A50" s="84"/>
      <c r="B50" s="1467"/>
      <c r="C50" s="324"/>
      <c r="D50" s="265"/>
      <c r="E50" s="645"/>
      <c r="F50" s="645"/>
      <c r="G50" s="1574" t="s">
        <v>3382</v>
      </c>
      <c r="H50" s="1574"/>
      <c r="I50" s="645"/>
      <c r="J50" s="1574" t="s">
        <v>3456</v>
      </c>
      <c r="K50" s="1574"/>
      <c r="L50" s="84"/>
      <c r="Q50" s="84"/>
      <c r="R50" s="84"/>
    </row>
    <row r="51" spans="1:18" ht="28.9" customHeight="1">
      <c r="A51" s="84"/>
      <c r="B51" s="1467"/>
      <c r="C51" s="290" t="s">
        <v>292</v>
      </c>
      <c r="D51" s="265"/>
      <c r="E51" s="640"/>
      <c r="F51" s="738" t="s">
        <v>3396</v>
      </c>
      <c r="G51" s="739"/>
      <c r="H51" s="740"/>
      <c r="I51" s="1658" t="s">
        <v>3377</v>
      </c>
      <c r="J51" s="1659"/>
      <c r="K51" s="739"/>
      <c r="L51" s="84"/>
      <c r="Q51" s="84"/>
      <c r="R51" s="84"/>
    </row>
    <row r="52" spans="1:18" ht="24.6" customHeight="1">
      <c r="A52" s="84"/>
      <c r="B52" s="1467"/>
      <c r="C52" s="325" t="s">
        <v>316</v>
      </c>
      <c r="D52" s="265"/>
      <c r="E52" s="640"/>
      <c r="F52" s="717"/>
      <c r="G52" s="742" t="s">
        <v>3398</v>
      </c>
      <c r="H52" s="1656" t="s">
        <v>3293</v>
      </c>
      <c r="I52" s="1657"/>
      <c r="J52" s="726" t="s">
        <v>3395</v>
      </c>
      <c r="K52" s="704"/>
      <c r="L52" s="84"/>
      <c r="Q52" s="84"/>
      <c r="R52" s="84"/>
    </row>
    <row r="53" spans="1:18" ht="24.6" customHeight="1">
      <c r="A53" s="84"/>
      <c r="B53" s="641" t="s">
        <v>317</v>
      </c>
      <c r="C53" s="125" t="s">
        <v>228</v>
      </c>
      <c r="D53" s="265"/>
      <c r="E53" s="640"/>
      <c r="F53" s="689"/>
      <c r="G53" s="689"/>
      <c r="H53" s="689"/>
      <c r="I53" s="704"/>
      <c r="J53" s="704"/>
      <c r="K53" s="640"/>
      <c r="L53" s="84"/>
      <c r="Q53" s="84"/>
      <c r="R53" s="84"/>
    </row>
    <row r="54" spans="1:18" ht="19.149999999999999">
      <c r="B54" s="84"/>
      <c r="C54" s="5"/>
      <c r="D54" s="5"/>
      <c r="E54" s="507">
        <f>K44+1</f>
        <v>30</v>
      </c>
      <c r="F54" s="508"/>
      <c r="G54" s="508"/>
      <c r="H54" s="508"/>
      <c r="I54" s="508"/>
      <c r="J54" s="508"/>
      <c r="K54" s="509"/>
    </row>
    <row r="55" spans="1:18" ht="19.149999999999999">
      <c r="B55" s="1467" t="s">
        <v>286</v>
      </c>
      <c r="C55" s="324" t="s">
        <v>9</v>
      </c>
      <c r="D55" s="265"/>
      <c r="E55" s="510"/>
      <c r="F55" s="510"/>
      <c r="G55" s="510"/>
      <c r="H55" s="510"/>
      <c r="I55" s="510"/>
      <c r="J55" s="510"/>
      <c r="K55" s="510"/>
    </row>
    <row r="56" spans="1:18" ht="19.149999999999999">
      <c r="B56" s="1467"/>
      <c r="C56" s="290" t="s">
        <v>7</v>
      </c>
      <c r="D56" s="265"/>
      <c r="E56" s="510"/>
      <c r="F56" s="510"/>
      <c r="G56" s="510"/>
      <c r="H56" s="510"/>
      <c r="I56" s="510"/>
      <c r="J56" s="510"/>
      <c r="K56" s="510"/>
    </row>
    <row r="57" spans="1:18" ht="19.149999999999999">
      <c r="B57" s="1467"/>
      <c r="C57" s="163" t="s">
        <v>389</v>
      </c>
      <c r="D57" s="265"/>
      <c r="E57" s="510"/>
      <c r="F57" s="510"/>
      <c r="G57" s="510"/>
      <c r="H57" s="510"/>
      <c r="I57" s="510"/>
      <c r="J57" s="510"/>
      <c r="K57" s="510"/>
    </row>
    <row r="58" spans="1:18" ht="19.149999999999999">
      <c r="B58" s="1467"/>
      <c r="C58" s="325" t="s">
        <v>316</v>
      </c>
      <c r="D58" s="265"/>
      <c r="E58" s="510"/>
      <c r="F58" s="510"/>
      <c r="G58" s="510"/>
      <c r="H58" s="510"/>
      <c r="I58" s="510"/>
      <c r="J58" s="510"/>
      <c r="K58" s="510"/>
    </row>
    <row r="59" spans="1:18" ht="19.149999999999999">
      <c r="B59" s="1467" t="s">
        <v>287</v>
      </c>
      <c r="C59" s="324" t="s">
        <v>9</v>
      </c>
      <c r="D59" s="265"/>
      <c r="E59" s="510"/>
      <c r="F59" s="510"/>
      <c r="G59" s="510"/>
      <c r="H59" s="510"/>
      <c r="I59" s="510"/>
      <c r="J59" s="510"/>
      <c r="K59" s="510"/>
    </row>
    <row r="60" spans="1:18" ht="19.149999999999999">
      <c r="B60" s="1467"/>
      <c r="C60" s="324"/>
      <c r="D60" s="265"/>
      <c r="E60" s="510"/>
      <c r="F60" s="510"/>
      <c r="G60" s="510"/>
      <c r="H60" s="510"/>
      <c r="I60" s="510"/>
      <c r="J60" s="510"/>
      <c r="K60" s="510"/>
    </row>
    <row r="61" spans="1:18" ht="19.149999999999999">
      <c r="B61" s="1467"/>
      <c r="C61" s="290" t="s">
        <v>292</v>
      </c>
      <c r="D61" s="265"/>
      <c r="E61" s="510"/>
      <c r="F61" s="510"/>
      <c r="G61" s="510"/>
      <c r="H61" s="510"/>
      <c r="I61" s="510"/>
      <c r="J61" s="510"/>
      <c r="K61" s="510"/>
    </row>
    <row r="62" spans="1:18" ht="19.149999999999999">
      <c r="B62" s="1467"/>
      <c r="C62" s="325" t="s">
        <v>316</v>
      </c>
      <c r="D62" s="265"/>
      <c r="E62" s="510"/>
      <c r="F62" s="510"/>
      <c r="G62" s="510"/>
      <c r="H62" s="510"/>
      <c r="I62" s="510"/>
      <c r="J62" s="510"/>
      <c r="K62" s="510"/>
    </row>
    <row r="63" spans="1:18" ht="19.149999999999999">
      <c r="B63" s="641" t="s">
        <v>317</v>
      </c>
      <c r="C63" s="125" t="s">
        <v>228</v>
      </c>
      <c r="D63" s="265"/>
      <c r="E63" s="510"/>
      <c r="F63" s="510"/>
      <c r="G63" s="510"/>
      <c r="H63" s="510"/>
      <c r="I63" s="510"/>
      <c r="J63" s="510"/>
      <c r="K63" s="510"/>
    </row>
  </sheetData>
  <mergeCells count="45">
    <mergeCell ref="N9:O9"/>
    <mergeCell ref="N7:O7"/>
    <mergeCell ref="B55:B58"/>
    <mergeCell ref="B59:B62"/>
    <mergeCell ref="B45:B48"/>
    <mergeCell ref="G30:H30"/>
    <mergeCell ref="B25:B28"/>
    <mergeCell ref="B29:B32"/>
    <mergeCell ref="B35:B38"/>
    <mergeCell ref="B19:B22"/>
    <mergeCell ref="F19:G19"/>
    <mergeCell ref="B39:B42"/>
    <mergeCell ref="H19:I19"/>
    <mergeCell ref="G50:H50"/>
    <mergeCell ref="F29:G29"/>
    <mergeCell ref="N10:O10"/>
    <mergeCell ref="E3:G3"/>
    <mergeCell ref="H3:K3"/>
    <mergeCell ref="B6:B9"/>
    <mergeCell ref="B10:B12"/>
    <mergeCell ref="B15:B18"/>
    <mergeCell ref="B49:B52"/>
    <mergeCell ref="F39:G39"/>
    <mergeCell ref="G40:H40"/>
    <mergeCell ref="J50:K50"/>
    <mergeCell ref="I29:J29"/>
    <mergeCell ref="J30:K30"/>
    <mergeCell ref="J40:K40"/>
    <mergeCell ref="F49:G49"/>
    <mergeCell ref="I39:J39"/>
    <mergeCell ref="I32:J32"/>
    <mergeCell ref="I41:J41"/>
    <mergeCell ref="I49:J49"/>
    <mergeCell ref="H52:I52"/>
    <mergeCell ref="I51:J51"/>
    <mergeCell ref="N11:O11"/>
    <mergeCell ref="N15:O15"/>
    <mergeCell ref="N16:O16"/>
    <mergeCell ref="F41:G41"/>
    <mergeCell ref="N22:O22"/>
    <mergeCell ref="G32:H32"/>
    <mergeCell ref="G20:H20"/>
    <mergeCell ref="N12:O12"/>
    <mergeCell ref="N13:O13"/>
    <mergeCell ref="N14:O14"/>
  </mergeCells>
  <phoneticPr fontId="6" type="noConversion"/>
  <pageMargins left="0.7" right="0.7" top="0.75" bottom="0.75" header="0.3" footer="0.3"/>
  <pageSetup paperSize="9" scale="31" orientation="landscape" r:id="rId1"/>
  <legacy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5">
    <pageSetUpPr fitToPage="1"/>
  </sheetPr>
  <dimension ref="A1:S54"/>
  <sheetViews>
    <sheetView zoomScale="55" zoomScaleNormal="55" workbookViewId="0">
      <selection activeCell="H12" sqref="H12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5" width="25.77734375" style="90" customWidth="1"/>
    <col min="6" max="11" width="37.21875" style="90" customWidth="1"/>
    <col min="12" max="12" width="2.109375" style="90" customWidth="1"/>
    <col min="13" max="13" width="11.77734375" style="90" customWidth="1"/>
    <col min="14" max="14" width="11.33203125" style="90" customWidth="1"/>
    <col min="15" max="15" width="34.88671875" style="90" customWidth="1"/>
    <col min="16" max="17" width="26" style="90" customWidth="1"/>
    <col min="18" max="19" width="6.6640625" style="90" customWidth="1"/>
    <col min="20" max="16384" width="8.88671875" style="84"/>
  </cols>
  <sheetData>
    <row r="1" spans="1:19" ht="19.149999999999999">
      <c r="A1" s="84"/>
      <c r="B1" s="84"/>
      <c r="C1" s="5"/>
      <c r="D1" s="5"/>
      <c r="O1" s="683" t="s">
        <v>3296</v>
      </c>
    </row>
    <row r="2" spans="1:19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  <c r="O2" s="681" t="s">
        <v>3290</v>
      </c>
      <c r="P2" s="677" t="s">
        <v>3291</v>
      </c>
      <c r="Q2" s="680" t="s">
        <v>3292</v>
      </c>
    </row>
    <row r="3" spans="1:19" ht="57">
      <c r="A3" s="84"/>
      <c r="B3" s="84"/>
      <c r="C3" s="5"/>
      <c r="D3" s="5"/>
      <c r="E3" s="1450">
        <v>45474</v>
      </c>
      <c r="F3" s="1450"/>
      <c r="G3" s="1450"/>
      <c r="H3" s="1451" t="s">
        <v>10</v>
      </c>
      <c r="I3" s="1452"/>
      <c r="J3" s="1452"/>
      <c r="K3" s="1452"/>
      <c r="O3" s="685">
        <f>O4*34000</f>
        <v>340000</v>
      </c>
      <c r="P3" s="756">
        <f>3647+2500+12000+3000+3000+10672+12000+2500+2500</f>
        <v>51819</v>
      </c>
      <c r="Q3" s="684">
        <f>O3+P3</f>
        <v>391819</v>
      </c>
    </row>
    <row r="4" spans="1:19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264"/>
      <c r="O4" s="681">
        <v>10</v>
      </c>
      <c r="P4" s="677">
        <v>6</v>
      </c>
      <c r="Q4" s="684">
        <f>O4+P4</f>
        <v>16</v>
      </c>
      <c r="R4" s="90"/>
      <c r="S4" s="90"/>
    </row>
    <row r="5" spans="1:19" s="5" customFormat="1" ht="24.6" customHeight="1">
      <c r="E5" s="26"/>
      <c r="F5" s="175">
        <v>1</v>
      </c>
      <c r="G5" s="175">
        <f>F5+1</f>
        <v>2</v>
      </c>
      <c r="H5" s="175">
        <f>G5+1</f>
        <v>3</v>
      </c>
      <c r="I5" s="175">
        <f>H5+1</f>
        <v>4</v>
      </c>
      <c r="J5" s="175">
        <f>I5+1</f>
        <v>5</v>
      </c>
      <c r="K5" s="175">
        <f>J5+1</f>
        <v>6</v>
      </c>
      <c r="L5" s="90"/>
      <c r="M5" s="90"/>
      <c r="N5" s="90"/>
      <c r="P5" s="756"/>
      <c r="R5" s="11"/>
      <c r="S5" s="90"/>
    </row>
    <row r="6" spans="1:19" s="5" customFormat="1" ht="24.6" customHeight="1">
      <c r="B6" s="1467" t="s">
        <v>286</v>
      </c>
      <c r="C6" s="324" t="s">
        <v>9</v>
      </c>
      <c r="D6" s="265"/>
      <c r="E6" s="640"/>
      <c r="F6" s="640"/>
      <c r="G6" s="640"/>
      <c r="H6" s="640"/>
      <c r="I6" s="640"/>
      <c r="J6" s="640"/>
      <c r="K6" s="640"/>
      <c r="L6" s="90"/>
      <c r="M6" s="90"/>
      <c r="N6" s="90"/>
      <c r="O6" s="683" t="s">
        <v>2916</v>
      </c>
      <c r="R6" s="11"/>
      <c r="S6" s="90"/>
    </row>
    <row r="7" spans="1:19" s="5" customFormat="1" ht="24.6" customHeight="1">
      <c r="B7" s="1467"/>
      <c r="C7" s="290" t="s">
        <v>7</v>
      </c>
      <c r="D7" s="265"/>
      <c r="E7" s="640"/>
      <c r="F7" s="721"/>
      <c r="G7" s="739"/>
      <c r="H7" s="721"/>
      <c r="I7" s="640"/>
      <c r="J7" s="640"/>
      <c r="K7" s="725"/>
      <c r="L7" s="90"/>
      <c r="M7" s="90"/>
      <c r="N7" s="90"/>
      <c r="O7" s="1652" t="s">
        <v>2732</v>
      </c>
      <c r="P7" s="1652"/>
      <c r="Q7" s="682" t="s">
        <v>228</v>
      </c>
      <c r="R7" s="11"/>
      <c r="S7" s="90"/>
    </row>
    <row r="8" spans="1:19" s="5" customFormat="1" ht="24.6" customHeight="1">
      <c r="B8" s="1467"/>
      <c r="C8" s="163" t="s">
        <v>389</v>
      </c>
      <c r="D8" s="265"/>
      <c r="E8" s="640"/>
      <c r="F8" s="640"/>
      <c r="G8" s="640"/>
      <c r="H8" s="640"/>
      <c r="I8" s="640"/>
      <c r="J8" s="640"/>
      <c r="K8" s="640"/>
      <c r="L8" s="90"/>
      <c r="M8" s="90"/>
      <c r="N8" s="702" t="s">
        <v>3319</v>
      </c>
      <c r="O8" s="1653" t="s">
        <v>3329</v>
      </c>
      <c r="P8" s="1649"/>
      <c r="Q8" s="5" t="s">
        <v>3336</v>
      </c>
      <c r="R8" s="11"/>
      <c r="S8" s="90"/>
    </row>
    <row r="9" spans="1:19" s="5" customFormat="1" ht="24.6" customHeight="1">
      <c r="B9" s="1467"/>
      <c r="C9" s="325" t="s">
        <v>316</v>
      </c>
      <c r="D9" s="265"/>
      <c r="E9" s="640"/>
      <c r="F9" s="640"/>
      <c r="G9" s="640"/>
      <c r="H9" s="721"/>
      <c r="I9" s="640"/>
      <c r="J9" s="640"/>
      <c r="K9" s="640"/>
      <c r="L9" s="90"/>
      <c r="M9" s="90"/>
      <c r="N9" s="702" t="s">
        <v>3319</v>
      </c>
      <c r="O9" s="1654" t="s">
        <v>3330</v>
      </c>
      <c r="P9" s="1655"/>
      <c r="Q9" s="5" t="s">
        <v>3336</v>
      </c>
      <c r="R9" s="11"/>
      <c r="S9" s="90"/>
    </row>
    <row r="10" spans="1:19" s="5" customFormat="1" ht="24.6" customHeight="1">
      <c r="B10" s="1467" t="s">
        <v>287</v>
      </c>
      <c r="C10" s="324" t="s">
        <v>9</v>
      </c>
      <c r="D10" s="265"/>
      <c r="E10" s="640"/>
      <c r="F10" s="1574" t="s">
        <v>3402</v>
      </c>
      <c r="G10" s="1574"/>
      <c r="H10" s="640"/>
      <c r="I10" s="1574" t="s">
        <v>3403</v>
      </c>
      <c r="J10" s="1574"/>
      <c r="K10" s="640"/>
      <c r="L10" s="90"/>
      <c r="M10" s="90"/>
      <c r="N10" s="702" t="s">
        <v>3319</v>
      </c>
      <c r="O10" s="715" t="s">
        <v>3340</v>
      </c>
      <c r="P10" s="90"/>
      <c r="Q10" s="5" t="s">
        <v>3336</v>
      </c>
      <c r="R10" s="11"/>
      <c r="S10" s="90"/>
    </row>
    <row r="11" spans="1:19" s="5" customFormat="1" ht="24.6" customHeight="1">
      <c r="B11" s="1467"/>
      <c r="C11" s="324"/>
      <c r="D11" s="265"/>
      <c r="E11" s="645"/>
      <c r="F11" s="645"/>
      <c r="G11" s="1574" t="s">
        <v>3390</v>
      </c>
      <c r="H11" s="1574"/>
      <c r="I11" s="645"/>
      <c r="J11" s="1574" t="s">
        <v>3384</v>
      </c>
      <c r="K11" s="1574"/>
      <c r="L11" s="90"/>
      <c r="M11" s="90"/>
      <c r="N11" s="702" t="s">
        <v>3319</v>
      </c>
      <c r="O11" s="716" t="s">
        <v>3342</v>
      </c>
      <c r="P11" s="90"/>
      <c r="Q11" s="5" t="s">
        <v>3336</v>
      </c>
      <c r="R11" s="11"/>
      <c r="S11" s="90"/>
    </row>
    <row r="12" spans="1:19" s="5" customFormat="1" ht="24.6" customHeight="1">
      <c r="B12" s="1467"/>
      <c r="C12" s="290" t="s">
        <v>292</v>
      </c>
      <c r="D12" s="265"/>
      <c r="E12" s="640"/>
      <c r="F12" s="745"/>
      <c r="G12" s="721"/>
      <c r="H12" s="741" t="s">
        <v>3417</v>
      </c>
      <c r="I12" s="243" t="s">
        <v>3405</v>
      </c>
      <c r="J12" s="727" t="s">
        <v>3407</v>
      </c>
      <c r="K12" s="640"/>
      <c r="L12" s="90"/>
      <c r="M12" s="90"/>
      <c r="N12" s="702" t="s">
        <v>3319</v>
      </c>
      <c r="O12" s="715" t="s">
        <v>3341</v>
      </c>
      <c r="P12" s="90"/>
      <c r="Q12" s="5" t="s">
        <v>3336</v>
      </c>
      <c r="R12" s="11"/>
      <c r="S12" s="90"/>
    </row>
    <row r="13" spans="1:19" s="5" customFormat="1" ht="24.6" customHeight="1">
      <c r="B13" s="1467"/>
      <c r="C13" s="325" t="s">
        <v>316</v>
      </c>
      <c r="D13" s="265"/>
      <c r="E13" s="640"/>
      <c r="F13" s="1663" t="s">
        <v>3348</v>
      </c>
      <c r="G13" s="1665"/>
      <c r="H13" s="721"/>
      <c r="I13" s="726" t="s">
        <v>3406</v>
      </c>
      <c r="J13" s="727" t="s">
        <v>3408</v>
      </c>
      <c r="K13" s="724"/>
      <c r="L13" s="90"/>
      <c r="M13" s="90"/>
      <c r="N13" s="702" t="s">
        <v>3319</v>
      </c>
      <c r="O13" s="715" t="s">
        <v>3343</v>
      </c>
      <c r="Q13" s="5" t="s">
        <v>3336</v>
      </c>
      <c r="R13" s="11"/>
      <c r="S13" s="90"/>
    </row>
    <row r="14" spans="1:19" s="5" customFormat="1" ht="24.6" customHeight="1">
      <c r="B14" s="641" t="s">
        <v>317</v>
      </c>
      <c r="C14" s="125" t="s">
        <v>228</v>
      </c>
      <c r="D14" s="265"/>
      <c r="E14" s="640"/>
      <c r="F14" s="640"/>
      <c r="G14" s="640"/>
      <c r="H14" s="640"/>
      <c r="I14" s="726" t="s">
        <v>3393</v>
      </c>
      <c r="J14" s="640"/>
      <c r="K14" s="640"/>
      <c r="L14" s="90"/>
      <c r="M14" s="90"/>
      <c r="N14" s="702" t="s">
        <v>3319</v>
      </c>
      <c r="O14" s="1653" t="s">
        <v>3333</v>
      </c>
      <c r="P14" s="1649"/>
      <c r="Q14" s="90"/>
      <c r="R14" s="11"/>
      <c r="S14" s="90"/>
    </row>
    <row r="15" spans="1:19" ht="24.6" customHeight="1">
      <c r="A15" s="84"/>
      <c r="B15" s="84"/>
      <c r="C15" s="5"/>
      <c r="D15" s="5"/>
      <c r="E15" s="266">
        <f>K5+1</f>
        <v>7</v>
      </c>
      <c r="F15" s="65">
        <f t="shared" ref="F15:K15" si="0">E15+1</f>
        <v>8</v>
      </c>
      <c r="G15" s="65">
        <f t="shared" si="0"/>
        <v>9</v>
      </c>
      <c r="H15" s="65">
        <f t="shared" si="0"/>
        <v>10</v>
      </c>
      <c r="I15" s="65">
        <f t="shared" si="0"/>
        <v>11</v>
      </c>
      <c r="J15" s="65">
        <f t="shared" si="0"/>
        <v>12</v>
      </c>
      <c r="K15" s="65">
        <f t="shared" si="0"/>
        <v>13</v>
      </c>
      <c r="N15" s="702" t="s">
        <v>3319</v>
      </c>
      <c r="O15" s="737" t="s">
        <v>3332</v>
      </c>
      <c r="P15" s="736"/>
    </row>
    <row r="16" spans="1:19" ht="24.6" customHeight="1">
      <c r="A16" s="84"/>
      <c r="B16" s="1467" t="s">
        <v>286</v>
      </c>
      <c r="C16" s="324" t="s">
        <v>9</v>
      </c>
      <c r="D16" s="265"/>
      <c r="E16" s="301"/>
      <c r="F16" s="301"/>
      <c r="G16" s="301"/>
      <c r="H16" s="743" t="s">
        <v>3399</v>
      </c>
      <c r="I16" s="301"/>
      <c r="J16" s="301"/>
      <c r="K16" s="301"/>
      <c r="N16" s="702" t="s">
        <v>3319</v>
      </c>
      <c r="O16" s="737" t="s">
        <v>3334</v>
      </c>
      <c r="P16" s="736"/>
    </row>
    <row r="17" spans="1:19" ht="24.6" customHeight="1">
      <c r="A17" s="84"/>
      <c r="B17" s="1467"/>
      <c r="C17" s="290" t="s">
        <v>7</v>
      </c>
      <c r="D17" s="265"/>
      <c r="E17" s="301"/>
      <c r="G17" s="301"/>
      <c r="H17" s="301"/>
      <c r="I17" s="301"/>
      <c r="J17" s="301"/>
      <c r="K17" s="301"/>
      <c r="N17" s="702" t="s">
        <v>3319</v>
      </c>
      <c r="O17" s="737" t="s">
        <v>3335</v>
      </c>
      <c r="P17" s="736"/>
    </row>
    <row r="18" spans="1:19" ht="24.6" customHeight="1">
      <c r="A18" s="84"/>
      <c r="B18" s="1467"/>
      <c r="C18" s="163" t="s">
        <v>389</v>
      </c>
      <c r="D18" s="265"/>
      <c r="E18" s="301"/>
      <c r="G18" s="301"/>
      <c r="H18" s="301"/>
      <c r="J18" s="301"/>
      <c r="K18" s="301"/>
      <c r="N18" s="702" t="s">
        <v>3319</v>
      </c>
      <c r="O18" s="737" t="s">
        <v>3326</v>
      </c>
      <c r="Q18" s="711" t="s">
        <v>3337</v>
      </c>
    </row>
    <row r="19" spans="1:19" ht="24.6" customHeight="1">
      <c r="A19" s="84"/>
      <c r="B19" s="1467"/>
      <c r="C19" s="325" t="s">
        <v>316</v>
      </c>
      <c r="D19" s="265"/>
      <c r="E19" s="301"/>
      <c r="F19" s="301"/>
      <c r="G19" s="301"/>
      <c r="H19" s="301"/>
      <c r="J19" s="301"/>
      <c r="K19" s="301"/>
      <c r="N19" s="702" t="s">
        <v>3319</v>
      </c>
      <c r="O19" s="737" t="s">
        <v>3345</v>
      </c>
      <c r="Q19" s="5" t="s">
        <v>3307</v>
      </c>
    </row>
    <row r="20" spans="1:19" ht="24.6" customHeight="1">
      <c r="A20" s="84"/>
      <c r="B20" s="1467" t="s">
        <v>287</v>
      </c>
      <c r="C20" s="324" t="s">
        <v>9</v>
      </c>
      <c r="D20" s="265"/>
      <c r="E20" s="301"/>
      <c r="F20" s="1574" t="s">
        <v>3404</v>
      </c>
      <c r="G20" s="1574"/>
      <c r="H20" s="301"/>
      <c r="I20" s="1574" t="s">
        <v>3413</v>
      </c>
      <c r="J20" s="1574"/>
      <c r="K20" s="301"/>
      <c r="N20" s="702" t="s">
        <v>3319</v>
      </c>
      <c r="O20" s="735" t="s">
        <v>3344</v>
      </c>
      <c r="Q20" s="5" t="s">
        <v>3336</v>
      </c>
    </row>
    <row r="21" spans="1:19" ht="24.6" customHeight="1">
      <c r="A21" s="84"/>
      <c r="B21" s="1467"/>
      <c r="C21" s="324"/>
      <c r="D21" s="265"/>
      <c r="E21" s="301"/>
      <c r="F21" s="301"/>
      <c r="G21" s="1574" t="s">
        <v>3412</v>
      </c>
      <c r="H21" s="1574"/>
      <c r="I21" s="301"/>
      <c r="J21" s="1574" t="s">
        <v>3415</v>
      </c>
      <c r="K21" s="1574"/>
      <c r="N21" s="702" t="s">
        <v>3319</v>
      </c>
      <c r="O21" s="726" t="s">
        <v>3368</v>
      </c>
      <c r="P21" s="476"/>
      <c r="Q21" s="5" t="s">
        <v>3307</v>
      </c>
    </row>
    <row r="22" spans="1:19" ht="24" customHeight="1">
      <c r="A22" s="84"/>
      <c r="B22" s="1467"/>
      <c r="C22" s="290" t="s">
        <v>292</v>
      </c>
      <c r="D22" s="265"/>
      <c r="E22" s="301"/>
      <c r="F22" s="728" t="s">
        <v>3375</v>
      </c>
      <c r="G22" s="301"/>
      <c r="H22" s="1663" t="s">
        <v>3342</v>
      </c>
      <c r="I22" s="1664"/>
      <c r="J22" s="1664"/>
      <c r="K22" s="301"/>
      <c r="O22" s="719" t="s">
        <v>3409</v>
      </c>
      <c r="P22" s="733" t="s">
        <v>3380</v>
      </c>
    </row>
    <row r="23" spans="1:19" ht="55.15" customHeight="1">
      <c r="A23" s="84"/>
      <c r="B23" s="1467"/>
      <c r="C23" s="325" t="s">
        <v>316</v>
      </c>
      <c r="D23" s="265"/>
      <c r="E23" s="301"/>
      <c r="F23" s="301"/>
      <c r="G23" s="722" t="s">
        <v>3433</v>
      </c>
      <c r="H23" s="301"/>
      <c r="K23" s="301"/>
      <c r="Q23" s="5"/>
    </row>
    <row r="24" spans="1:19" ht="24.6" customHeight="1">
      <c r="A24" s="84"/>
      <c r="B24" s="641" t="s">
        <v>317</v>
      </c>
      <c r="C24" s="125" t="s">
        <v>228</v>
      </c>
      <c r="D24" s="265"/>
      <c r="E24" s="301"/>
      <c r="F24" s="301" t="s">
        <v>193</v>
      </c>
      <c r="G24" s="301"/>
      <c r="H24" s="301"/>
      <c r="J24" s="301"/>
      <c r="K24" s="301"/>
    </row>
    <row r="25" spans="1:19" ht="24.6" customHeight="1">
      <c r="A25" s="84"/>
      <c r="B25" s="84"/>
      <c r="C25" s="5"/>
      <c r="D25" s="5"/>
      <c r="E25" s="26">
        <f>K15+1</f>
        <v>14</v>
      </c>
      <c r="F25" s="175">
        <f t="shared" ref="F25:K25" si="1">E25+1</f>
        <v>15</v>
      </c>
      <c r="G25" s="175">
        <f t="shared" si="1"/>
        <v>16</v>
      </c>
      <c r="H25" s="175">
        <f t="shared" si="1"/>
        <v>17</v>
      </c>
      <c r="I25" s="175">
        <f t="shared" si="1"/>
        <v>18</v>
      </c>
      <c r="J25" s="175">
        <f t="shared" si="1"/>
        <v>19</v>
      </c>
      <c r="K25" s="175">
        <f t="shared" si="1"/>
        <v>20</v>
      </c>
      <c r="M25" s="705"/>
    </row>
    <row r="26" spans="1:19" ht="24.6" customHeight="1">
      <c r="A26" s="84"/>
      <c r="B26" s="1467" t="s">
        <v>286</v>
      </c>
      <c r="C26" s="324" t="s">
        <v>9</v>
      </c>
      <c r="D26" s="265"/>
      <c r="E26" s="640"/>
      <c r="F26" s="640"/>
      <c r="G26" s="640"/>
      <c r="H26" s="640"/>
      <c r="I26" s="640"/>
      <c r="J26" s="640"/>
      <c r="K26" s="640"/>
      <c r="Q26" s="5"/>
    </row>
    <row r="27" spans="1:19" ht="24.6" customHeight="1">
      <c r="A27" s="84"/>
      <c r="B27" s="1467"/>
      <c r="C27" s="290" t="s">
        <v>7</v>
      </c>
      <c r="D27" s="265"/>
      <c r="E27" s="640"/>
      <c r="F27" s="640"/>
      <c r="G27" s="640"/>
      <c r="H27" s="640"/>
      <c r="I27" s="724"/>
      <c r="J27" s="734"/>
      <c r="K27" s="640"/>
      <c r="L27" s="84"/>
      <c r="M27" s="84"/>
      <c r="Q27" s="84"/>
      <c r="R27" s="84"/>
      <c r="S27" s="84"/>
    </row>
    <row r="28" spans="1:19" ht="24.6" customHeight="1">
      <c r="A28" s="84"/>
      <c r="B28" s="1467"/>
      <c r="C28" s="163" t="s">
        <v>389</v>
      </c>
      <c r="D28" s="265"/>
      <c r="E28" s="640"/>
      <c r="F28" s="640"/>
      <c r="G28" s="724"/>
      <c r="H28" s="640"/>
      <c r="I28" s="640"/>
      <c r="J28" s="709"/>
      <c r="K28" s="640"/>
      <c r="L28" s="84"/>
      <c r="M28" s="84"/>
      <c r="N28" s="84"/>
      <c r="Q28" s="84"/>
      <c r="R28" s="84"/>
      <c r="S28" s="84"/>
    </row>
    <row r="29" spans="1:19" ht="24.6" customHeight="1">
      <c r="A29" s="84"/>
      <c r="B29" s="1467"/>
      <c r="C29" s="325" t="s">
        <v>316</v>
      </c>
      <c r="D29" s="265"/>
      <c r="E29" s="640"/>
      <c r="F29" s="640"/>
      <c r="G29" s="640"/>
      <c r="H29" s="724"/>
      <c r="I29" s="640"/>
      <c r="J29" s="640"/>
      <c r="K29" s="640"/>
      <c r="L29" s="84"/>
      <c r="M29" s="84"/>
      <c r="N29" s="84"/>
      <c r="O29" s="732" t="s">
        <v>3378</v>
      </c>
      <c r="P29" s="733" t="s">
        <v>3380</v>
      </c>
      <c r="R29" s="84"/>
      <c r="S29" s="84"/>
    </row>
    <row r="30" spans="1:19" ht="24.6" customHeight="1">
      <c r="A30" s="84"/>
      <c r="B30" s="1467" t="s">
        <v>287</v>
      </c>
      <c r="C30" s="324" t="s">
        <v>9</v>
      </c>
      <c r="D30" s="265"/>
      <c r="E30" s="640"/>
      <c r="F30" s="1574" t="s">
        <v>3414</v>
      </c>
      <c r="G30" s="1574"/>
      <c r="H30" s="640"/>
      <c r="I30" s="1574" t="s">
        <v>3442</v>
      </c>
      <c r="J30" s="1574"/>
      <c r="K30" s="640"/>
      <c r="L30" s="84"/>
      <c r="M30" s="84"/>
      <c r="N30" s="84"/>
      <c r="O30" s="731" t="s">
        <v>3348</v>
      </c>
      <c r="P30" s="733" t="s">
        <v>3380</v>
      </c>
      <c r="R30" s="84"/>
      <c r="S30" s="84"/>
    </row>
    <row r="31" spans="1:19" ht="24.6" customHeight="1">
      <c r="A31" s="84"/>
      <c r="B31" s="1467"/>
      <c r="C31" s="324"/>
      <c r="D31" s="265"/>
      <c r="E31" s="645"/>
      <c r="F31" s="645"/>
      <c r="G31" s="1574" t="s">
        <v>3431</v>
      </c>
      <c r="H31" s="1574"/>
      <c r="I31" s="645"/>
      <c r="J31" s="1661" t="s">
        <v>3439</v>
      </c>
      <c r="K31" s="1661"/>
      <c r="L31" s="84"/>
      <c r="M31" s="84"/>
      <c r="N31" s="84"/>
      <c r="O31" s="732" t="s">
        <v>3349</v>
      </c>
      <c r="P31" s="733" t="s">
        <v>3380</v>
      </c>
      <c r="Q31" s="84"/>
      <c r="R31" s="84"/>
      <c r="S31" s="84"/>
    </row>
    <row r="32" spans="1:19" ht="24.6" customHeight="1">
      <c r="A32" s="84"/>
      <c r="B32" s="1467"/>
      <c r="C32" s="290" t="s">
        <v>292</v>
      </c>
      <c r="D32" s="265"/>
      <c r="E32" s="640"/>
      <c r="F32" s="1658" t="s">
        <v>3376</v>
      </c>
      <c r="G32" s="1659"/>
      <c r="H32" s="1658" t="s">
        <v>3387</v>
      </c>
      <c r="I32" s="1659"/>
      <c r="J32" s="717"/>
      <c r="K32" s="640"/>
      <c r="L32" s="84"/>
      <c r="M32" s="84"/>
      <c r="N32" s="84"/>
      <c r="O32" s="731" t="s">
        <v>3375</v>
      </c>
      <c r="P32" s="733" t="s">
        <v>3380</v>
      </c>
      <c r="Q32" s="84"/>
      <c r="R32" s="84"/>
      <c r="S32" s="84"/>
    </row>
    <row r="33" spans="1:19" ht="24.6" customHeight="1">
      <c r="A33" s="84"/>
      <c r="B33" s="1467"/>
      <c r="C33" s="325" t="s">
        <v>316</v>
      </c>
      <c r="D33" s="265"/>
      <c r="E33" s="640"/>
      <c r="F33" s="717"/>
      <c r="G33" s="1658" t="s">
        <v>3420</v>
      </c>
      <c r="H33" s="1659"/>
      <c r="I33" s="1658" t="s">
        <v>3383</v>
      </c>
      <c r="J33" s="1662"/>
      <c r="K33" s="640"/>
      <c r="L33" s="84"/>
      <c r="M33" s="84"/>
      <c r="N33" s="84"/>
      <c r="O33" s="731" t="s">
        <v>3376</v>
      </c>
      <c r="P33" s="733" t="s">
        <v>3380</v>
      </c>
      <c r="Q33" s="84"/>
      <c r="R33" s="84"/>
      <c r="S33" s="84"/>
    </row>
    <row r="34" spans="1:19" ht="24.6" customHeight="1">
      <c r="A34" s="84"/>
      <c r="B34" s="641" t="s">
        <v>317</v>
      </c>
      <c r="C34" s="125" t="s">
        <v>228</v>
      </c>
      <c r="D34" s="265"/>
      <c r="E34" s="640"/>
      <c r="F34" s="640"/>
      <c r="G34" s="640"/>
      <c r="H34" s="640"/>
      <c r="I34" s="640"/>
      <c r="J34" s="640"/>
      <c r="K34" s="640"/>
      <c r="L34" s="84"/>
      <c r="M34" s="84"/>
      <c r="N34" s="84"/>
      <c r="O34" s="731" t="s">
        <v>3385</v>
      </c>
      <c r="P34" s="733" t="s">
        <v>3380</v>
      </c>
      <c r="Q34" s="84"/>
      <c r="R34" s="84"/>
      <c r="S34" s="84"/>
    </row>
    <row r="35" spans="1:19" ht="24.6" customHeight="1">
      <c r="A35" s="84"/>
      <c r="B35" s="84"/>
      <c r="C35" s="5"/>
      <c r="D35" s="5"/>
      <c r="E35" s="266">
        <f>K25+1</f>
        <v>21</v>
      </c>
      <c r="F35" s="304">
        <f t="shared" ref="F35:K35" si="2">E35+1</f>
        <v>22</v>
      </c>
      <c r="G35" s="304">
        <f t="shared" si="2"/>
        <v>23</v>
      </c>
      <c r="H35" s="304">
        <f t="shared" si="2"/>
        <v>24</v>
      </c>
      <c r="I35" s="304">
        <f t="shared" si="2"/>
        <v>25</v>
      </c>
      <c r="J35" s="304">
        <f t="shared" si="2"/>
        <v>26</v>
      </c>
      <c r="K35" s="65">
        <f t="shared" si="2"/>
        <v>27</v>
      </c>
      <c r="L35" s="84"/>
      <c r="M35" s="84"/>
      <c r="N35" s="84"/>
      <c r="O35" s="711" t="s">
        <v>3410</v>
      </c>
      <c r="P35" s="733" t="s">
        <v>3380</v>
      </c>
      <c r="Q35" s="84"/>
      <c r="R35" s="84"/>
      <c r="S35" s="84"/>
    </row>
    <row r="36" spans="1:19" ht="24.6" customHeight="1">
      <c r="A36" s="84"/>
      <c r="B36" s="1467" t="s">
        <v>286</v>
      </c>
      <c r="C36" s="324" t="s">
        <v>9</v>
      </c>
      <c r="D36" s="265"/>
      <c r="E36" s="301"/>
      <c r="F36" s="301"/>
      <c r="G36" s="743" t="s">
        <v>3434</v>
      </c>
      <c r="H36" s="743" t="s">
        <v>3400</v>
      </c>
      <c r="I36" s="301"/>
      <c r="J36" s="301"/>
      <c r="K36" s="301"/>
      <c r="L36" s="84"/>
      <c r="M36" s="84"/>
      <c r="N36" s="84"/>
      <c r="O36" s="711" t="s">
        <v>3411</v>
      </c>
      <c r="P36" s="733" t="s">
        <v>3380</v>
      </c>
      <c r="Q36" s="84"/>
      <c r="R36" s="84"/>
      <c r="S36" s="84"/>
    </row>
    <row r="37" spans="1:19" ht="24.6" customHeight="1">
      <c r="A37" s="84"/>
      <c r="B37" s="1467"/>
      <c r="C37" s="290" t="s">
        <v>7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Q37" s="84"/>
      <c r="R37" s="84"/>
      <c r="S37" s="84"/>
    </row>
    <row r="38" spans="1:19" ht="24.6" customHeight="1">
      <c r="A38" s="84"/>
      <c r="B38" s="1467"/>
      <c r="C38" s="163" t="s">
        <v>389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325" t="s">
        <v>316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744" t="s">
        <v>3419</v>
      </c>
      <c r="Q39" s="84"/>
      <c r="R39" s="84"/>
      <c r="S39" s="84"/>
    </row>
    <row r="40" spans="1:19" ht="24" customHeight="1">
      <c r="A40" s="84"/>
      <c r="B40" s="1467" t="s">
        <v>287</v>
      </c>
      <c r="C40" s="324" t="s">
        <v>9</v>
      </c>
      <c r="D40" s="265"/>
      <c r="E40" s="301"/>
      <c r="F40" s="1661" t="s">
        <v>3438</v>
      </c>
      <c r="G40" s="1661"/>
      <c r="H40" s="1574" t="s">
        <v>3436</v>
      </c>
      <c r="I40" s="1574"/>
      <c r="J40" s="301"/>
      <c r="K40" s="301"/>
      <c r="L40" s="84"/>
      <c r="M40" s="84"/>
      <c r="N40" s="84"/>
      <c r="Q40" s="84"/>
      <c r="R40" s="84"/>
      <c r="S40" s="84"/>
    </row>
    <row r="41" spans="1:19" ht="24" customHeight="1">
      <c r="A41" s="84"/>
      <c r="B41" s="1467"/>
      <c r="C41" s="324"/>
      <c r="D41" s="265"/>
      <c r="E41" s="301"/>
      <c r="F41" s="301"/>
      <c r="G41" s="1661" t="s">
        <v>3438</v>
      </c>
      <c r="H41" s="1661"/>
      <c r="I41" s="1574" t="s">
        <v>3437</v>
      </c>
      <c r="J41" s="1574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7.6" customHeight="1">
      <c r="A42" s="84"/>
      <c r="B42" s="1467"/>
      <c r="C42" s="290" t="s">
        <v>292</v>
      </c>
      <c r="D42" s="265"/>
      <c r="E42" s="301"/>
      <c r="F42" s="727" t="s">
        <v>3418</v>
      </c>
      <c r="G42" s="1663" t="s">
        <v>3397</v>
      </c>
      <c r="H42" s="1664"/>
      <c r="I42" s="1663" t="s">
        <v>3425</v>
      </c>
      <c r="J42" s="1664"/>
      <c r="K42" s="301"/>
      <c r="L42" s="84"/>
      <c r="M42" s="84"/>
      <c r="N42" s="84"/>
      <c r="R42" s="84"/>
      <c r="S42" s="84"/>
    </row>
    <row r="43" spans="1:19" ht="24.6" customHeight="1">
      <c r="A43" s="84"/>
      <c r="B43" s="1467"/>
      <c r="C43" s="325" t="s">
        <v>316</v>
      </c>
      <c r="D43" s="265"/>
      <c r="E43" s="301"/>
      <c r="F43" s="730" t="s">
        <v>3401</v>
      </c>
      <c r="H43" s="1658" t="s">
        <v>3410</v>
      </c>
      <c r="I43" s="1662"/>
      <c r="K43" s="301"/>
      <c r="L43" s="84"/>
      <c r="M43" s="84"/>
      <c r="P43" s="84"/>
      <c r="Q43" s="84"/>
      <c r="R43" s="84"/>
      <c r="S43" s="84"/>
    </row>
    <row r="44" spans="1:19" ht="24.6" customHeight="1">
      <c r="A44" s="84"/>
      <c r="B44" s="641" t="s">
        <v>317</v>
      </c>
      <c r="C44" s="125" t="s">
        <v>228</v>
      </c>
      <c r="D44" s="265"/>
      <c r="E44" s="345"/>
      <c r="F44" s="301"/>
      <c r="G44" s="301"/>
      <c r="H44" s="301"/>
      <c r="I44" s="301"/>
      <c r="J44" s="301"/>
      <c r="K44" s="301"/>
      <c r="L44" s="84"/>
      <c r="M44" s="84"/>
      <c r="P44" s="84"/>
      <c r="Q44" s="84"/>
      <c r="R44" s="84"/>
      <c r="S44" s="84"/>
    </row>
    <row r="45" spans="1:19" ht="24.6" customHeight="1">
      <c r="A45" s="84"/>
      <c r="B45" s="84"/>
      <c r="C45" s="269"/>
      <c r="D45" s="265"/>
      <c r="E45" s="26">
        <f>K35+1</f>
        <v>28</v>
      </c>
      <c r="F45" s="175">
        <f>E45+1</f>
        <v>29</v>
      </c>
      <c r="G45" s="175">
        <f>F45+1</f>
        <v>30</v>
      </c>
      <c r="H45" s="175">
        <f>G45+1</f>
        <v>31</v>
      </c>
      <c r="I45" s="175"/>
      <c r="J45" s="175"/>
      <c r="K45" s="175"/>
      <c r="L45" s="84"/>
      <c r="M45" s="84"/>
      <c r="N45" s="84"/>
      <c r="O45" s="84"/>
      <c r="P45" s="84"/>
      <c r="Q45" s="84"/>
      <c r="R45" s="84"/>
      <c r="S45" s="84"/>
    </row>
    <row r="46" spans="1:19" ht="24.6" customHeight="1">
      <c r="A46" s="84"/>
      <c r="B46" s="1467" t="s">
        <v>286</v>
      </c>
      <c r="C46" s="324" t="s">
        <v>9</v>
      </c>
      <c r="D46" s="265"/>
      <c r="E46" s="640"/>
      <c r="F46" s="640"/>
      <c r="G46" s="640"/>
      <c r="H46" s="640"/>
      <c r="I46" s="640"/>
      <c r="J46" s="640"/>
      <c r="K46" s="640"/>
      <c r="L46" s="84"/>
      <c r="M46" s="84"/>
      <c r="N46" s="84"/>
      <c r="Q46" s="84"/>
      <c r="R46" s="84"/>
      <c r="S46" s="84"/>
    </row>
    <row r="47" spans="1:19" ht="24.6" customHeight="1">
      <c r="A47" s="84"/>
      <c r="B47" s="1467"/>
      <c r="C47" s="290" t="s">
        <v>7</v>
      </c>
      <c r="D47" s="265"/>
      <c r="E47" s="640"/>
      <c r="F47" s="640"/>
      <c r="G47" s="640"/>
      <c r="H47" s="640"/>
      <c r="I47" s="640"/>
      <c r="J47" s="640"/>
      <c r="K47" s="640"/>
      <c r="L47" s="84"/>
      <c r="M47" s="84"/>
      <c r="N47" s="84"/>
      <c r="O47" s="84"/>
      <c r="P47" s="84"/>
      <c r="Q47" s="84"/>
      <c r="R47" s="84"/>
      <c r="S47" s="84"/>
    </row>
    <row r="48" spans="1:19" ht="24.6" customHeight="1">
      <c r="A48" s="84"/>
      <c r="B48" s="1467"/>
      <c r="C48" s="163" t="s">
        <v>389</v>
      </c>
      <c r="D48" s="265"/>
      <c r="E48" s="640"/>
      <c r="F48" s="640"/>
      <c r="G48" s="640"/>
      <c r="H48" s="640"/>
      <c r="I48" s="640"/>
      <c r="J48" s="640"/>
      <c r="K48" s="640"/>
      <c r="L48" s="84"/>
      <c r="M48" s="84"/>
      <c r="N48" s="84"/>
      <c r="O48" s="84"/>
      <c r="P48" s="84"/>
      <c r="Q48" s="84"/>
      <c r="R48" s="84"/>
      <c r="S48" s="84"/>
    </row>
    <row r="49" spans="1:19" ht="24.6" customHeight="1">
      <c r="A49" s="84"/>
      <c r="B49" s="1467"/>
      <c r="C49" s="325" t="s">
        <v>316</v>
      </c>
      <c r="D49" s="265"/>
      <c r="E49" s="640"/>
      <c r="F49" s="640"/>
      <c r="G49" s="640"/>
      <c r="H49" s="640"/>
      <c r="I49" s="640"/>
      <c r="J49" s="640"/>
      <c r="K49" s="640"/>
      <c r="L49" s="84"/>
      <c r="M49" s="84"/>
      <c r="N49" s="84"/>
      <c r="O49" s="84"/>
      <c r="P49" s="84"/>
      <c r="Q49" s="84"/>
      <c r="R49" s="84"/>
      <c r="S49" s="84"/>
    </row>
    <row r="50" spans="1:19" ht="24.6" customHeight="1">
      <c r="A50" s="84"/>
      <c r="B50" s="1467" t="s">
        <v>287</v>
      </c>
      <c r="C50" s="324" t="s">
        <v>9</v>
      </c>
      <c r="D50" s="265"/>
      <c r="E50" s="640"/>
      <c r="F50" s="708"/>
      <c r="G50" s="708"/>
      <c r="H50" s="640"/>
      <c r="I50" s="640"/>
      <c r="J50" s="640"/>
      <c r="K50" s="640"/>
      <c r="L50" s="84"/>
      <c r="M50" s="84"/>
      <c r="N50" s="84"/>
      <c r="O50" s="84"/>
      <c r="P50" s="84"/>
      <c r="Q50" s="84"/>
      <c r="R50" s="84"/>
      <c r="S50" s="84"/>
    </row>
    <row r="51" spans="1:19" ht="24.6" customHeight="1">
      <c r="A51" s="84"/>
      <c r="B51" s="1467"/>
      <c r="C51" s="324"/>
      <c r="D51" s="265"/>
      <c r="E51" s="645"/>
      <c r="F51" s="645"/>
      <c r="G51" s="708"/>
      <c r="H51" s="708"/>
      <c r="I51" s="645"/>
      <c r="J51" s="645"/>
      <c r="K51" s="645"/>
      <c r="L51" s="84"/>
      <c r="M51" s="84"/>
      <c r="N51" s="84"/>
      <c r="O51" s="84"/>
      <c r="P51" s="84"/>
      <c r="Q51" s="84"/>
      <c r="R51" s="84"/>
      <c r="S51" s="84"/>
    </row>
    <row r="52" spans="1:19" ht="24.6" customHeight="1">
      <c r="A52" s="84"/>
      <c r="B52" s="1467"/>
      <c r="C52" s="290" t="s">
        <v>292</v>
      </c>
      <c r="D52" s="265"/>
      <c r="E52" s="640"/>
      <c r="F52" s="1666" t="s">
        <v>3263</v>
      </c>
      <c r="G52" s="1667"/>
      <c r="H52" s="1667"/>
      <c r="I52" s="1667"/>
      <c r="J52" s="1668"/>
      <c r="K52" s="640"/>
      <c r="L52" s="84"/>
      <c r="M52" s="84"/>
      <c r="N52" s="84"/>
      <c r="O52" s="84"/>
      <c r="P52" s="84"/>
      <c r="Q52" s="84"/>
      <c r="R52" s="84"/>
      <c r="S52" s="84"/>
    </row>
    <row r="53" spans="1:19" ht="24.6" customHeight="1">
      <c r="A53" s="84"/>
      <c r="B53" s="1467"/>
      <c r="C53" s="325" t="s">
        <v>316</v>
      </c>
      <c r="D53" s="265"/>
      <c r="E53" s="640"/>
      <c r="F53" s="640"/>
      <c r="G53" s="640"/>
      <c r="H53" s="640"/>
      <c r="I53" s="640"/>
      <c r="J53" s="640"/>
      <c r="K53" s="640"/>
      <c r="L53" s="84"/>
      <c r="M53" s="84"/>
      <c r="N53" s="84"/>
      <c r="Q53" s="84"/>
      <c r="R53" s="84"/>
      <c r="S53" s="84"/>
    </row>
    <row r="54" spans="1:19" ht="24.6" customHeight="1">
      <c r="A54" s="84"/>
      <c r="B54" s="641" t="s">
        <v>317</v>
      </c>
      <c r="C54" s="125" t="s">
        <v>228</v>
      </c>
      <c r="D54" s="265"/>
      <c r="E54" s="640"/>
      <c r="F54" s="640"/>
      <c r="G54" s="640"/>
      <c r="H54" s="640"/>
      <c r="I54" s="640"/>
      <c r="J54" s="640"/>
      <c r="K54" s="640"/>
      <c r="L54" s="84"/>
      <c r="M54" s="84"/>
      <c r="R54" s="84"/>
      <c r="S54" s="84"/>
    </row>
  </sheetData>
  <mergeCells count="42">
    <mergeCell ref="E3:G3"/>
    <mergeCell ref="H3:K3"/>
    <mergeCell ref="I10:J10"/>
    <mergeCell ref="J11:K11"/>
    <mergeCell ref="J31:K31"/>
    <mergeCell ref="I30:J30"/>
    <mergeCell ref="G21:H21"/>
    <mergeCell ref="O9:P9"/>
    <mergeCell ref="O7:P7"/>
    <mergeCell ref="O8:P8"/>
    <mergeCell ref="B6:B9"/>
    <mergeCell ref="B10:B13"/>
    <mergeCell ref="B16:B19"/>
    <mergeCell ref="F10:G10"/>
    <mergeCell ref="G11:H11"/>
    <mergeCell ref="F13:G13"/>
    <mergeCell ref="B50:B53"/>
    <mergeCell ref="B26:B29"/>
    <mergeCell ref="B30:B33"/>
    <mergeCell ref="B36:B39"/>
    <mergeCell ref="B40:B43"/>
    <mergeCell ref="B46:B49"/>
    <mergeCell ref="B20:B23"/>
    <mergeCell ref="F20:G20"/>
    <mergeCell ref="F40:G40"/>
    <mergeCell ref="G31:H31"/>
    <mergeCell ref="F30:G30"/>
    <mergeCell ref="F52:J52"/>
    <mergeCell ref="O14:P14"/>
    <mergeCell ref="I20:J20"/>
    <mergeCell ref="J21:K21"/>
    <mergeCell ref="G41:H41"/>
    <mergeCell ref="H43:I43"/>
    <mergeCell ref="G42:H42"/>
    <mergeCell ref="I42:J42"/>
    <mergeCell ref="H22:J22"/>
    <mergeCell ref="I33:J33"/>
    <mergeCell ref="H32:I32"/>
    <mergeCell ref="G33:H33"/>
    <mergeCell ref="F32:G32"/>
    <mergeCell ref="H40:I40"/>
    <mergeCell ref="I41:J41"/>
  </mergeCells>
  <phoneticPr fontId="6" type="noConversion"/>
  <pageMargins left="0.7" right="0.7" top="0.75" bottom="0.75" header="0.3" footer="0.3"/>
  <pageSetup paperSize="9" scale="28" orientation="landscape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6">
    <pageSetUpPr fitToPage="1"/>
  </sheetPr>
  <dimension ref="A1:T54"/>
  <sheetViews>
    <sheetView topLeftCell="I6" zoomScale="85" zoomScaleNormal="85" workbookViewId="0">
      <selection activeCell="N22" sqref="N22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64.77734375" style="90" bestFit="1" customWidth="1"/>
    <col min="15" max="15" width="13.44140625" style="90" customWidth="1"/>
    <col min="16" max="16" width="13.44140625" style="702" customWidth="1"/>
    <col min="17" max="17" width="27.109375" style="90" customWidth="1"/>
    <col min="18" max="20" width="6.6640625" style="90" customWidth="1"/>
    <col min="21" max="16384" width="8.88671875" style="84"/>
  </cols>
  <sheetData>
    <row r="1" spans="1:20" ht="19.149999999999999">
      <c r="A1" s="84"/>
      <c r="B1" s="84"/>
      <c r="C1" s="5"/>
      <c r="D1" s="5"/>
      <c r="N1" s="683" t="s">
        <v>3296</v>
      </c>
      <c r="O1" s="683"/>
    </row>
    <row r="2" spans="1:20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  <c r="N2" s="701" t="s">
        <v>3290</v>
      </c>
      <c r="O2" s="777"/>
      <c r="P2" s="677" t="s">
        <v>3291</v>
      </c>
      <c r="Q2" s="700" t="s">
        <v>3292</v>
      </c>
    </row>
    <row r="3" spans="1:20" ht="57">
      <c r="A3" s="84"/>
      <c r="B3" s="84"/>
      <c r="C3" s="5"/>
      <c r="D3" s="5"/>
      <c r="E3" s="1450">
        <v>45505</v>
      </c>
      <c r="F3" s="1450"/>
      <c r="G3" s="1450"/>
      <c r="H3" s="1451" t="s">
        <v>10</v>
      </c>
      <c r="I3" s="1452"/>
      <c r="J3" s="1452"/>
      <c r="K3" s="1452"/>
      <c r="N3" s="685">
        <f>34000*N4</f>
        <v>204000</v>
      </c>
      <c r="O3" s="784"/>
      <c r="P3" s="786">
        <f>8528+10783+9600+6017+15000+2500+4000+12000</f>
        <v>68428</v>
      </c>
      <c r="Q3" s="684">
        <f>N3+P3</f>
        <v>272428</v>
      </c>
    </row>
    <row r="4" spans="1:20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701">
        <v>6</v>
      </c>
      <c r="O4" s="777"/>
      <c r="P4" s="677"/>
      <c r="Q4" s="684">
        <f>N4+P4</f>
        <v>6</v>
      </c>
      <c r="S4" s="90"/>
      <c r="T4" s="90"/>
    </row>
    <row r="5" spans="1:20" s="5" customFormat="1" ht="24.6" customHeight="1">
      <c r="E5" s="26"/>
      <c r="F5" s="175"/>
      <c r="G5" s="175"/>
      <c r="H5" s="175"/>
      <c r="I5" s="175">
        <f>H5+1</f>
        <v>1</v>
      </c>
      <c r="J5" s="175">
        <f>I5+1</f>
        <v>2</v>
      </c>
      <c r="K5" s="175">
        <f>J5+1</f>
        <v>3</v>
      </c>
      <c r="L5" s="90"/>
      <c r="M5" s="90"/>
      <c r="P5" s="776"/>
      <c r="S5" s="11"/>
      <c r="T5" s="90"/>
    </row>
    <row r="6" spans="1:20" s="5" customFormat="1" ht="24.6" customHeight="1">
      <c r="B6" s="1467" t="s">
        <v>286</v>
      </c>
      <c r="C6" s="324" t="s">
        <v>9</v>
      </c>
      <c r="D6" s="265"/>
      <c r="E6" s="640"/>
      <c r="F6" s="640"/>
      <c r="G6" s="640"/>
      <c r="H6" s="640"/>
      <c r="I6" s="640"/>
      <c r="J6" s="640"/>
      <c r="K6" s="640"/>
      <c r="L6" s="90"/>
      <c r="M6" s="90"/>
      <c r="N6" s="683" t="s">
        <v>2916</v>
      </c>
      <c r="O6" s="683"/>
      <c r="P6" s="776"/>
      <c r="S6" s="11"/>
      <c r="T6" s="90"/>
    </row>
    <row r="7" spans="1:20" s="5" customFormat="1" ht="24.6" customHeight="1">
      <c r="B7" s="1467"/>
      <c r="C7" s="290" t="s">
        <v>7</v>
      </c>
      <c r="D7" s="265"/>
      <c r="E7" s="640"/>
      <c r="F7" s="640"/>
      <c r="G7" s="640"/>
      <c r="H7" s="640"/>
      <c r="I7" s="640"/>
      <c r="J7" s="640"/>
      <c r="K7" s="640"/>
      <c r="L7" s="90"/>
      <c r="M7" s="90"/>
      <c r="N7" s="779" t="s">
        <v>2732</v>
      </c>
      <c r="O7" s="779" t="s">
        <v>3464</v>
      </c>
      <c r="P7" s="779" t="s">
        <v>3461</v>
      </c>
      <c r="Q7" s="779" t="s">
        <v>3466</v>
      </c>
      <c r="S7" s="11"/>
      <c r="T7" s="90"/>
    </row>
    <row r="8" spans="1:20" s="5" customFormat="1" ht="24.6" customHeight="1">
      <c r="B8" s="1467"/>
      <c r="C8" s="163" t="s">
        <v>389</v>
      </c>
      <c r="D8" s="265"/>
      <c r="E8" s="640"/>
      <c r="F8" s="640"/>
      <c r="G8" s="640"/>
      <c r="H8" s="640"/>
      <c r="I8" s="640"/>
      <c r="J8" s="640"/>
      <c r="K8" s="640"/>
      <c r="L8" s="90"/>
      <c r="M8" s="90"/>
      <c r="N8" s="751" t="s">
        <v>3460</v>
      </c>
      <c r="O8" s="785">
        <v>8528</v>
      </c>
      <c r="P8" s="787" t="s">
        <v>3474</v>
      </c>
      <c r="Q8" s="776" t="s">
        <v>3476</v>
      </c>
      <c r="S8" s="11"/>
      <c r="T8" s="90"/>
    </row>
    <row r="9" spans="1:20" s="5" customFormat="1" ht="24.6" customHeight="1">
      <c r="B9" s="1467"/>
      <c r="C9" s="325" t="s">
        <v>316</v>
      </c>
      <c r="D9" s="265"/>
      <c r="E9" s="640"/>
      <c r="F9" s="640"/>
      <c r="G9" s="640"/>
      <c r="H9" s="640"/>
      <c r="I9" s="640"/>
      <c r="J9" s="640"/>
      <c r="K9" s="640"/>
      <c r="L9" s="90"/>
      <c r="M9" s="90"/>
      <c r="N9" s="759" t="s">
        <v>3471</v>
      </c>
      <c r="O9" s="782">
        <v>16800</v>
      </c>
      <c r="P9" s="787" t="s">
        <v>3474</v>
      </c>
      <c r="Q9" s="776" t="s">
        <v>3476</v>
      </c>
      <c r="S9" s="11"/>
      <c r="T9" s="90"/>
    </row>
    <row r="10" spans="1:20" s="5" customFormat="1" ht="24.6" customHeight="1">
      <c r="B10" s="1467" t="s">
        <v>287</v>
      </c>
      <c r="C10" s="324" t="s">
        <v>9</v>
      </c>
      <c r="D10" s="265"/>
      <c r="E10" s="640"/>
      <c r="F10" s="640"/>
      <c r="G10" s="640"/>
      <c r="H10" s="640"/>
      <c r="I10" s="640"/>
      <c r="J10" s="640"/>
      <c r="K10" s="640"/>
      <c r="L10" s="90"/>
      <c r="M10" s="90"/>
      <c r="N10" s="752" t="s">
        <v>3453</v>
      </c>
      <c r="O10" s="782">
        <v>9600</v>
      </c>
      <c r="P10" s="787" t="s">
        <v>3474</v>
      </c>
      <c r="Q10" s="776" t="s">
        <v>3476</v>
      </c>
      <c r="S10" s="11"/>
      <c r="T10" s="90"/>
    </row>
    <row r="11" spans="1:20" s="5" customFormat="1" ht="24.6" customHeight="1">
      <c r="B11" s="1467"/>
      <c r="C11" s="290" t="s">
        <v>292</v>
      </c>
      <c r="D11" s="265"/>
      <c r="E11" s="640"/>
      <c r="F11" s="640"/>
      <c r="G11" s="640"/>
      <c r="H11" s="640"/>
      <c r="I11" s="667"/>
      <c r="J11" s="667"/>
      <c r="K11" s="640"/>
      <c r="L11" s="90"/>
      <c r="M11" s="90"/>
      <c r="N11" s="744" t="s">
        <v>3472</v>
      </c>
      <c r="O11" s="782">
        <v>15000</v>
      </c>
      <c r="P11" s="787" t="s">
        <v>3474</v>
      </c>
      <c r="Q11" s="776" t="s">
        <v>3476</v>
      </c>
      <c r="S11" s="11"/>
      <c r="T11" s="90"/>
    </row>
    <row r="12" spans="1:20" s="5" customFormat="1" ht="24.6" customHeight="1">
      <c r="B12" s="1467"/>
      <c r="C12" s="325" t="s">
        <v>316</v>
      </c>
      <c r="D12" s="265"/>
      <c r="E12" s="640"/>
      <c r="F12" s="1666" t="s">
        <v>3263</v>
      </c>
      <c r="G12" s="1669"/>
      <c r="H12" s="1669"/>
      <c r="I12" s="1669"/>
      <c r="J12" s="1668"/>
      <c r="K12" s="640"/>
      <c r="L12" s="90"/>
      <c r="M12" s="90"/>
      <c r="N12" s="752" t="s">
        <v>3422</v>
      </c>
      <c r="O12" s="782">
        <v>34000</v>
      </c>
      <c r="P12" s="788" t="s">
        <v>3473</v>
      </c>
      <c r="Q12" s="776" t="s">
        <v>3476</v>
      </c>
      <c r="S12" s="11"/>
      <c r="T12" s="90"/>
    </row>
    <row r="13" spans="1:20" s="5" customFormat="1" ht="24.6" customHeight="1">
      <c r="B13" s="641" t="s">
        <v>317</v>
      </c>
      <c r="C13" s="125" t="s">
        <v>228</v>
      </c>
      <c r="D13" s="265"/>
      <c r="E13" s="640"/>
      <c r="F13" s="640"/>
      <c r="G13" s="640"/>
      <c r="H13" s="640"/>
      <c r="I13" s="640"/>
      <c r="J13" s="640"/>
      <c r="K13" s="640"/>
      <c r="L13" s="90"/>
      <c r="M13" s="90"/>
      <c r="N13" s="753" t="s">
        <v>3450</v>
      </c>
      <c r="O13" s="782">
        <v>34000</v>
      </c>
      <c r="P13" s="788" t="s">
        <v>3473</v>
      </c>
      <c r="Q13" s="776" t="s">
        <v>3476</v>
      </c>
      <c r="S13" s="11"/>
      <c r="T13" s="90"/>
    </row>
    <row r="14" spans="1:20" ht="24.6" customHeight="1">
      <c r="A14" s="84"/>
      <c r="B14" s="84"/>
      <c r="C14" s="5"/>
      <c r="D14" s="5"/>
      <c r="E14" s="266">
        <f>K5+1</f>
        <v>4</v>
      </c>
      <c r="F14" s="65">
        <f t="shared" ref="F14:K14" si="0">E14+1</f>
        <v>5</v>
      </c>
      <c r="G14" s="65">
        <f t="shared" si="0"/>
        <v>6</v>
      </c>
      <c r="H14" s="65">
        <f t="shared" si="0"/>
        <v>7</v>
      </c>
      <c r="I14" s="65">
        <f t="shared" si="0"/>
        <v>8</v>
      </c>
      <c r="J14" s="65">
        <f t="shared" si="0"/>
        <v>9</v>
      </c>
      <c r="K14" s="65">
        <f t="shared" si="0"/>
        <v>10</v>
      </c>
      <c r="N14" s="753" t="s">
        <v>3451</v>
      </c>
      <c r="O14" s="782">
        <v>34000</v>
      </c>
      <c r="P14" s="788" t="s">
        <v>3473</v>
      </c>
      <c r="Q14" s="776" t="s">
        <v>3476</v>
      </c>
    </row>
    <row r="15" spans="1:20" ht="24.6" customHeight="1">
      <c r="A15" s="84"/>
      <c r="B15" s="1467" t="s">
        <v>286</v>
      </c>
      <c r="C15" s="324" t="s">
        <v>9</v>
      </c>
      <c r="D15" s="265"/>
      <c r="E15" s="301"/>
      <c r="F15" s="301"/>
      <c r="G15" s="301"/>
      <c r="H15" s="301"/>
      <c r="I15" s="301"/>
      <c r="J15" s="301"/>
      <c r="K15" s="301"/>
      <c r="N15" s="755" t="s">
        <v>3440</v>
      </c>
      <c r="O15" s="782">
        <v>2500</v>
      </c>
      <c r="P15" s="787" t="s">
        <v>3474</v>
      </c>
      <c r="Q15" s="776" t="s">
        <v>3476</v>
      </c>
    </row>
    <row r="16" spans="1:20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301"/>
      <c r="K16" s="301"/>
      <c r="N16" s="774" t="s">
        <v>3441</v>
      </c>
      <c r="O16" s="782">
        <v>34000</v>
      </c>
      <c r="P16" s="788" t="s">
        <v>3473</v>
      </c>
      <c r="Q16" s="776" t="s">
        <v>3476</v>
      </c>
    </row>
    <row r="17" spans="1:20" ht="24.6" customHeight="1">
      <c r="A17" s="84"/>
      <c r="B17" s="1467"/>
      <c r="C17" s="163" t="s">
        <v>389</v>
      </c>
      <c r="D17" s="265"/>
      <c r="E17" s="301"/>
      <c r="F17" s="301"/>
      <c r="G17" s="301"/>
      <c r="H17" s="301"/>
      <c r="I17" s="301"/>
      <c r="J17" s="301"/>
      <c r="K17" s="301"/>
      <c r="N17" s="758" t="s">
        <v>3470</v>
      </c>
      <c r="O17" s="782">
        <v>2400</v>
      </c>
      <c r="P17" s="787" t="s">
        <v>3474</v>
      </c>
      <c r="Q17" s="776" t="s">
        <v>3476</v>
      </c>
    </row>
    <row r="18" spans="1:20" ht="24.6" customHeight="1">
      <c r="A18" s="84"/>
      <c r="B18" s="1467"/>
      <c r="C18" s="325" t="s">
        <v>316</v>
      </c>
      <c r="D18" s="265"/>
      <c r="E18" s="301"/>
      <c r="F18" s="301"/>
      <c r="G18" s="301"/>
      <c r="H18" s="301"/>
      <c r="I18" s="301"/>
      <c r="J18" s="301"/>
      <c r="K18" s="301"/>
      <c r="N18" s="753" t="s">
        <v>3503</v>
      </c>
      <c r="O18" s="782">
        <v>12000</v>
      </c>
      <c r="P18" s="787" t="s">
        <v>3474</v>
      </c>
      <c r="Q18" s="776" t="s">
        <v>3476</v>
      </c>
    </row>
    <row r="19" spans="1:20" ht="24.6" customHeight="1">
      <c r="A19" s="84"/>
      <c r="B19" s="1467" t="s">
        <v>287</v>
      </c>
      <c r="C19" s="324" t="s">
        <v>9</v>
      </c>
      <c r="D19" s="265"/>
      <c r="E19" s="301"/>
      <c r="F19" s="301"/>
      <c r="G19" s="301"/>
      <c r="H19" s="301"/>
      <c r="I19" s="301"/>
      <c r="J19" s="301"/>
      <c r="K19" s="301"/>
      <c r="N19" s="753" t="s">
        <v>3421</v>
      </c>
      <c r="O19" s="782">
        <v>34000</v>
      </c>
      <c r="P19" s="788" t="s">
        <v>3473</v>
      </c>
      <c r="Q19" s="776" t="s">
        <v>3476</v>
      </c>
    </row>
    <row r="20" spans="1:20" ht="24" customHeight="1">
      <c r="A20" s="84"/>
      <c r="B20" s="1467"/>
      <c r="C20" s="290" t="s">
        <v>292</v>
      </c>
      <c r="D20" s="265"/>
      <c r="E20" s="301"/>
      <c r="F20" s="301"/>
      <c r="G20" s="301"/>
      <c r="H20" s="301"/>
      <c r="I20" s="301"/>
      <c r="J20" s="301"/>
      <c r="K20" s="301"/>
      <c r="N20" s="753" t="s">
        <v>3455</v>
      </c>
      <c r="O20" s="782">
        <v>34000</v>
      </c>
      <c r="P20" s="788" t="s">
        <v>3473</v>
      </c>
      <c r="Q20" s="776" t="s">
        <v>3475</v>
      </c>
    </row>
    <row r="21" spans="1:20" ht="24" customHeight="1">
      <c r="A21" s="84"/>
      <c r="B21" s="1467"/>
      <c r="C21" s="325" t="s">
        <v>316</v>
      </c>
      <c r="D21" s="265"/>
      <c r="E21" s="301"/>
      <c r="F21" s="1670" t="s">
        <v>3432</v>
      </c>
      <c r="G21" s="1671"/>
      <c r="H21" s="1671"/>
      <c r="I21" s="1671"/>
      <c r="J21" s="1672"/>
      <c r="K21" s="301"/>
    </row>
    <row r="22" spans="1:20" ht="24.6" customHeight="1">
      <c r="A22" s="84"/>
      <c r="B22" s="641" t="s">
        <v>317</v>
      </c>
      <c r="C22" s="125" t="s">
        <v>228</v>
      </c>
      <c r="D22" s="265"/>
      <c r="E22" s="301"/>
      <c r="F22" s="301" t="s">
        <v>193</v>
      </c>
      <c r="G22" s="301"/>
      <c r="H22" s="301"/>
      <c r="I22" s="301"/>
      <c r="J22" s="301"/>
      <c r="K22" s="301"/>
    </row>
    <row r="23" spans="1:20" ht="24.6" customHeight="1">
      <c r="A23" s="84"/>
      <c r="B23" s="84"/>
      <c r="C23" s="5"/>
      <c r="D23" s="5"/>
      <c r="E23" s="26">
        <f>K14+1</f>
        <v>11</v>
      </c>
      <c r="F23" s="175">
        <f t="shared" ref="F23:K23" si="1">E23+1</f>
        <v>12</v>
      </c>
      <c r="G23" s="175">
        <f t="shared" si="1"/>
        <v>13</v>
      </c>
      <c r="H23" s="175">
        <f t="shared" si="1"/>
        <v>14</v>
      </c>
      <c r="I23" s="175">
        <f t="shared" si="1"/>
        <v>15</v>
      </c>
      <c r="J23" s="175">
        <f t="shared" si="1"/>
        <v>16</v>
      </c>
      <c r="K23" s="175">
        <f t="shared" si="1"/>
        <v>17</v>
      </c>
    </row>
    <row r="24" spans="1:20" ht="24.6" customHeight="1">
      <c r="A24" s="84"/>
      <c r="B24" s="1467" t="s">
        <v>286</v>
      </c>
      <c r="C24" s="324" t="s">
        <v>9</v>
      </c>
      <c r="D24" s="265"/>
      <c r="E24" s="640"/>
      <c r="F24" s="640"/>
      <c r="G24" s="640"/>
      <c r="H24" s="640"/>
      <c r="I24" s="640"/>
      <c r="J24" s="640"/>
      <c r="K24" s="640"/>
    </row>
    <row r="25" spans="1:20" ht="24.6" customHeight="1">
      <c r="A25" s="84"/>
      <c r="B25" s="1467"/>
      <c r="C25" s="290" t="s">
        <v>7</v>
      </c>
      <c r="D25" s="265"/>
      <c r="E25" s="640"/>
      <c r="F25" s="640"/>
      <c r="G25" s="640"/>
      <c r="H25" s="640"/>
      <c r="I25" s="640"/>
      <c r="J25" s="640"/>
      <c r="K25" s="640"/>
      <c r="L25" s="84"/>
      <c r="S25" s="84"/>
      <c r="T25" s="84"/>
    </row>
    <row r="26" spans="1:20" ht="24.6" customHeight="1">
      <c r="A26" s="84"/>
      <c r="B26" s="1467"/>
      <c r="C26" s="163" t="s">
        <v>389</v>
      </c>
      <c r="D26" s="265"/>
      <c r="E26" s="640"/>
      <c r="F26" s="640"/>
      <c r="G26" s="640"/>
      <c r="H26" s="640"/>
      <c r="I26" s="640"/>
      <c r="J26" s="640"/>
      <c r="K26" s="640"/>
      <c r="L26" s="84"/>
      <c r="M26" s="84"/>
      <c r="R26" s="84"/>
      <c r="S26" s="84"/>
      <c r="T26" s="84"/>
    </row>
    <row r="27" spans="1:20" ht="24.6" customHeight="1">
      <c r="A27" s="84"/>
      <c r="B27" s="1467"/>
      <c r="C27" s="325" t="s">
        <v>316</v>
      </c>
      <c r="D27" s="265"/>
      <c r="E27" s="640"/>
      <c r="F27" s="640"/>
      <c r="G27" s="640"/>
      <c r="H27" s="640"/>
      <c r="I27" s="640"/>
      <c r="J27" s="640"/>
      <c r="K27" s="640"/>
      <c r="L27" s="84"/>
      <c r="M27" s="84"/>
      <c r="R27" s="84"/>
      <c r="S27" s="84"/>
      <c r="T27" s="84"/>
    </row>
    <row r="28" spans="1:20" ht="24.6" customHeight="1">
      <c r="A28" s="84"/>
      <c r="B28" s="1467" t="s">
        <v>287</v>
      </c>
      <c r="C28" s="324" t="s">
        <v>9</v>
      </c>
      <c r="D28" s="265"/>
      <c r="E28" s="640"/>
      <c r="F28" s="640"/>
      <c r="G28" s="760"/>
      <c r="H28" s="761"/>
      <c r="I28" s="640"/>
      <c r="J28" s="640"/>
      <c r="K28" s="640"/>
      <c r="L28" s="84"/>
      <c r="M28" s="84"/>
      <c r="R28" s="84"/>
      <c r="S28" s="84"/>
      <c r="T28" s="84"/>
    </row>
    <row r="29" spans="1:20" ht="24.6" customHeight="1">
      <c r="A29" s="84"/>
      <c r="B29" s="1467"/>
      <c r="C29" s="290" t="s">
        <v>292</v>
      </c>
      <c r="D29" s="265"/>
      <c r="E29" s="640"/>
      <c r="F29" s="751" t="s">
        <v>3489</v>
      </c>
      <c r="G29" s="752" t="s">
        <v>3490</v>
      </c>
      <c r="H29" s="744" t="s">
        <v>3491</v>
      </c>
      <c r="I29" s="706"/>
      <c r="J29" s="706"/>
      <c r="K29" s="640"/>
      <c r="L29" s="84"/>
      <c r="M29" s="84"/>
      <c r="R29" s="84"/>
      <c r="S29" s="84"/>
      <c r="T29" s="84"/>
    </row>
    <row r="30" spans="1:20" ht="24.6" customHeight="1">
      <c r="A30" s="84"/>
      <c r="B30" s="1467"/>
      <c r="C30" s="325" t="s">
        <v>316</v>
      </c>
      <c r="D30" s="265"/>
      <c r="E30" s="640"/>
      <c r="F30" s="759" t="s">
        <v>3502</v>
      </c>
      <c r="G30" s="759" t="s">
        <v>3452</v>
      </c>
      <c r="H30" s="757"/>
      <c r="I30" s="640"/>
      <c r="J30" s="640"/>
      <c r="K30" s="640"/>
      <c r="L30" s="84"/>
      <c r="M30" s="84"/>
      <c r="R30" s="84"/>
      <c r="S30" s="84"/>
      <c r="T30" s="84"/>
    </row>
    <row r="31" spans="1:20" ht="24.6" customHeight="1">
      <c r="A31" s="84"/>
      <c r="B31" s="641" t="s">
        <v>317</v>
      </c>
      <c r="C31" s="125" t="s">
        <v>228</v>
      </c>
      <c r="D31" s="265"/>
      <c r="E31" s="640"/>
      <c r="F31" s="640"/>
      <c r="G31" s="640"/>
      <c r="H31" s="640"/>
      <c r="I31" s="125" t="s">
        <v>379</v>
      </c>
      <c r="J31" s="125" t="s">
        <v>3435</v>
      </c>
      <c r="K31" s="640"/>
      <c r="L31" s="84"/>
      <c r="M31" s="84"/>
      <c r="R31" s="84"/>
      <c r="S31" s="84"/>
      <c r="T31" s="84"/>
    </row>
    <row r="32" spans="1:20" ht="24.6" customHeight="1">
      <c r="A32" s="84"/>
      <c r="B32" s="84"/>
      <c r="C32" s="5"/>
      <c r="D32" s="5"/>
      <c r="E32" s="266">
        <f>K23+1</f>
        <v>18</v>
      </c>
      <c r="F32" s="304">
        <f t="shared" ref="F32:K32" si="2">E32+1</f>
        <v>19</v>
      </c>
      <c r="G32" s="304">
        <f t="shared" si="2"/>
        <v>20</v>
      </c>
      <c r="H32" s="304">
        <f t="shared" si="2"/>
        <v>21</v>
      </c>
      <c r="I32" s="304">
        <f t="shared" si="2"/>
        <v>22</v>
      </c>
      <c r="J32" s="304">
        <f t="shared" si="2"/>
        <v>23</v>
      </c>
      <c r="K32" s="65">
        <f t="shared" si="2"/>
        <v>24</v>
      </c>
      <c r="L32" s="84"/>
      <c r="M32" s="84"/>
      <c r="R32" s="84"/>
      <c r="S32" s="84"/>
      <c r="T32" s="84"/>
    </row>
    <row r="33" spans="1:20" ht="24.6" customHeight="1">
      <c r="A33" s="84"/>
      <c r="B33" s="1467" t="s">
        <v>286</v>
      </c>
      <c r="C33" s="324" t="s">
        <v>9</v>
      </c>
      <c r="D33" s="265"/>
      <c r="E33" s="301"/>
      <c r="F33" s="301"/>
      <c r="G33" s="301"/>
      <c r="H33" s="301"/>
      <c r="I33" s="301"/>
      <c r="J33" s="301"/>
      <c r="K33" s="301"/>
      <c r="L33" s="84"/>
      <c r="M33" s="84"/>
      <c r="R33" s="84"/>
      <c r="S33" s="84"/>
      <c r="T33" s="84"/>
    </row>
    <row r="34" spans="1:20" ht="24.6" customHeight="1">
      <c r="A34" s="84"/>
      <c r="B34" s="1467"/>
      <c r="C34" s="290" t="s">
        <v>7</v>
      </c>
      <c r="D34" s="265"/>
      <c r="E34" s="301"/>
      <c r="F34" s="301"/>
      <c r="G34" s="301"/>
      <c r="H34" s="301"/>
      <c r="I34" s="301"/>
      <c r="J34" s="301"/>
      <c r="K34" s="301"/>
      <c r="L34" s="84"/>
      <c r="M34" s="84"/>
      <c r="R34" s="84"/>
      <c r="S34" s="84"/>
      <c r="T34" s="84"/>
    </row>
    <row r="35" spans="1:20" ht="24.6" customHeight="1">
      <c r="A35" s="84"/>
      <c r="B35" s="1467"/>
      <c r="C35" s="163" t="s">
        <v>389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R35" s="84"/>
      <c r="S35" s="84"/>
      <c r="T35" s="84"/>
    </row>
    <row r="36" spans="1:20" ht="24.6" customHeight="1">
      <c r="A36" s="84"/>
      <c r="B36" s="1467"/>
      <c r="C36" s="325" t="s">
        <v>316</v>
      </c>
      <c r="D36" s="265"/>
      <c r="E36" s="301"/>
      <c r="G36" s="301"/>
      <c r="H36" s="301"/>
      <c r="I36" s="301"/>
      <c r="J36" s="301"/>
      <c r="K36" s="301"/>
      <c r="L36" s="84"/>
      <c r="M36" s="84"/>
      <c r="R36" s="84"/>
      <c r="S36" s="84"/>
      <c r="T36" s="84"/>
    </row>
    <row r="37" spans="1:20" ht="24" customHeight="1">
      <c r="A37" s="84"/>
      <c r="B37" s="1467" t="s">
        <v>287</v>
      </c>
      <c r="C37" s="324" t="s">
        <v>9</v>
      </c>
      <c r="D37" s="265"/>
      <c r="E37" s="301"/>
      <c r="G37" s="301"/>
      <c r="H37" s="301"/>
      <c r="J37" s="301"/>
      <c r="K37" s="301"/>
      <c r="L37" s="84"/>
      <c r="M37" s="84"/>
      <c r="R37" s="84"/>
      <c r="S37" s="84"/>
      <c r="T37" s="84"/>
    </row>
    <row r="38" spans="1:20" ht="24.6" customHeight="1">
      <c r="A38" s="84"/>
      <c r="B38" s="1467"/>
      <c r="C38" s="290" t="s">
        <v>292</v>
      </c>
      <c r="D38" s="265"/>
      <c r="E38" s="301"/>
      <c r="F38" s="752" t="s">
        <v>3492</v>
      </c>
      <c r="G38" s="301"/>
      <c r="H38" s="1673" t="s">
        <v>3493</v>
      </c>
      <c r="I38" s="1673"/>
      <c r="J38" s="755" t="s">
        <v>3440</v>
      </c>
      <c r="K38" s="301"/>
      <c r="L38" s="84"/>
      <c r="M38" s="84"/>
      <c r="R38" s="84"/>
      <c r="S38" s="84"/>
      <c r="T38" s="84"/>
    </row>
    <row r="39" spans="1:20" ht="24.6" customHeight="1">
      <c r="A39" s="84"/>
      <c r="B39" s="1467"/>
      <c r="C39" s="325" t="s">
        <v>316</v>
      </c>
      <c r="D39" s="265"/>
      <c r="E39" s="301"/>
      <c r="G39" s="301"/>
      <c r="H39" s="301"/>
      <c r="I39" s="1673" t="s">
        <v>3494</v>
      </c>
      <c r="J39" s="1673"/>
      <c r="K39" s="301"/>
      <c r="L39" s="84"/>
      <c r="M39" s="84"/>
      <c r="R39" s="84"/>
      <c r="S39" s="84"/>
      <c r="T39" s="84"/>
    </row>
    <row r="40" spans="1:20" ht="24.6" customHeight="1">
      <c r="A40" s="84"/>
      <c r="B40" s="641" t="s">
        <v>317</v>
      </c>
      <c r="C40" s="125" t="s">
        <v>228</v>
      </c>
      <c r="D40" s="265"/>
      <c r="E40" s="345"/>
      <c r="F40" s="301"/>
      <c r="G40" s="301"/>
      <c r="H40" s="301"/>
      <c r="J40" s="301"/>
      <c r="K40" s="301"/>
      <c r="L40" s="84"/>
      <c r="M40" s="84"/>
      <c r="P40" s="778"/>
      <c r="Q40" s="84"/>
      <c r="R40" s="84"/>
      <c r="S40" s="84"/>
      <c r="T40" s="84"/>
    </row>
    <row r="41" spans="1:20" ht="24.6" customHeight="1">
      <c r="A41" s="84"/>
      <c r="B41" s="84"/>
      <c r="C41" s="269"/>
      <c r="D41" s="265"/>
      <c r="E41" s="26">
        <f>K32+1</f>
        <v>25</v>
      </c>
      <c r="F41" s="175">
        <f t="shared" ref="F41:K41" si="3">E41+1</f>
        <v>26</v>
      </c>
      <c r="G41" s="175">
        <f t="shared" si="3"/>
        <v>27</v>
      </c>
      <c r="H41" s="175">
        <f t="shared" si="3"/>
        <v>28</v>
      </c>
      <c r="I41" s="175">
        <f t="shared" si="3"/>
        <v>29</v>
      </c>
      <c r="J41" s="175">
        <f t="shared" si="3"/>
        <v>30</v>
      </c>
      <c r="K41" s="175">
        <f t="shared" si="3"/>
        <v>31</v>
      </c>
      <c r="L41" s="84"/>
      <c r="M41" s="84"/>
      <c r="Q41" s="84"/>
      <c r="R41" s="84"/>
      <c r="S41" s="84"/>
      <c r="T41" s="84"/>
    </row>
    <row r="42" spans="1:20" ht="24.6" customHeight="1">
      <c r="A42" s="84"/>
      <c r="B42" s="1467" t="s">
        <v>286</v>
      </c>
      <c r="C42" s="324" t="s">
        <v>9</v>
      </c>
      <c r="D42" s="265"/>
      <c r="E42" s="640"/>
      <c r="F42" s="640"/>
      <c r="G42" s="640"/>
      <c r="H42" s="640"/>
      <c r="I42" s="640"/>
      <c r="J42" s="640"/>
      <c r="K42" s="640"/>
      <c r="L42" s="84"/>
      <c r="M42" s="84"/>
      <c r="P42" s="778"/>
      <c r="Q42" s="84"/>
      <c r="R42" s="84"/>
      <c r="S42" s="84"/>
      <c r="T42" s="84"/>
    </row>
    <row r="43" spans="1:20" ht="24.6" customHeight="1">
      <c r="A43" s="84"/>
      <c r="B43" s="1467"/>
      <c r="C43" s="290" t="s">
        <v>7</v>
      </c>
      <c r="D43" s="265"/>
      <c r="E43" s="640"/>
      <c r="F43" s="640"/>
      <c r="G43" s="764"/>
      <c r="H43" s="764"/>
      <c r="I43" s="640"/>
      <c r="J43" s="640"/>
      <c r="K43" s="640"/>
      <c r="L43" s="84"/>
      <c r="M43" s="84"/>
      <c r="P43" s="778"/>
      <c r="Q43" s="84"/>
      <c r="R43" s="84"/>
      <c r="S43" s="84"/>
      <c r="T43" s="84"/>
    </row>
    <row r="44" spans="1:20" ht="24.6" customHeight="1">
      <c r="A44" s="84"/>
      <c r="B44" s="1467"/>
      <c r="C44" s="163" t="s">
        <v>389</v>
      </c>
      <c r="D44" s="265"/>
      <c r="E44" s="640"/>
      <c r="F44" s="640"/>
      <c r="G44" s="640"/>
      <c r="H44" s="640"/>
      <c r="I44" s="640"/>
      <c r="J44" s="640"/>
      <c r="K44" s="640"/>
      <c r="L44" s="84"/>
      <c r="M44" s="84"/>
      <c r="P44" s="778"/>
      <c r="Q44" s="84"/>
      <c r="R44" s="84"/>
      <c r="S44" s="84"/>
      <c r="T44" s="84"/>
    </row>
    <row r="45" spans="1:20" ht="24.6" customHeight="1">
      <c r="A45" s="84"/>
      <c r="B45" s="1467"/>
      <c r="C45" s="325" t="s">
        <v>316</v>
      </c>
      <c r="D45" s="265"/>
      <c r="E45" s="640"/>
      <c r="F45" s="765"/>
      <c r="G45" s="765"/>
      <c r="H45" s="764"/>
      <c r="I45" s="764"/>
      <c r="J45" s="764"/>
      <c r="K45" s="640"/>
      <c r="L45" s="84"/>
      <c r="M45" s="84"/>
      <c r="P45" s="778"/>
      <c r="Q45" s="84"/>
      <c r="R45" s="84"/>
      <c r="S45" s="84"/>
      <c r="T45" s="84"/>
    </row>
    <row r="46" spans="1:20" ht="24.6" customHeight="1">
      <c r="A46" s="84"/>
      <c r="B46" s="1467" t="s">
        <v>287</v>
      </c>
      <c r="C46" s="324" t="s">
        <v>9</v>
      </c>
      <c r="D46" s="265"/>
      <c r="E46" s="640"/>
      <c r="F46" s="765"/>
      <c r="G46" s="764"/>
      <c r="H46" s="750"/>
      <c r="I46" s="765"/>
      <c r="J46" s="765"/>
      <c r="K46" s="640"/>
      <c r="L46" s="84"/>
      <c r="M46" s="84"/>
      <c r="P46" s="778"/>
      <c r="Q46" s="84"/>
      <c r="R46" s="84"/>
      <c r="S46" s="84"/>
      <c r="T46" s="84"/>
    </row>
    <row r="47" spans="1:20" ht="24.6" customHeight="1">
      <c r="A47" s="84"/>
      <c r="B47" s="1467"/>
      <c r="C47" s="290" t="s">
        <v>292</v>
      </c>
      <c r="D47" s="265"/>
      <c r="E47" s="640"/>
      <c r="F47" s="774" t="s">
        <v>3495</v>
      </c>
      <c r="G47" s="766"/>
      <c r="H47" s="765"/>
      <c r="I47" s="753" t="s">
        <v>3497</v>
      </c>
      <c r="J47" s="765"/>
      <c r="K47" s="640"/>
      <c r="L47" s="84"/>
      <c r="M47" s="84"/>
      <c r="P47" s="778"/>
      <c r="Q47" s="84"/>
      <c r="R47" s="84"/>
      <c r="S47" s="84"/>
      <c r="T47" s="84"/>
    </row>
    <row r="48" spans="1:20" ht="28.9" customHeight="1">
      <c r="A48" s="84"/>
      <c r="B48" s="1467"/>
      <c r="C48" s="325" t="s">
        <v>316</v>
      </c>
      <c r="D48" s="265"/>
      <c r="E48" s="640"/>
      <c r="F48" s="764"/>
      <c r="G48" s="753" t="s">
        <v>3455</v>
      </c>
      <c r="H48" s="758" t="s">
        <v>3496</v>
      </c>
      <c r="I48" s="1674" t="s">
        <v>3421</v>
      </c>
      <c r="J48" s="1674"/>
      <c r="K48" s="640"/>
      <c r="L48" s="84"/>
      <c r="M48" s="84"/>
      <c r="N48" s="84"/>
      <c r="O48" s="84"/>
      <c r="P48" s="778"/>
      <c r="Q48" s="84"/>
      <c r="R48" s="84"/>
      <c r="S48" s="84"/>
      <c r="T48" s="84"/>
    </row>
    <row r="49" spans="1:20" ht="24.6" customHeight="1">
      <c r="A49" s="84"/>
      <c r="B49" s="641" t="s">
        <v>317</v>
      </c>
      <c r="C49" s="125" t="s">
        <v>228</v>
      </c>
      <c r="D49" s="265"/>
      <c r="E49" s="640"/>
      <c r="F49" s="640"/>
      <c r="G49" s="640"/>
      <c r="H49" s="640"/>
      <c r="I49" s="762"/>
      <c r="J49" s="640"/>
      <c r="K49" s="640"/>
      <c r="L49" s="84"/>
      <c r="M49" s="84"/>
      <c r="N49" s="84"/>
      <c r="O49" s="84"/>
      <c r="P49" s="778"/>
      <c r="Q49" s="84"/>
      <c r="R49" s="84"/>
      <c r="S49" s="84"/>
      <c r="T49" s="84"/>
    </row>
    <row r="50" spans="1:20">
      <c r="N50" s="84"/>
      <c r="O50" s="84"/>
      <c r="P50" s="778"/>
      <c r="R50" s="84"/>
    </row>
    <row r="51" spans="1:20">
      <c r="N51" s="84"/>
      <c r="O51" s="84"/>
    </row>
    <row r="52" spans="1:20">
      <c r="N52" s="84"/>
      <c r="O52" s="84"/>
    </row>
    <row r="53" spans="1:20">
      <c r="N53" s="84"/>
      <c r="O53" s="84"/>
    </row>
    <row r="54" spans="1:20">
      <c r="N54" s="84"/>
      <c r="O54" s="84"/>
    </row>
  </sheetData>
  <mergeCells count="17">
    <mergeCell ref="B19:B21"/>
    <mergeCell ref="F21:J21"/>
    <mergeCell ref="B46:B48"/>
    <mergeCell ref="B24:B27"/>
    <mergeCell ref="H38:I38"/>
    <mergeCell ref="I39:J39"/>
    <mergeCell ref="I48:J48"/>
    <mergeCell ref="B28:B30"/>
    <mergeCell ref="B33:B36"/>
    <mergeCell ref="B37:B39"/>
    <mergeCell ref="B42:B45"/>
    <mergeCell ref="E3:G3"/>
    <mergeCell ref="H3:K3"/>
    <mergeCell ref="B6:B9"/>
    <mergeCell ref="B10:B12"/>
    <mergeCell ref="B15:B18"/>
    <mergeCell ref="F12:J12"/>
  </mergeCells>
  <phoneticPr fontId="6" type="noConversion"/>
  <pageMargins left="0.7" right="0.7" top="0.75" bottom="0.75" header="0.3" footer="0.3"/>
  <pageSetup paperSize="9" scale="32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7">
    <pageSetUpPr fitToPage="1"/>
  </sheetPr>
  <dimension ref="A1:T53"/>
  <sheetViews>
    <sheetView topLeftCell="A4" zoomScale="70" zoomScaleNormal="70" workbookViewId="0">
      <selection activeCell="H23" sqref="H23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40.44140625" style="90" bestFit="1" customWidth="1"/>
    <col min="15" max="15" width="14.21875" style="90" customWidth="1"/>
    <col min="16" max="16" width="18.77734375" style="90" customWidth="1"/>
    <col min="17" max="17" width="37.88671875" style="90" bestFit="1" customWidth="1"/>
    <col min="18" max="19" width="6.6640625" style="90" customWidth="1"/>
    <col min="20" max="16384" width="8.88671875" style="84"/>
  </cols>
  <sheetData>
    <row r="1" spans="1:20" ht="19.149999999999999">
      <c r="A1" s="84"/>
      <c r="B1" s="84"/>
      <c r="C1" s="5"/>
      <c r="D1" s="5"/>
      <c r="N1" s="683" t="s">
        <v>3296</v>
      </c>
      <c r="O1" s="683"/>
    </row>
    <row r="2" spans="1:20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  <c r="N2" s="770" t="s">
        <v>3290</v>
      </c>
      <c r="O2" s="1515" t="s">
        <v>3291</v>
      </c>
      <c r="P2" s="1517"/>
      <c r="Q2" s="769" t="s">
        <v>3292</v>
      </c>
    </row>
    <row r="3" spans="1:20" ht="57">
      <c r="A3" s="84"/>
      <c r="B3" s="84"/>
      <c r="C3" s="5"/>
      <c r="D3" s="5"/>
      <c r="E3" s="1450">
        <v>45536</v>
      </c>
      <c r="F3" s="1450"/>
      <c r="G3" s="1450"/>
      <c r="H3" s="1451" t="s">
        <v>10</v>
      </c>
      <c r="I3" s="1452"/>
      <c r="J3" s="1452"/>
      <c r="K3" s="1452"/>
      <c r="N3" s="685">
        <f>SUMIF($P$8:$P$17,"F",$O$8:$O$17)</f>
        <v>238000</v>
      </c>
      <c r="O3" s="1675">
        <f>SUMIF($P$8:$P$17,"S",$O$8:$O$17)</f>
        <v>10100</v>
      </c>
      <c r="P3" s="1676"/>
      <c r="Q3" s="684">
        <f>N3+O3</f>
        <v>248100</v>
      </c>
    </row>
    <row r="4" spans="1:20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</row>
    <row r="5" spans="1:20" s="5" customFormat="1" ht="24.6" customHeight="1">
      <c r="E5" s="26">
        <f t="shared" ref="E5:J5" si="0">D5+1</f>
        <v>1</v>
      </c>
      <c r="F5" s="175">
        <f t="shared" si="0"/>
        <v>2</v>
      </c>
      <c r="G5" s="175">
        <f t="shared" si="0"/>
        <v>3</v>
      </c>
      <c r="H5" s="175">
        <f t="shared" si="0"/>
        <v>4</v>
      </c>
      <c r="I5" s="175">
        <f t="shared" si="0"/>
        <v>5</v>
      </c>
      <c r="J5" s="175">
        <f t="shared" si="0"/>
        <v>6</v>
      </c>
      <c r="K5" s="175">
        <f>J5+1</f>
        <v>7</v>
      </c>
      <c r="L5" s="90"/>
      <c r="M5" s="90"/>
      <c r="R5" s="11"/>
      <c r="S5" s="90"/>
    </row>
    <row r="6" spans="1:20" s="5" customFormat="1" ht="24.6" customHeight="1">
      <c r="B6" s="1467" t="s">
        <v>286</v>
      </c>
      <c r="C6" s="324" t="s">
        <v>9</v>
      </c>
      <c r="D6" s="265"/>
      <c r="E6" s="640"/>
      <c r="F6" s="640"/>
      <c r="G6" s="640"/>
      <c r="H6" s="640"/>
      <c r="I6" s="640"/>
      <c r="J6" s="640"/>
      <c r="K6" s="640"/>
      <c r="L6" s="90"/>
      <c r="M6" s="90"/>
      <c r="N6" s="683" t="s">
        <v>2916</v>
      </c>
      <c r="R6" s="11"/>
      <c r="S6" s="90"/>
    </row>
    <row r="7" spans="1:20" s="5" customFormat="1" ht="24.6" customHeight="1">
      <c r="B7" s="1467"/>
      <c r="C7" s="290" t="s">
        <v>7</v>
      </c>
      <c r="D7" s="265"/>
      <c r="E7" s="640"/>
      <c r="F7" s="640"/>
      <c r="G7" s="640"/>
      <c r="H7" s="640"/>
      <c r="I7" s="640"/>
      <c r="J7" s="640"/>
      <c r="K7" s="640"/>
      <c r="L7" s="90"/>
      <c r="M7" s="90"/>
      <c r="N7" s="772" t="s">
        <v>2732</v>
      </c>
      <c r="O7" s="772" t="s">
        <v>3464</v>
      </c>
      <c r="P7" s="772" t="s">
        <v>3461</v>
      </c>
      <c r="Q7" s="772" t="s">
        <v>3466</v>
      </c>
      <c r="S7" s="11"/>
      <c r="T7" s="90"/>
    </row>
    <row r="8" spans="1:20" s="5" customFormat="1" ht="24.6" customHeight="1">
      <c r="B8" s="1467"/>
      <c r="C8" s="163" t="s">
        <v>389</v>
      </c>
      <c r="D8" s="265"/>
      <c r="E8" s="640"/>
      <c r="F8" s="640"/>
      <c r="G8" s="640"/>
      <c r="H8" s="640"/>
      <c r="I8" s="640"/>
      <c r="J8" s="640"/>
      <c r="K8" s="640"/>
      <c r="L8" s="90"/>
      <c r="M8" s="90"/>
      <c r="N8" s="753" t="s">
        <v>3467</v>
      </c>
      <c r="O8" s="780">
        <v>34000</v>
      </c>
      <c r="P8" s="768" t="s">
        <v>3462</v>
      </c>
      <c r="Q8" s="90" t="s">
        <v>3446</v>
      </c>
      <c r="S8" s="11"/>
      <c r="T8" s="90"/>
    </row>
    <row r="9" spans="1:20" s="5" customFormat="1" ht="24.6" customHeight="1">
      <c r="B9" s="1467"/>
      <c r="C9" s="325" t="s">
        <v>316</v>
      </c>
      <c r="D9" s="265"/>
      <c r="E9" s="640"/>
      <c r="F9" s="789"/>
      <c r="G9" s="789"/>
      <c r="H9" s="789"/>
      <c r="I9" s="789"/>
      <c r="J9" s="789"/>
      <c r="K9" s="640"/>
      <c r="L9" s="90"/>
      <c r="M9" s="90"/>
      <c r="N9" s="749" t="s">
        <v>3394</v>
      </c>
      <c r="O9" s="780">
        <v>34000</v>
      </c>
      <c r="P9" s="768" t="s">
        <v>3462</v>
      </c>
      <c r="Q9" s="90" t="s">
        <v>3446</v>
      </c>
      <c r="S9" s="11"/>
      <c r="T9" s="90"/>
    </row>
    <row r="10" spans="1:20" s="5" customFormat="1" ht="24.6" customHeight="1">
      <c r="B10" s="1467" t="s">
        <v>287</v>
      </c>
      <c r="C10" s="324" t="s">
        <v>9</v>
      </c>
      <c r="D10" s="265"/>
      <c r="E10" s="640"/>
      <c r="F10" s="789"/>
      <c r="G10" s="789"/>
      <c r="H10" s="789"/>
      <c r="I10" s="789"/>
      <c r="J10" s="789"/>
      <c r="K10" s="640"/>
      <c r="L10" s="90"/>
      <c r="M10" s="90"/>
      <c r="N10" s="749" t="s">
        <v>3424</v>
      </c>
      <c r="O10" s="780">
        <v>34000</v>
      </c>
      <c r="P10" s="768" t="s">
        <v>3462</v>
      </c>
      <c r="Q10" s="90" t="s">
        <v>3446</v>
      </c>
      <c r="S10" s="11"/>
      <c r="T10" s="90"/>
    </row>
    <row r="11" spans="1:20" s="5" customFormat="1" ht="24.6" customHeight="1">
      <c r="B11" s="1467"/>
      <c r="C11" s="290" t="s">
        <v>292</v>
      </c>
      <c r="D11" s="265"/>
      <c r="E11" s="640"/>
      <c r="F11" s="1678" t="s">
        <v>3478</v>
      </c>
      <c r="G11" s="1679"/>
      <c r="H11" s="1679"/>
      <c r="I11" s="1679"/>
      <c r="J11" s="1680"/>
      <c r="K11" s="640"/>
      <c r="L11" s="90"/>
      <c r="M11" s="90"/>
      <c r="N11" s="749" t="s">
        <v>3447</v>
      </c>
      <c r="O11" s="780">
        <v>34000</v>
      </c>
      <c r="P11" s="768" t="s">
        <v>3462</v>
      </c>
      <c r="Q11" s="90" t="s">
        <v>3457</v>
      </c>
      <c r="S11" s="11"/>
      <c r="T11" s="90"/>
    </row>
    <row r="12" spans="1:20" s="5" customFormat="1" ht="24.6" customHeight="1">
      <c r="B12" s="1467"/>
      <c r="C12" s="325" t="s">
        <v>316</v>
      </c>
      <c r="D12" s="265"/>
      <c r="E12" s="640"/>
      <c r="F12" s="789"/>
      <c r="G12" s="789"/>
      <c r="H12" s="789"/>
      <c r="I12" s="789"/>
      <c r="J12" s="789"/>
      <c r="K12" s="640"/>
      <c r="L12" s="90"/>
      <c r="M12" s="90"/>
      <c r="N12" s="749" t="s">
        <v>3454</v>
      </c>
      <c r="O12" s="780">
        <v>6000</v>
      </c>
      <c r="P12" s="768" t="s">
        <v>3468</v>
      </c>
      <c r="Q12" s="90" t="s">
        <v>3307</v>
      </c>
      <c r="S12" s="11"/>
      <c r="T12" s="90"/>
    </row>
    <row r="13" spans="1:20" s="5" customFormat="1" ht="24.6" customHeight="1">
      <c r="B13" s="641" t="s">
        <v>317</v>
      </c>
      <c r="C13" s="125" t="s">
        <v>228</v>
      </c>
      <c r="D13" s="265"/>
      <c r="E13" s="640"/>
      <c r="F13" s="789"/>
      <c r="G13" s="789"/>
      <c r="H13" s="789"/>
      <c r="I13" s="789"/>
      <c r="J13" s="789"/>
      <c r="K13" s="640"/>
      <c r="L13" s="90"/>
      <c r="M13" s="90"/>
      <c r="N13" s="749" t="s">
        <v>3488</v>
      </c>
      <c r="O13" s="780">
        <v>2500</v>
      </c>
      <c r="P13" s="768" t="s">
        <v>3463</v>
      </c>
      <c r="Q13" s="90" t="s">
        <v>3307</v>
      </c>
      <c r="S13" s="11"/>
      <c r="T13" s="90"/>
    </row>
    <row r="14" spans="1:20" ht="24.6" customHeight="1">
      <c r="A14" s="84"/>
      <c r="B14" s="84"/>
      <c r="C14" s="5"/>
      <c r="D14" s="5"/>
      <c r="E14" s="266">
        <f>K5+1</f>
        <v>8</v>
      </c>
      <c r="F14" s="65">
        <f t="shared" ref="F14:K14" si="1">E14+1</f>
        <v>9</v>
      </c>
      <c r="G14" s="65">
        <f t="shared" si="1"/>
        <v>10</v>
      </c>
      <c r="H14" s="65">
        <f t="shared" si="1"/>
        <v>11</v>
      </c>
      <c r="I14" s="65">
        <v>12</v>
      </c>
      <c r="J14" s="65">
        <f t="shared" si="1"/>
        <v>13</v>
      </c>
      <c r="K14" s="65">
        <f t="shared" si="1"/>
        <v>14</v>
      </c>
      <c r="N14" s="758" t="s">
        <v>3477</v>
      </c>
      <c r="O14" s="782">
        <v>1600</v>
      </c>
      <c r="P14" s="787" t="s">
        <v>3474</v>
      </c>
      <c r="Q14" s="90" t="s">
        <v>3307</v>
      </c>
      <c r="T14" s="90"/>
    </row>
    <row r="15" spans="1:20" ht="24.6" customHeight="1">
      <c r="A15" s="84"/>
      <c r="B15" s="1467" t="s">
        <v>286</v>
      </c>
      <c r="C15" s="324" t="s">
        <v>9</v>
      </c>
      <c r="D15" s="265"/>
      <c r="E15" s="301"/>
      <c r="F15" s="301"/>
      <c r="G15" s="301"/>
      <c r="H15" s="301"/>
      <c r="I15" s="301"/>
      <c r="J15" s="301"/>
      <c r="K15" s="301"/>
      <c r="N15" s="753" t="s">
        <v>3459</v>
      </c>
      <c r="O15" s="780">
        <v>34000</v>
      </c>
      <c r="P15" s="768" t="s">
        <v>3462</v>
      </c>
      <c r="Q15" s="90" t="s">
        <v>3469</v>
      </c>
      <c r="T15" s="90"/>
    </row>
    <row r="16" spans="1:20" ht="24.6" customHeight="1">
      <c r="A16" s="84"/>
      <c r="B16" s="1467"/>
      <c r="C16" s="290" t="s">
        <v>7</v>
      </c>
      <c r="D16" s="265"/>
      <c r="E16" s="301"/>
      <c r="F16" s="301"/>
      <c r="G16" s="301"/>
      <c r="H16" s="301"/>
      <c r="I16" s="301"/>
      <c r="J16" s="301"/>
      <c r="K16" s="301"/>
      <c r="N16" s="753" t="s">
        <v>3416</v>
      </c>
      <c r="O16" s="780">
        <v>34000</v>
      </c>
      <c r="P16" s="768" t="s">
        <v>3462</v>
      </c>
      <c r="Q16" s="90" t="s">
        <v>3469</v>
      </c>
      <c r="T16" s="90"/>
    </row>
    <row r="17" spans="1:20" ht="24.6" customHeight="1">
      <c r="A17" s="84"/>
      <c r="B17" s="1467"/>
      <c r="C17" s="163" t="s">
        <v>389</v>
      </c>
      <c r="D17" s="265"/>
      <c r="E17" s="301"/>
      <c r="F17" s="301"/>
      <c r="H17" s="301"/>
      <c r="I17" s="301"/>
      <c r="J17" s="301"/>
      <c r="K17" s="301"/>
      <c r="N17" s="753" t="s">
        <v>3458</v>
      </c>
      <c r="O17" s="780">
        <v>34000</v>
      </c>
      <c r="P17" s="768" t="s">
        <v>3462</v>
      </c>
      <c r="Q17" s="90" t="s">
        <v>3469</v>
      </c>
      <c r="T17" s="90"/>
    </row>
    <row r="18" spans="1:20" ht="24.6" customHeight="1">
      <c r="A18" s="84"/>
      <c r="B18" s="1467"/>
      <c r="C18" s="325" t="s">
        <v>316</v>
      </c>
      <c r="D18" s="265"/>
      <c r="E18" s="301"/>
      <c r="F18" s="301"/>
      <c r="H18" s="301"/>
      <c r="I18" s="301"/>
      <c r="J18" s="301"/>
      <c r="K18" s="301"/>
      <c r="O18" s="5"/>
      <c r="P18" s="5"/>
      <c r="Q18" s="84"/>
      <c r="T18" s="90"/>
    </row>
    <row r="19" spans="1:20" ht="24.6" customHeight="1">
      <c r="A19" s="84"/>
      <c r="B19" s="1467" t="s">
        <v>287</v>
      </c>
      <c r="C19" s="324" t="s">
        <v>9</v>
      </c>
      <c r="D19" s="265"/>
      <c r="E19" s="301"/>
      <c r="F19" s="1681" t="s">
        <v>3467</v>
      </c>
      <c r="G19" s="1682"/>
      <c r="H19" s="301"/>
      <c r="I19" s="753" t="s">
        <v>3416</v>
      </c>
      <c r="J19" s="301"/>
      <c r="K19" s="301"/>
      <c r="N19" s="84"/>
      <c r="O19" s="5"/>
      <c r="P19" s="5"/>
      <c r="Q19" s="84"/>
      <c r="T19" s="90"/>
    </row>
    <row r="20" spans="1:20" ht="24" customHeight="1">
      <c r="A20" s="84"/>
      <c r="B20" s="1467"/>
      <c r="C20" s="290" t="s">
        <v>292</v>
      </c>
      <c r="D20" s="265"/>
      <c r="E20" s="301"/>
      <c r="F20" s="301"/>
      <c r="G20" s="301"/>
      <c r="H20" s="790" t="s">
        <v>3459</v>
      </c>
      <c r="I20" s="301"/>
      <c r="J20" s="758" t="s">
        <v>3498</v>
      </c>
      <c r="K20" s="301"/>
      <c r="O20" s="5"/>
      <c r="P20" s="5"/>
      <c r="Q20" s="84"/>
      <c r="T20" s="90"/>
    </row>
    <row r="21" spans="1:20" ht="24" customHeight="1">
      <c r="A21" s="84"/>
      <c r="B21" s="1467"/>
      <c r="C21" s="325" t="s">
        <v>316</v>
      </c>
      <c r="D21" s="265"/>
      <c r="E21" s="301"/>
      <c r="F21" s="301"/>
      <c r="G21" s="301"/>
      <c r="H21" s="301"/>
      <c r="I21" s="301"/>
      <c r="J21" s="301"/>
      <c r="K21" s="754"/>
      <c r="N21" s="84"/>
      <c r="O21" s="5"/>
      <c r="P21" s="5"/>
      <c r="Q21" s="84"/>
      <c r="T21" s="90"/>
    </row>
    <row r="22" spans="1:20" ht="24.6" customHeight="1">
      <c r="A22" s="84"/>
      <c r="B22" s="641" t="s">
        <v>317</v>
      </c>
      <c r="C22" s="125" t="s">
        <v>228</v>
      </c>
      <c r="D22" s="265"/>
      <c r="E22" s="301"/>
      <c r="F22" s="301" t="s">
        <v>193</v>
      </c>
      <c r="G22" s="301"/>
      <c r="H22" s="301"/>
      <c r="I22" s="301"/>
      <c r="J22" s="301"/>
      <c r="K22" s="301"/>
      <c r="N22" s="84"/>
      <c r="O22" s="84"/>
      <c r="P22" s="84"/>
      <c r="Q22" s="84"/>
      <c r="T22" s="90"/>
    </row>
    <row r="23" spans="1:20" ht="24.6" customHeight="1">
      <c r="A23" s="84"/>
      <c r="B23" s="84"/>
      <c r="C23" s="5"/>
      <c r="D23" s="5"/>
      <c r="E23" s="26">
        <f>K14+1</f>
        <v>15</v>
      </c>
      <c r="F23" s="175">
        <f t="shared" ref="F23:K23" si="2">E23+1</f>
        <v>16</v>
      </c>
      <c r="G23" s="175">
        <f t="shared" si="2"/>
        <v>17</v>
      </c>
      <c r="H23" s="175">
        <f t="shared" si="2"/>
        <v>18</v>
      </c>
      <c r="I23" s="175">
        <f t="shared" si="2"/>
        <v>19</v>
      </c>
      <c r="J23" s="175">
        <f t="shared" si="2"/>
        <v>20</v>
      </c>
      <c r="K23" s="175">
        <f t="shared" si="2"/>
        <v>21</v>
      </c>
      <c r="M23" s="729"/>
      <c r="N23" s="84"/>
      <c r="O23" s="84"/>
      <c r="P23" s="84"/>
      <c r="Q23" s="84"/>
      <c r="T23" s="90"/>
    </row>
    <row r="24" spans="1:20" ht="24.6" customHeight="1">
      <c r="A24" s="84"/>
      <c r="B24" s="1467" t="s">
        <v>286</v>
      </c>
      <c r="C24" s="324" t="s">
        <v>9</v>
      </c>
      <c r="D24" s="265"/>
      <c r="E24" s="640"/>
      <c r="F24" s="640"/>
      <c r="G24" s="640"/>
      <c r="H24" s="640"/>
      <c r="I24" s="640"/>
      <c r="J24" s="640"/>
      <c r="K24" s="640"/>
      <c r="N24" s="84"/>
      <c r="O24" s="84"/>
      <c r="P24" s="84"/>
      <c r="Q24" s="84"/>
      <c r="T24" s="90"/>
    </row>
    <row r="25" spans="1:20" ht="24.6" customHeight="1">
      <c r="A25" s="84"/>
      <c r="B25" s="1467"/>
      <c r="C25" s="290" t="s">
        <v>7</v>
      </c>
      <c r="D25" s="265"/>
      <c r="E25" s="640"/>
      <c r="F25" s="640"/>
      <c r="G25" s="640"/>
      <c r="H25" s="640"/>
      <c r="I25" s="640"/>
      <c r="J25" s="640"/>
      <c r="K25" s="640"/>
      <c r="L25" s="84"/>
      <c r="M25" s="84"/>
      <c r="N25" s="84"/>
      <c r="O25" s="84"/>
      <c r="P25" s="84"/>
      <c r="Q25" s="84"/>
      <c r="R25" s="84"/>
      <c r="S25" s="84"/>
    </row>
    <row r="26" spans="1:20" ht="24.6" customHeight="1">
      <c r="A26" s="84"/>
      <c r="B26" s="1467"/>
      <c r="C26" s="163" t="s">
        <v>389</v>
      </c>
      <c r="D26" s="265"/>
      <c r="E26" s="640"/>
      <c r="F26" s="640"/>
      <c r="G26" s="640"/>
      <c r="H26" s="640"/>
      <c r="I26" s="640"/>
      <c r="J26" s="640"/>
      <c r="K26" s="640"/>
      <c r="L26" s="84"/>
      <c r="M26" s="84"/>
      <c r="N26" s="84"/>
      <c r="O26" s="84"/>
      <c r="P26" s="84"/>
      <c r="Q26" s="84"/>
      <c r="R26" s="84"/>
      <c r="S26" s="84"/>
    </row>
    <row r="27" spans="1:20" ht="24.6" customHeight="1">
      <c r="A27" s="84"/>
      <c r="B27" s="1467"/>
      <c r="C27" s="325" t="s">
        <v>316</v>
      </c>
      <c r="D27" s="265"/>
      <c r="E27" s="640"/>
      <c r="F27" s="640"/>
      <c r="G27" s="640"/>
      <c r="H27" s="640"/>
      <c r="I27" s="640"/>
      <c r="J27" s="762"/>
      <c r="K27" s="640"/>
      <c r="L27" s="84"/>
      <c r="M27" s="84"/>
      <c r="N27" s="84"/>
      <c r="O27" s="84"/>
      <c r="P27" s="84"/>
      <c r="Q27" s="84"/>
      <c r="R27" s="84"/>
      <c r="S27" s="84"/>
    </row>
    <row r="28" spans="1:20" ht="24.6" customHeight="1">
      <c r="A28" s="84"/>
      <c r="B28" s="1467" t="s">
        <v>287</v>
      </c>
      <c r="C28" s="324" t="s">
        <v>9</v>
      </c>
      <c r="D28" s="265"/>
      <c r="E28" s="640"/>
      <c r="F28" s="640"/>
      <c r="G28" s="640"/>
      <c r="H28" s="640"/>
      <c r="I28" s="299"/>
      <c r="J28" s="640"/>
      <c r="K28" s="640"/>
      <c r="L28" s="84"/>
      <c r="M28" s="84"/>
      <c r="P28" s="84"/>
      <c r="Q28" s="84"/>
      <c r="R28" s="84"/>
      <c r="S28" s="84"/>
    </row>
    <row r="29" spans="1:20" ht="24.6" customHeight="1">
      <c r="A29" s="84"/>
      <c r="B29" s="1467"/>
      <c r="C29" s="290" t="s">
        <v>292</v>
      </c>
      <c r="D29" s="265"/>
      <c r="E29" s="640"/>
      <c r="F29" s="640"/>
      <c r="G29" s="640"/>
      <c r="H29" s="640"/>
      <c r="I29" s="753" t="s">
        <v>3458</v>
      </c>
      <c r="J29" s="749" t="s">
        <v>3486</v>
      </c>
      <c r="K29" s="640"/>
      <c r="L29" s="84"/>
      <c r="N29" s="84"/>
      <c r="O29" s="84"/>
      <c r="P29" s="84"/>
      <c r="Q29" s="84"/>
      <c r="R29" s="84"/>
      <c r="S29" s="84"/>
    </row>
    <row r="30" spans="1:20" ht="24.6" customHeight="1">
      <c r="A30" s="84"/>
      <c r="B30" s="1467"/>
      <c r="C30" s="325" t="s">
        <v>316</v>
      </c>
      <c r="D30" s="265"/>
      <c r="E30" s="640"/>
      <c r="F30" s="640"/>
      <c r="G30" s="640"/>
      <c r="H30" s="640"/>
      <c r="I30" s="783"/>
      <c r="J30" s="719" t="s">
        <v>3487</v>
      </c>
      <c r="K30" s="640"/>
      <c r="L30" s="84"/>
      <c r="M30" s="84"/>
      <c r="N30" s="84"/>
      <c r="O30" s="84"/>
      <c r="P30" s="84"/>
      <c r="Q30" s="84"/>
      <c r="R30" s="84"/>
      <c r="S30" s="84"/>
    </row>
    <row r="31" spans="1:20" ht="24.6" customHeight="1">
      <c r="A31" s="84"/>
      <c r="B31" s="641" t="s">
        <v>317</v>
      </c>
      <c r="C31" s="125" t="s">
        <v>228</v>
      </c>
      <c r="D31" s="265"/>
      <c r="E31" s="640"/>
      <c r="F31" s="125" t="s">
        <v>15</v>
      </c>
      <c r="G31" s="125" t="s">
        <v>15</v>
      </c>
      <c r="H31" s="125" t="s">
        <v>15</v>
      </c>
      <c r="I31" s="640"/>
      <c r="J31" s="640"/>
      <c r="K31" s="640"/>
      <c r="L31" s="84"/>
      <c r="M31" s="84"/>
      <c r="N31" s="84"/>
      <c r="O31" s="84"/>
      <c r="P31" s="84"/>
      <c r="Q31" s="84"/>
      <c r="R31" s="84"/>
      <c r="S31" s="84"/>
    </row>
    <row r="32" spans="1:20" ht="24.6" customHeight="1">
      <c r="A32" s="84"/>
      <c r="B32" s="84"/>
      <c r="C32" s="5"/>
      <c r="D32" s="5"/>
      <c r="E32" s="266">
        <f>K23+1</f>
        <v>22</v>
      </c>
      <c r="F32" s="304">
        <f t="shared" ref="F32:K32" si="3">E32+1</f>
        <v>23</v>
      </c>
      <c r="G32" s="304">
        <f t="shared" si="3"/>
        <v>24</v>
      </c>
      <c r="H32" s="304">
        <f t="shared" si="3"/>
        <v>25</v>
      </c>
      <c r="I32" s="304">
        <f t="shared" si="3"/>
        <v>26</v>
      </c>
      <c r="J32" s="304">
        <f t="shared" si="3"/>
        <v>27</v>
      </c>
      <c r="K32" s="65">
        <f t="shared" si="3"/>
        <v>28</v>
      </c>
      <c r="L32" s="84"/>
      <c r="M32" s="84"/>
      <c r="N32" s="84"/>
      <c r="O32" s="84"/>
      <c r="P32" s="84"/>
      <c r="Q32" s="84"/>
      <c r="R32" s="84"/>
      <c r="S32" s="84"/>
    </row>
    <row r="33" spans="1:19" ht="24.6" customHeight="1">
      <c r="A33" s="84"/>
      <c r="B33" s="1467" t="s">
        <v>286</v>
      </c>
      <c r="C33" s="324" t="s">
        <v>9</v>
      </c>
      <c r="D33" s="265"/>
      <c r="E33" s="301"/>
      <c r="F33" s="301"/>
      <c r="G33" s="301"/>
      <c r="H33" s="301"/>
      <c r="I33" s="301"/>
      <c r="J33" s="301"/>
      <c r="K33" s="301"/>
      <c r="L33" s="84"/>
      <c r="M33" s="84"/>
      <c r="N33" s="84"/>
      <c r="O33" s="84"/>
      <c r="P33" s="84"/>
      <c r="Q33" s="84"/>
      <c r="R33" s="84"/>
      <c r="S33" s="84"/>
    </row>
    <row r="34" spans="1:19" ht="24.6" customHeight="1">
      <c r="A34" s="84"/>
      <c r="B34" s="1467"/>
      <c r="C34" s="290" t="s">
        <v>7</v>
      </c>
      <c r="D34" s="265"/>
      <c r="E34" s="301"/>
      <c r="F34" s="301"/>
      <c r="G34" s="301"/>
      <c r="H34" s="301"/>
      <c r="I34" s="301"/>
      <c r="J34" s="301"/>
      <c r="K34" s="301"/>
      <c r="L34" s="84"/>
      <c r="M34" s="84"/>
      <c r="N34" s="84"/>
      <c r="O34" s="84"/>
      <c r="P34" s="84"/>
      <c r="Q34" s="84"/>
      <c r="R34" s="84"/>
      <c r="S34" s="84"/>
    </row>
    <row r="35" spans="1:19" ht="24.6" customHeight="1">
      <c r="A35" s="84"/>
      <c r="B35" s="1467"/>
      <c r="C35" s="163" t="s">
        <v>389</v>
      </c>
      <c r="D35" s="265"/>
      <c r="E35" s="301"/>
      <c r="F35" s="301"/>
      <c r="G35" s="301"/>
      <c r="H35" s="301"/>
      <c r="I35" s="301"/>
      <c r="J35" s="301"/>
      <c r="K35" s="301"/>
      <c r="L35" s="84"/>
      <c r="M35" s="84"/>
      <c r="P35" s="84"/>
      <c r="Q35" s="84"/>
      <c r="R35" s="84"/>
      <c r="S35" s="84"/>
    </row>
    <row r="36" spans="1:19" ht="24.6" customHeight="1">
      <c r="A36" s="84"/>
      <c r="B36" s="1467"/>
      <c r="C36" s="325" t="s">
        <v>316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</row>
    <row r="37" spans="1:19" ht="24" customHeight="1">
      <c r="A37" s="84"/>
      <c r="B37" s="1467" t="s">
        <v>287</v>
      </c>
      <c r="C37" s="324" t="s">
        <v>9</v>
      </c>
      <c r="D37" s="265"/>
      <c r="E37" s="301"/>
      <c r="F37" s="1677" t="s">
        <v>3443</v>
      </c>
      <c r="G37" s="1677"/>
      <c r="H37" s="301"/>
      <c r="I37" s="1574" t="s">
        <v>3534</v>
      </c>
      <c r="J37" s="1574"/>
      <c r="K37" s="301"/>
      <c r="L37" s="84"/>
      <c r="M37" s="84"/>
      <c r="N37" s="84"/>
      <c r="O37" s="84"/>
      <c r="P37" s="84"/>
      <c r="Q37" s="84"/>
      <c r="R37" s="84"/>
      <c r="S37" s="84"/>
    </row>
    <row r="38" spans="1:19" ht="24" customHeight="1">
      <c r="A38" s="84"/>
      <c r="B38" s="1467"/>
      <c r="C38" s="324"/>
      <c r="D38" s="265"/>
      <c r="E38" s="301"/>
      <c r="F38" s="301"/>
      <c r="G38" s="1574" t="s">
        <v>3533</v>
      </c>
      <c r="H38" s="1574"/>
      <c r="I38" s="301"/>
      <c r="J38" s="1574" t="s">
        <v>3535</v>
      </c>
      <c r="K38" s="1574"/>
      <c r="L38" s="84"/>
      <c r="M38" s="84"/>
      <c r="N38" s="84"/>
      <c r="O38" s="84"/>
      <c r="P38" s="84"/>
      <c r="Q38" s="84"/>
      <c r="R38" s="84"/>
      <c r="S38" s="84"/>
    </row>
    <row r="39" spans="1:19" ht="24.6" customHeight="1">
      <c r="A39" s="84"/>
      <c r="B39" s="1467"/>
      <c r="C39" s="290" t="s">
        <v>292</v>
      </c>
      <c r="D39" s="265"/>
      <c r="E39" s="301"/>
      <c r="F39" s="1681" t="s">
        <v>3507</v>
      </c>
      <c r="G39" s="1682"/>
      <c r="H39" s="301"/>
      <c r="I39" s="1683" t="s">
        <v>3509</v>
      </c>
      <c r="J39" s="1684"/>
      <c r="K39" s="301"/>
      <c r="L39" s="84"/>
      <c r="M39" s="84"/>
      <c r="P39" s="84"/>
      <c r="Q39" s="84"/>
      <c r="R39" s="84"/>
      <c r="S39" s="84"/>
    </row>
    <row r="40" spans="1:19" ht="24.6" customHeight="1">
      <c r="A40" s="84"/>
      <c r="B40" s="1467"/>
      <c r="C40" s="325" t="s">
        <v>316</v>
      </c>
      <c r="D40" s="265"/>
      <c r="E40" s="301"/>
      <c r="F40" s="301"/>
      <c r="G40" s="1685" t="s">
        <v>3508</v>
      </c>
      <c r="H40" s="1686"/>
      <c r="I40" s="301"/>
      <c r="K40" s="301"/>
      <c r="L40" s="84"/>
      <c r="M40" s="84"/>
      <c r="N40" s="84"/>
      <c r="O40" s="84"/>
      <c r="P40" s="84"/>
      <c r="Q40" s="84"/>
      <c r="R40" s="84"/>
      <c r="S40" s="84"/>
    </row>
    <row r="41" spans="1:19" ht="24.6" customHeight="1">
      <c r="A41" s="84"/>
      <c r="B41" s="641" t="s">
        <v>317</v>
      </c>
      <c r="C41" s="125" t="s">
        <v>228</v>
      </c>
      <c r="D41" s="265"/>
      <c r="E41" s="345"/>
      <c r="F41" s="301"/>
      <c r="G41" s="301"/>
      <c r="H41" s="301"/>
      <c r="I41" s="301"/>
      <c r="J41" s="301"/>
      <c r="K41" s="301"/>
      <c r="L41" s="84"/>
      <c r="M41" s="84"/>
      <c r="N41" s="84"/>
      <c r="O41" s="84"/>
      <c r="P41" s="84"/>
      <c r="Q41" s="84"/>
      <c r="R41" s="84"/>
      <c r="S41" s="84"/>
    </row>
    <row r="42" spans="1:19" ht="24.6" customHeight="1">
      <c r="A42" s="84"/>
      <c r="B42" s="84"/>
      <c r="C42" s="269"/>
      <c r="D42" s="265"/>
      <c r="E42" s="26">
        <f>K32+1</f>
        <v>29</v>
      </c>
      <c r="F42" s="175">
        <f>E42+1</f>
        <v>30</v>
      </c>
      <c r="G42" s="175"/>
      <c r="H42" s="175"/>
      <c r="I42" s="175"/>
      <c r="J42" s="175"/>
      <c r="K42" s="175"/>
      <c r="L42" s="84"/>
      <c r="M42" s="84"/>
      <c r="N42" s="84"/>
      <c r="O42" s="84"/>
      <c r="P42" s="84"/>
      <c r="Q42" s="84"/>
      <c r="R42" s="84"/>
      <c r="S42" s="84"/>
    </row>
    <row r="43" spans="1:19" ht="24.6" customHeight="1">
      <c r="A43" s="84"/>
      <c r="B43" s="1467" t="s">
        <v>286</v>
      </c>
      <c r="C43" s="324" t="s">
        <v>9</v>
      </c>
      <c r="D43" s="265"/>
      <c r="E43" s="640"/>
      <c r="F43" s="640"/>
      <c r="G43" s="640"/>
      <c r="H43" s="640"/>
      <c r="I43" s="640"/>
      <c r="J43" s="640"/>
      <c r="K43" s="640"/>
      <c r="L43" s="84"/>
      <c r="M43" s="84"/>
      <c r="N43" s="84"/>
      <c r="O43" s="84"/>
      <c r="R43" s="84"/>
      <c r="S43" s="84"/>
    </row>
    <row r="44" spans="1:19" ht="24.6" customHeight="1">
      <c r="A44" s="84"/>
      <c r="B44" s="1467"/>
      <c r="C44" s="290" t="s">
        <v>7</v>
      </c>
      <c r="D44" s="265"/>
      <c r="E44" s="640"/>
      <c r="F44" s="640"/>
      <c r="G44" s="640"/>
      <c r="H44" s="640"/>
      <c r="I44" s="640"/>
      <c r="J44" s="640"/>
      <c r="K44" s="640"/>
      <c r="L44" s="84"/>
      <c r="M44" s="84"/>
      <c r="N44" s="84"/>
      <c r="R44" s="84"/>
      <c r="S44" s="84"/>
    </row>
    <row r="45" spans="1:19" ht="24.6" customHeight="1">
      <c r="A45" s="84"/>
      <c r="B45" s="1467"/>
      <c r="C45" s="163" t="s">
        <v>389</v>
      </c>
      <c r="D45" s="265"/>
      <c r="E45" s="640"/>
      <c r="F45" s="762"/>
      <c r="G45" s="762"/>
      <c r="H45" s="640"/>
      <c r="I45" s="640"/>
      <c r="J45" s="640"/>
      <c r="K45" s="640"/>
      <c r="L45" s="84"/>
      <c r="M45" s="84"/>
      <c r="R45" s="84"/>
      <c r="S45" s="84"/>
    </row>
    <row r="46" spans="1:19" ht="24.6" customHeight="1">
      <c r="A46" s="84"/>
      <c r="B46" s="1467"/>
      <c r="C46" s="325" t="s">
        <v>316</v>
      </c>
      <c r="D46" s="265"/>
      <c r="E46" s="640"/>
      <c r="F46" s="767"/>
      <c r="G46" s="640"/>
      <c r="H46" s="640"/>
      <c r="I46" s="640"/>
      <c r="J46" s="640"/>
      <c r="K46" s="640"/>
      <c r="L46" s="84"/>
      <c r="M46" s="84"/>
      <c r="R46" s="84"/>
      <c r="S46" s="84"/>
    </row>
    <row r="47" spans="1:19" ht="24.6" customHeight="1">
      <c r="A47" s="84"/>
      <c r="B47" s="1467" t="s">
        <v>287</v>
      </c>
      <c r="C47" s="324" t="s">
        <v>9</v>
      </c>
      <c r="D47" s="265"/>
      <c r="E47" s="640"/>
      <c r="F47" s="1574" t="s">
        <v>3536</v>
      </c>
      <c r="G47" s="1574"/>
      <c r="H47" s="640"/>
      <c r="I47" s="640"/>
      <c r="J47" s="640"/>
      <c r="K47" s="640"/>
      <c r="L47" s="84"/>
      <c r="M47" s="84"/>
      <c r="R47" s="84"/>
      <c r="S47" s="84"/>
    </row>
    <row r="48" spans="1:19" ht="24.6" customHeight="1">
      <c r="A48" s="84"/>
      <c r="B48" s="1467"/>
      <c r="C48" s="324"/>
      <c r="D48" s="265"/>
      <c r="E48" s="645"/>
      <c r="F48" s="645"/>
      <c r="G48" s="645"/>
      <c r="H48" s="645"/>
      <c r="I48" s="645"/>
      <c r="J48" s="645"/>
      <c r="K48" s="645"/>
      <c r="L48" s="84"/>
      <c r="M48" s="84"/>
      <c r="R48" s="84"/>
      <c r="S48" s="84"/>
    </row>
    <row r="49" spans="1:19" ht="24.6" customHeight="1">
      <c r="A49" s="84"/>
      <c r="B49" s="1467"/>
      <c r="C49" s="290" t="s">
        <v>292</v>
      </c>
      <c r="D49" s="265"/>
      <c r="E49" s="640"/>
      <c r="F49" s="803" t="s">
        <v>3423</v>
      </c>
      <c r="G49" s="802"/>
      <c r="H49" s="802"/>
      <c r="I49" s="789"/>
      <c r="J49" s="789"/>
      <c r="K49" s="640"/>
      <c r="L49" s="84"/>
      <c r="M49" s="84"/>
      <c r="R49" s="84"/>
      <c r="S49" s="84"/>
    </row>
    <row r="50" spans="1:19" ht="24.6" customHeight="1">
      <c r="A50" s="84"/>
      <c r="B50" s="1467"/>
      <c r="C50" s="325" t="s">
        <v>316</v>
      </c>
      <c r="D50" s="265"/>
      <c r="E50" s="640"/>
      <c r="F50" s="640"/>
      <c r="G50" s="763"/>
      <c r="H50" s="640"/>
      <c r="I50" s="640"/>
      <c r="J50" s="640"/>
      <c r="K50" s="640"/>
      <c r="L50" s="84"/>
      <c r="M50" s="84"/>
      <c r="R50" s="84"/>
      <c r="S50" s="84"/>
    </row>
    <row r="51" spans="1:19" ht="24.6" customHeight="1">
      <c r="A51" s="84"/>
      <c r="B51" s="641" t="s">
        <v>317</v>
      </c>
      <c r="C51" s="125" t="s">
        <v>228</v>
      </c>
      <c r="D51" s="265"/>
      <c r="E51" s="640"/>
      <c r="F51" s="640"/>
      <c r="G51" s="640"/>
      <c r="H51" s="640"/>
      <c r="I51" s="640"/>
      <c r="J51" s="640"/>
      <c r="K51" s="640"/>
      <c r="L51" s="84"/>
      <c r="M51" s="84"/>
      <c r="R51" s="84"/>
      <c r="S51" s="84"/>
    </row>
    <row r="53" spans="1:19">
      <c r="I53" s="90" t="s">
        <v>3430</v>
      </c>
    </row>
  </sheetData>
  <mergeCells count="24">
    <mergeCell ref="B6:B9"/>
    <mergeCell ref="B10:B12"/>
    <mergeCell ref="B15:B18"/>
    <mergeCell ref="F47:G47"/>
    <mergeCell ref="J38:K38"/>
    <mergeCell ref="F39:G39"/>
    <mergeCell ref="I39:J39"/>
    <mergeCell ref="B19:B21"/>
    <mergeCell ref="B47:B50"/>
    <mergeCell ref="B24:B27"/>
    <mergeCell ref="B28:B30"/>
    <mergeCell ref="B33:B36"/>
    <mergeCell ref="B37:B40"/>
    <mergeCell ref="B43:B46"/>
    <mergeCell ref="G40:H40"/>
    <mergeCell ref="O2:P2"/>
    <mergeCell ref="O3:P3"/>
    <mergeCell ref="F37:G37"/>
    <mergeCell ref="G38:H38"/>
    <mergeCell ref="I37:J37"/>
    <mergeCell ref="E3:G3"/>
    <mergeCell ref="H3:K3"/>
    <mergeCell ref="F11:J11"/>
    <mergeCell ref="F19:G19"/>
  </mergeCells>
  <phoneticPr fontId="6" type="noConversion"/>
  <pageMargins left="0.7" right="0.7" top="0.75" bottom="0.75" header="0.3" footer="0.3"/>
  <pageSetup paperSize="9" scale="32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8">
    <pageSetUpPr fitToPage="1"/>
  </sheetPr>
  <dimension ref="A1:U54"/>
  <sheetViews>
    <sheetView topLeftCell="A7" zoomScale="55" zoomScaleNormal="55" workbookViewId="0">
      <selection activeCell="G44" sqref="G44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54.44140625" style="90" customWidth="1"/>
    <col min="15" max="15" width="18.21875" style="90" bestFit="1" customWidth="1"/>
    <col min="16" max="16" width="15.33203125" style="90" customWidth="1"/>
    <col min="17" max="17" width="16.21875" style="90" customWidth="1"/>
    <col min="18" max="18" width="21.5546875" style="90" customWidth="1"/>
    <col min="19" max="21" width="6.6640625" style="90" customWidth="1"/>
    <col min="22" max="16384" width="8.88671875" style="84"/>
  </cols>
  <sheetData>
    <row r="1" spans="1:21" ht="19.149999999999999">
      <c r="A1" s="84"/>
      <c r="B1" s="84"/>
      <c r="C1" s="5"/>
      <c r="D1" s="5"/>
      <c r="N1" s="683" t="s">
        <v>3296</v>
      </c>
      <c r="O1" s="683"/>
      <c r="P1" s="683"/>
    </row>
    <row r="2" spans="1:21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  <c r="N2" s="747" t="s">
        <v>3290</v>
      </c>
      <c r="O2" s="1515" t="s">
        <v>3291</v>
      </c>
      <c r="P2" s="1516"/>
      <c r="Q2" s="1517"/>
      <c r="R2" s="746" t="s">
        <v>3292</v>
      </c>
    </row>
    <row r="3" spans="1:21" ht="57">
      <c r="A3" s="84"/>
      <c r="B3" s="84"/>
      <c r="C3" s="5"/>
      <c r="D3" s="5"/>
      <c r="E3" s="1450">
        <v>45566</v>
      </c>
      <c r="F3" s="1450"/>
      <c r="G3" s="1450"/>
      <c r="H3" s="1451" t="s">
        <v>10</v>
      </c>
      <c r="I3" s="1452"/>
      <c r="J3" s="1452"/>
      <c r="K3" s="1452"/>
      <c r="N3" s="685">
        <f>SUMIF($Q$8:$Q$31,"F",$P$8:$P$31)</f>
        <v>204000</v>
      </c>
      <c r="O3" s="1675">
        <f>SUMIF($Q$8:$Q$28,"S",$P$8:$P$28)</f>
        <v>52148</v>
      </c>
      <c r="P3" s="1693"/>
      <c r="Q3" s="1676"/>
      <c r="R3" s="684">
        <f>N3+O3</f>
        <v>256148</v>
      </c>
    </row>
    <row r="4" spans="1:21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90"/>
      <c r="O4" s="90"/>
      <c r="P4" s="90"/>
      <c r="Q4" s="90"/>
      <c r="R4" s="90"/>
      <c r="S4" s="90"/>
      <c r="T4" s="90"/>
      <c r="U4" s="90"/>
    </row>
    <row r="5" spans="1:21" s="5" customFormat="1" ht="24.6" customHeight="1">
      <c r="E5" s="26"/>
      <c r="F5" s="175"/>
      <c r="G5" s="175">
        <f>F5+1</f>
        <v>1</v>
      </c>
      <c r="H5" s="175">
        <f>G5+1</f>
        <v>2</v>
      </c>
      <c r="I5" s="175">
        <f>H5+1</f>
        <v>3</v>
      </c>
      <c r="J5" s="175">
        <f>I5+1</f>
        <v>4</v>
      </c>
      <c r="K5" s="175">
        <f>J5+1</f>
        <v>5</v>
      </c>
      <c r="L5" s="90"/>
      <c r="M5" s="90"/>
      <c r="T5" s="11"/>
      <c r="U5" s="90"/>
    </row>
    <row r="6" spans="1:21" s="5" customFormat="1" ht="24.6" customHeight="1">
      <c r="B6" s="1467" t="s">
        <v>286</v>
      </c>
      <c r="C6" s="324" t="s">
        <v>9</v>
      </c>
      <c r="D6" s="265"/>
      <c r="E6" s="640"/>
      <c r="F6" s="640"/>
      <c r="G6" s="640"/>
      <c r="H6" s="640"/>
      <c r="I6" s="640"/>
      <c r="J6" s="640"/>
      <c r="K6" s="640"/>
      <c r="L6" s="90"/>
      <c r="M6" s="90"/>
      <c r="N6" s="683" t="s">
        <v>2916</v>
      </c>
      <c r="O6" s="683"/>
      <c r="P6" s="683"/>
      <c r="T6" s="11"/>
      <c r="U6" s="90"/>
    </row>
    <row r="7" spans="1:21" s="5" customFormat="1" ht="24.6" customHeight="1">
      <c r="B7" s="1467"/>
      <c r="C7" s="290" t="s">
        <v>7</v>
      </c>
      <c r="D7" s="265"/>
      <c r="E7" s="640"/>
      <c r="F7" s="640"/>
      <c r="G7" s="640"/>
      <c r="H7" s="640"/>
      <c r="I7" s="640"/>
      <c r="J7" s="640"/>
      <c r="K7" s="640"/>
      <c r="L7" s="90"/>
      <c r="M7" s="90"/>
      <c r="N7" s="772" t="s">
        <v>2732</v>
      </c>
      <c r="O7" s="807" t="s">
        <v>3516</v>
      </c>
      <c r="P7" s="772" t="s">
        <v>3464</v>
      </c>
      <c r="Q7" s="772" t="s">
        <v>3461</v>
      </c>
      <c r="R7" s="748" t="s">
        <v>3466</v>
      </c>
      <c r="T7" s="11"/>
      <c r="U7" s="90"/>
    </row>
    <row r="8" spans="1:21" s="5" customFormat="1" ht="24.6" customHeight="1">
      <c r="B8" s="1467"/>
      <c r="C8" s="163" t="s">
        <v>389</v>
      </c>
      <c r="D8" s="265"/>
      <c r="E8" s="640"/>
      <c r="F8" s="640"/>
      <c r="G8" s="640"/>
      <c r="H8" s="640"/>
      <c r="I8" s="640"/>
      <c r="J8" s="640"/>
      <c r="K8" s="640"/>
      <c r="L8" s="90"/>
      <c r="M8" s="90"/>
      <c r="N8" s="749" t="s">
        <v>3555</v>
      </c>
      <c r="O8" s="749" t="s">
        <v>3523</v>
      </c>
      <c r="P8" s="782">
        <v>34000</v>
      </c>
      <c r="Q8" s="768" t="s">
        <v>3462</v>
      </c>
      <c r="R8" s="768" t="s">
        <v>3446</v>
      </c>
      <c r="T8" s="11"/>
      <c r="U8" s="90"/>
    </row>
    <row r="9" spans="1:21" s="5" customFormat="1" ht="24.6" customHeight="1">
      <c r="B9" s="1467"/>
      <c r="C9" s="325" t="s">
        <v>316</v>
      </c>
      <c r="D9" s="265"/>
      <c r="E9" s="640"/>
      <c r="F9" s="811"/>
      <c r="G9" s="811"/>
      <c r="H9" s="640"/>
      <c r="I9" s="640"/>
      <c r="J9" s="640"/>
      <c r="K9" s="640"/>
      <c r="L9" s="90"/>
      <c r="M9" s="90"/>
      <c r="N9" s="749" t="s">
        <v>3444</v>
      </c>
      <c r="O9" s="749" t="s">
        <v>3521</v>
      </c>
      <c r="P9" s="782">
        <v>15000</v>
      </c>
      <c r="Q9" s="768" t="s">
        <v>3463</v>
      </c>
      <c r="R9" s="768" t="s">
        <v>3446</v>
      </c>
      <c r="T9" s="11"/>
      <c r="U9" s="90"/>
    </row>
    <row r="10" spans="1:21" s="5" customFormat="1" ht="24.6" customHeight="1">
      <c r="B10" s="1467" t="s">
        <v>287</v>
      </c>
      <c r="C10" s="324" t="s">
        <v>9</v>
      </c>
      <c r="D10" s="265"/>
      <c r="E10" s="640"/>
      <c r="F10" s="811"/>
      <c r="G10" s="811"/>
      <c r="H10" s="811"/>
      <c r="I10" s="640"/>
      <c r="J10" s="712"/>
      <c r="K10" s="712"/>
      <c r="L10" s="90"/>
      <c r="M10" s="90"/>
      <c r="N10" s="749" t="s">
        <v>3445</v>
      </c>
      <c r="O10" s="749" t="s">
        <v>3528</v>
      </c>
      <c r="P10" s="782">
        <v>12000</v>
      </c>
      <c r="Q10" s="768" t="s">
        <v>3463</v>
      </c>
      <c r="R10" s="768" t="s">
        <v>3446</v>
      </c>
      <c r="T10" s="11"/>
      <c r="U10" s="90"/>
    </row>
    <row r="11" spans="1:21" s="5" customFormat="1" ht="24.6" customHeight="1">
      <c r="B11" s="1467"/>
      <c r="C11" s="324"/>
      <c r="D11" s="265"/>
      <c r="E11" s="645"/>
      <c r="F11" s="645"/>
      <c r="G11" s="1574" t="s">
        <v>3558</v>
      </c>
      <c r="H11" s="1574"/>
      <c r="I11" s="645"/>
      <c r="J11" s="645"/>
      <c r="K11" s="645"/>
      <c r="L11" s="90"/>
      <c r="M11" s="90"/>
      <c r="N11" s="749" t="s">
        <v>3586</v>
      </c>
      <c r="O11" s="749" t="s">
        <v>3519</v>
      </c>
      <c r="P11" s="782">
        <v>14400</v>
      </c>
      <c r="Q11" s="768" t="s">
        <v>3463</v>
      </c>
      <c r="R11" s="768" t="s">
        <v>3446</v>
      </c>
      <c r="T11" s="11"/>
      <c r="U11" s="90"/>
    </row>
    <row r="12" spans="1:21" s="5" customFormat="1" ht="24.6" customHeight="1">
      <c r="B12" s="1467"/>
      <c r="C12" s="290" t="s">
        <v>292</v>
      </c>
      <c r="D12" s="265"/>
      <c r="E12" s="640"/>
      <c r="F12" s="1690" t="s">
        <v>3423</v>
      </c>
      <c r="G12" s="1691"/>
      <c r="H12" s="1691"/>
      <c r="I12" s="1691"/>
      <c r="J12" s="1692"/>
      <c r="K12" s="640"/>
      <c r="L12" s="90"/>
      <c r="M12" s="90"/>
      <c r="N12" s="749" t="s">
        <v>3514</v>
      </c>
      <c r="O12" s="749" t="s">
        <v>3529</v>
      </c>
      <c r="P12" s="782">
        <v>34000</v>
      </c>
      <c r="Q12" s="768" t="s">
        <v>3462</v>
      </c>
      <c r="R12" s="768" t="s">
        <v>3446</v>
      </c>
      <c r="T12" s="11"/>
      <c r="U12" s="90"/>
    </row>
    <row r="13" spans="1:21" s="5" customFormat="1" ht="24.6" customHeight="1">
      <c r="B13" s="1467"/>
      <c r="C13" s="325" t="s">
        <v>316</v>
      </c>
      <c r="D13" s="265"/>
      <c r="E13" s="640"/>
      <c r="F13" s="640"/>
      <c r="G13" s="789"/>
      <c r="H13" s="789"/>
      <c r="I13" s="640"/>
      <c r="J13" s="640"/>
      <c r="K13" s="640"/>
      <c r="L13" s="90"/>
      <c r="M13" s="90"/>
      <c r="N13" s="749" t="s">
        <v>3480</v>
      </c>
      <c r="O13" s="749" t="s">
        <v>3530</v>
      </c>
      <c r="P13" s="782">
        <v>34000</v>
      </c>
      <c r="Q13" s="768" t="s">
        <v>3462</v>
      </c>
      <c r="R13" s="768" t="s">
        <v>3307</v>
      </c>
      <c r="T13" s="11"/>
      <c r="U13" s="90"/>
    </row>
    <row r="14" spans="1:21" s="5" customFormat="1" ht="24.6" customHeight="1">
      <c r="B14" s="641" t="s">
        <v>317</v>
      </c>
      <c r="C14" s="125" t="s">
        <v>228</v>
      </c>
      <c r="D14" s="265"/>
      <c r="E14" s="640"/>
      <c r="F14" s="640"/>
      <c r="G14" s="640"/>
      <c r="H14" s="640"/>
      <c r="I14" s="125" t="s">
        <v>368</v>
      </c>
      <c r="J14" s="640"/>
      <c r="K14" s="640"/>
      <c r="L14" s="90"/>
      <c r="M14" s="90"/>
      <c r="N14" s="749" t="s">
        <v>3587</v>
      </c>
      <c r="O14" s="749" t="s">
        <v>3531</v>
      </c>
      <c r="P14" s="782">
        <v>34000</v>
      </c>
      <c r="Q14" s="768" t="s">
        <v>3462</v>
      </c>
      <c r="R14" s="768" t="s">
        <v>3307</v>
      </c>
      <c r="T14" s="11"/>
      <c r="U14" s="90"/>
    </row>
    <row r="15" spans="1:21" ht="24.6" customHeight="1">
      <c r="A15" s="84"/>
      <c r="B15" s="84"/>
      <c r="C15" s="5"/>
      <c r="D15" s="5"/>
      <c r="E15" s="266">
        <f>K5+1</f>
        <v>6</v>
      </c>
      <c r="F15" s="65">
        <f t="shared" ref="F15:K15" si="0">E15+1</f>
        <v>7</v>
      </c>
      <c r="G15" s="65">
        <f t="shared" si="0"/>
        <v>8</v>
      </c>
      <c r="H15" s="65">
        <f t="shared" si="0"/>
        <v>9</v>
      </c>
      <c r="I15" s="65">
        <f t="shared" si="0"/>
        <v>10</v>
      </c>
      <c r="J15" s="65">
        <f t="shared" si="0"/>
        <v>11</v>
      </c>
      <c r="K15" s="65">
        <f t="shared" si="0"/>
        <v>12</v>
      </c>
      <c r="N15" s="749" t="s">
        <v>3539</v>
      </c>
      <c r="O15" s="749" t="s">
        <v>3517</v>
      </c>
      <c r="P15" s="782">
        <v>2400</v>
      </c>
      <c r="Q15" s="768" t="s">
        <v>3463</v>
      </c>
      <c r="R15" s="791" t="s">
        <v>3307</v>
      </c>
    </row>
    <row r="16" spans="1:21" ht="24.6" customHeight="1">
      <c r="A16" s="84"/>
      <c r="B16" s="1467" t="s">
        <v>286</v>
      </c>
      <c r="C16" s="324" t="s">
        <v>9</v>
      </c>
      <c r="D16" s="265"/>
      <c r="E16" s="301"/>
      <c r="F16" s="301"/>
      <c r="G16" s="301"/>
      <c r="H16" s="301"/>
      <c r="I16" s="301"/>
      <c r="J16" s="301"/>
      <c r="K16" s="301"/>
      <c r="N16" s="749" t="s">
        <v>3427</v>
      </c>
      <c r="O16" s="749" t="s">
        <v>3544</v>
      </c>
      <c r="P16" s="782">
        <v>2500</v>
      </c>
      <c r="Q16" s="806" t="s">
        <v>3463</v>
      </c>
      <c r="R16" s="806" t="s">
        <v>3506</v>
      </c>
    </row>
    <row r="17" spans="1:21" ht="24.6" customHeight="1">
      <c r="A17" s="84"/>
      <c r="B17" s="1467"/>
      <c r="C17" s="290" t="s">
        <v>7</v>
      </c>
      <c r="D17" s="265"/>
      <c r="E17" s="301"/>
      <c r="F17" s="301"/>
      <c r="G17" s="301"/>
      <c r="H17" s="301"/>
      <c r="I17" s="301"/>
      <c r="J17" s="301"/>
      <c r="K17" s="301"/>
      <c r="N17" s="749" t="s">
        <v>3512</v>
      </c>
      <c r="O17" s="749" t="s">
        <v>3525</v>
      </c>
      <c r="P17" s="782">
        <v>34000</v>
      </c>
      <c r="Q17" s="768" t="s">
        <v>3462</v>
      </c>
      <c r="R17" s="771" t="s">
        <v>3465</v>
      </c>
    </row>
    <row r="18" spans="1:21" ht="24.6" customHeight="1">
      <c r="A18" s="84"/>
      <c r="B18" s="1467"/>
      <c r="C18" s="163" t="s">
        <v>389</v>
      </c>
      <c r="D18" s="265"/>
      <c r="E18" s="301"/>
      <c r="F18" s="301"/>
      <c r="G18" s="301"/>
      <c r="H18" s="301"/>
      <c r="I18" s="301"/>
      <c r="J18" s="301"/>
      <c r="K18" s="301"/>
      <c r="N18" s="749" t="s">
        <v>3513</v>
      </c>
      <c r="O18" s="749" t="s">
        <v>3526</v>
      </c>
      <c r="P18" s="782">
        <v>34000</v>
      </c>
      <c r="Q18" s="768" t="s">
        <v>3462</v>
      </c>
      <c r="R18" s="771" t="s">
        <v>3465</v>
      </c>
    </row>
    <row r="19" spans="1:21" ht="24.6" customHeight="1">
      <c r="A19" s="84"/>
      <c r="B19" s="1467"/>
      <c r="C19" s="325" t="s">
        <v>316</v>
      </c>
      <c r="D19" s="265"/>
      <c r="E19" s="301"/>
      <c r="F19" s="301"/>
      <c r="G19" s="301"/>
      <c r="H19" s="301"/>
      <c r="I19" s="301"/>
      <c r="J19" s="301"/>
      <c r="K19" s="301"/>
      <c r="N19" s="781" t="s">
        <v>3543</v>
      </c>
      <c r="O19" s="781" t="s">
        <v>3542</v>
      </c>
      <c r="P19" s="800">
        <v>848</v>
      </c>
      <c r="Q19" s="805" t="s">
        <v>3463</v>
      </c>
      <c r="R19" s="816" t="s">
        <v>3465</v>
      </c>
    </row>
    <row r="20" spans="1:21" ht="24.6" customHeight="1">
      <c r="A20" s="84"/>
      <c r="B20" s="1467" t="s">
        <v>287</v>
      </c>
      <c r="C20" s="324" t="s">
        <v>9</v>
      </c>
      <c r="D20" s="265"/>
      <c r="E20" s="301"/>
      <c r="F20" s="1556" t="s">
        <v>3559</v>
      </c>
      <c r="G20" s="1557"/>
      <c r="H20" s="301"/>
      <c r="I20" s="1556" t="s">
        <v>3561</v>
      </c>
      <c r="J20" s="1557"/>
      <c r="K20" s="301"/>
      <c r="N20" s="773" t="s">
        <v>3545</v>
      </c>
      <c r="O20" s="773" t="s">
        <v>3549</v>
      </c>
      <c r="P20" s="800">
        <v>2500</v>
      </c>
      <c r="Q20" s="702" t="s">
        <v>3463</v>
      </c>
      <c r="R20" s="815" t="s">
        <v>3307</v>
      </c>
    </row>
    <row r="21" spans="1:21" ht="24.6" customHeight="1">
      <c r="A21" s="84"/>
      <c r="B21" s="1467"/>
      <c r="C21" s="324"/>
      <c r="D21" s="265"/>
      <c r="E21" s="301"/>
      <c r="F21" s="301"/>
      <c r="G21" s="1556" t="s">
        <v>3560</v>
      </c>
      <c r="H21" s="1557"/>
      <c r="I21" s="301"/>
      <c r="J21" s="1556" t="s">
        <v>3562</v>
      </c>
      <c r="K21" s="1557"/>
      <c r="N21" s="749" t="s">
        <v>3583</v>
      </c>
      <c r="O21" s="749" t="s">
        <v>3556</v>
      </c>
      <c r="P21" s="782">
        <v>2500</v>
      </c>
      <c r="Q21" s="809" t="s">
        <v>3463</v>
      </c>
      <c r="R21" s="818" t="s">
        <v>3307</v>
      </c>
    </row>
    <row r="22" spans="1:21" ht="24" customHeight="1">
      <c r="A22" s="84"/>
      <c r="B22" s="1467"/>
      <c r="C22" s="290" t="s">
        <v>292</v>
      </c>
      <c r="D22" s="265"/>
      <c r="E22" s="301"/>
      <c r="G22" s="797" t="s">
        <v>3553</v>
      </c>
      <c r="H22" s="301"/>
      <c r="J22" s="301"/>
      <c r="K22" s="301"/>
    </row>
    <row r="23" spans="1:21" ht="24" customHeight="1">
      <c r="A23" s="84"/>
      <c r="B23" s="1467"/>
      <c r="C23" s="325" t="s">
        <v>316</v>
      </c>
      <c r="D23" s="265"/>
      <c r="E23" s="301"/>
      <c r="F23" s="301"/>
      <c r="H23" s="749" t="s">
        <v>3522</v>
      </c>
      <c r="I23" s="749" t="s">
        <v>3520</v>
      </c>
      <c r="J23" s="749" t="s">
        <v>3518</v>
      </c>
      <c r="K23" s="301"/>
      <c r="R23" s="84"/>
    </row>
    <row r="24" spans="1:21" ht="24.6" customHeight="1">
      <c r="A24" s="84"/>
      <c r="B24" s="641" t="s">
        <v>317</v>
      </c>
      <c r="C24" s="125" t="s">
        <v>228</v>
      </c>
      <c r="D24" s="265"/>
      <c r="E24" s="301"/>
      <c r="F24" s="301"/>
      <c r="G24" s="301"/>
      <c r="H24" s="125" t="s">
        <v>369</v>
      </c>
      <c r="I24" s="301"/>
      <c r="J24" s="224"/>
      <c r="K24" s="301"/>
      <c r="R24" s="84"/>
    </row>
    <row r="25" spans="1:21" ht="24.6" customHeight="1">
      <c r="A25" s="84"/>
      <c r="B25" s="84"/>
      <c r="C25" s="5"/>
      <c r="D25" s="5"/>
      <c r="E25" s="26">
        <f>K15+1</f>
        <v>13</v>
      </c>
      <c r="F25" s="175">
        <f t="shared" ref="F25:K25" si="1">E25+1</f>
        <v>14</v>
      </c>
      <c r="G25" s="175">
        <f t="shared" si="1"/>
        <v>15</v>
      </c>
      <c r="H25" s="175">
        <f t="shared" si="1"/>
        <v>16</v>
      </c>
      <c r="I25" s="175">
        <f t="shared" si="1"/>
        <v>17</v>
      </c>
      <c r="J25" s="175">
        <f t="shared" si="1"/>
        <v>18</v>
      </c>
      <c r="K25" s="175">
        <f t="shared" si="1"/>
        <v>19</v>
      </c>
      <c r="R25" s="84"/>
    </row>
    <row r="26" spans="1:21" ht="24.6" customHeight="1">
      <c r="A26" s="84"/>
      <c r="B26" s="1467" t="s">
        <v>286</v>
      </c>
      <c r="C26" s="324" t="s">
        <v>9</v>
      </c>
      <c r="D26" s="265"/>
      <c r="E26" s="640"/>
      <c r="F26" s="640"/>
      <c r="G26" s="640"/>
      <c r="H26" s="640"/>
      <c r="I26" s="640"/>
      <c r="J26" s="640"/>
      <c r="K26" s="640"/>
      <c r="N26" s="799"/>
      <c r="O26" s="799"/>
      <c r="P26" s="84"/>
      <c r="Q26" s="84"/>
      <c r="R26" s="84"/>
    </row>
    <row r="27" spans="1:21" ht="24.6" customHeight="1">
      <c r="A27" s="84"/>
      <c r="B27" s="1467"/>
      <c r="C27" s="290" t="s">
        <v>7</v>
      </c>
      <c r="D27" s="265"/>
      <c r="E27" s="640"/>
      <c r="F27" s="640"/>
      <c r="G27" s="640"/>
      <c r="H27" s="640"/>
      <c r="I27" s="640"/>
      <c r="J27" s="640"/>
      <c r="K27" s="640"/>
      <c r="L27" s="84"/>
      <c r="M27" s="84"/>
      <c r="Q27" s="84"/>
      <c r="R27" s="84"/>
      <c r="S27" s="84"/>
      <c r="T27" s="84"/>
      <c r="U27" s="84"/>
    </row>
    <row r="28" spans="1:21" ht="24.6" customHeight="1">
      <c r="A28" s="84"/>
      <c r="B28" s="1467"/>
      <c r="C28" s="163" t="s">
        <v>389</v>
      </c>
      <c r="D28" s="265"/>
      <c r="E28" s="640"/>
      <c r="F28" s="640"/>
      <c r="G28" s="640"/>
      <c r="H28" s="640"/>
      <c r="I28" s="640"/>
      <c r="J28" s="712"/>
      <c r="K28" s="712"/>
      <c r="L28" s="84"/>
      <c r="M28" s="84"/>
      <c r="Q28" s="84"/>
      <c r="R28" s="84"/>
      <c r="S28" s="84"/>
      <c r="T28" s="84"/>
      <c r="U28" s="84"/>
    </row>
    <row r="29" spans="1:21" ht="24.6" customHeight="1">
      <c r="A29" s="84"/>
      <c r="B29" s="1467"/>
      <c r="C29" s="325" t="s">
        <v>316</v>
      </c>
      <c r="D29" s="265"/>
      <c r="E29" s="640"/>
      <c r="F29" s="640"/>
      <c r="G29" s="640"/>
      <c r="H29" s="640"/>
      <c r="I29" s="640"/>
      <c r="J29" s="640"/>
      <c r="K29" s="640"/>
      <c r="L29" s="84"/>
      <c r="M29" s="84"/>
      <c r="N29" s="84"/>
      <c r="O29" s="84"/>
      <c r="Q29" s="84"/>
      <c r="R29" s="84"/>
      <c r="S29" s="84"/>
      <c r="T29" s="84"/>
      <c r="U29" s="84"/>
    </row>
    <row r="30" spans="1:21" ht="24.6" customHeight="1">
      <c r="A30" s="84"/>
      <c r="B30" s="1467" t="s">
        <v>287</v>
      </c>
      <c r="C30" s="324" t="s">
        <v>9</v>
      </c>
      <c r="D30" s="265"/>
      <c r="E30" s="640"/>
      <c r="F30" s="1574" t="s">
        <v>3566</v>
      </c>
      <c r="G30" s="1574"/>
      <c r="H30" s="712"/>
      <c r="I30" s="1574" t="s">
        <v>3584</v>
      </c>
      <c r="J30" s="1574"/>
      <c r="K30" s="712"/>
      <c r="L30" s="84"/>
      <c r="M30" s="84"/>
      <c r="N30" s="84"/>
      <c r="O30" s="84"/>
      <c r="P30" s="84"/>
      <c r="Q30" s="84"/>
      <c r="R30" s="84"/>
      <c r="S30" s="84"/>
      <c r="T30" s="84"/>
      <c r="U30" s="84"/>
    </row>
    <row r="31" spans="1:21" ht="24.6" customHeight="1">
      <c r="A31" s="84"/>
      <c r="B31" s="1467"/>
      <c r="C31" s="324"/>
      <c r="D31" s="265"/>
      <c r="E31" s="645"/>
      <c r="F31" s="645"/>
      <c r="G31" s="1574" t="s">
        <v>3567</v>
      </c>
      <c r="H31" s="1574"/>
      <c r="I31" s="712"/>
      <c r="J31" s="1574" t="s">
        <v>3585</v>
      </c>
      <c r="K31" s="1574"/>
      <c r="L31" s="84"/>
      <c r="M31" s="84"/>
      <c r="Q31" s="84"/>
      <c r="R31" s="84"/>
      <c r="S31" s="84"/>
      <c r="T31" s="84"/>
      <c r="U31" s="84"/>
    </row>
    <row r="32" spans="1:21" ht="24.6" customHeight="1">
      <c r="A32" s="84"/>
      <c r="B32" s="1467"/>
      <c r="C32" s="290" t="s">
        <v>292</v>
      </c>
      <c r="D32" s="265"/>
      <c r="E32" s="640"/>
      <c r="F32" s="1685" t="s">
        <v>3527</v>
      </c>
      <c r="G32" s="1686"/>
      <c r="H32" s="804"/>
      <c r="I32" s="749" t="s">
        <v>3510</v>
      </c>
      <c r="J32" s="797" t="s">
        <v>3511</v>
      </c>
      <c r="K32" s="640"/>
      <c r="L32" s="84"/>
      <c r="M32" s="84"/>
      <c r="S32" s="84"/>
      <c r="T32" s="84"/>
      <c r="U32" s="84"/>
    </row>
    <row r="33" spans="1:21" ht="24.6" customHeight="1">
      <c r="A33" s="84"/>
      <c r="B33" s="1467"/>
      <c r="C33" s="325" t="s">
        <v>316</v>
      </c>
      <c r="D33" s="265"/>
      <c r="E33" s="640"/>
      <c r="F33" s="767"/>
      <c r="G33" s="804"/>
      <c r="H33" s="804"/>
      <c r="I33" s="767"/>
      <c r="J33" s="775"/>
      <c r="K33" s="640"/>
      <c r="L33" s="84"/>
      <c r="M33" s="84"/>
      <c r="O33" s="84"/>
      <c r="P33" s="84"/>
      <c r="S33" s="84"/>
      <c r="T33" s="84"/>
      <c r="U33" s="84"/>
    </row>
    <row r="34" spans="1:21" ht="24.6" customHeight="1">
      <c r="A34" s="84"/>
      <c r="B34" s="641" t="s">
        <v>317</v>
      </c>
      <c r="C34" s="125" t="s">
        <v>228</v>
      </c>
      <c r="D34" s="265"/>
      <c r="E34" s="640"/>
      <c r="F34" s="640"/>
      <c r="G34" s="640"/>
      <c r="H34" s="640"/>
      <c r="I34" s="640"/>
      <c r="J34" s="640"/>
      <c r="K34" s="640"/>
      <c r="L34" s="84"/>
      <c r="M34" s="84"/>
      <c r="Q34" s="84"/>
      <c r="R34" s="84"/>
      <c r="S34" s="84"/>
      <c r="T34" s="84"/>
      <c r="U34" s="84"/>
    </row>
    <row r="35" spans="1:21" ht="24.6" customHeight="1">
      <c r="A35" s="84"/>
      <c r="B35" s="84"/>
      <c r="C35" s="5"/>
      <c r="D35" s="5"/>
      <c r="E35" s="266">
        <f>K25+1</f>
        <v>20</v>
      </c>
      <c r="F35" s="304">
        <f t="shared" ref="F35:K35" si="2">E35+1</f>
        <v>21</v>
      </c>
      <c r="G35" s="304">
        <f t="shared" si="2"/>
        <v>22</v>
      </c>
      <c r="H35" s="304">
        <f t="shared" si="2"/>
        <v>23</v>
      </c>
      <c r="I35" s="304">
        <f t="shared" si="2"/>
        <v>24</v>
      </c>
      <c r="J35" s="304">
        <f t="shared" si="2"/>
        <v>25</v>
      </c>
      <c r="K35" s="65">
        <f t="shared" si="2"/>
        <v>26</v>
      </c>
      <c r="L35" s="84"/>
      <c r="M35" s="84"/>
      <c r="Q35" s="84"/>
      <c r="R35" s="84"/>
      <c r="S35" s="84"/>
      <c r="T35" s="84"/>
      <c r="U35" s="84"/>
    </row>
    <row r="36" spans="1:21" ht="24.6" customHeight="1">
      <c r="A36" s="84"/>
      <c r="B36" s="1467" t="s">
        <v>286</v>
      </c>
      <c r="C36" s="324" t="s">
        <v>9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"/>
      <c r="O36" s="84"/>
      <c r="P36" s="84"/>
      <c r="Q36" s="84"/>
      <c r="R36" s="84"/>
      <c r="S36" s="84"/>
      <c r="T36" s="84"/>
      <c r="U36" s="84"/>
    </row>
    <row r="37" spans="1:21" ht="24.6" customHeight="1">
      <c r="A37" s="84"/>
      <c r="B37" s="1467"/>
      <c r="C37" s="290" t="s">
        <v>7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  <c r="T37" s="84"/>
      <c r="U37" s="84"/>
    </row>
    <row r="38" spans="1:21" ht="24.6" customHeight="1">
      <c r="A38" s="84"/>
      <c r="B38" s="1467"/>
      <c r="C38" s="163" t="s">
        <v>389</v>
      </c>
      <c r="D38" s="265"/>
      <c r="E38" s="301"/>
      <c r="F38" s="301"/>
      <c r="G38" s="301"/>
      <c r="I38" s="301"/>
      <c r="J38" s="301"/>
      <c r="K38" s="301"/>
      <c r="L38" s="84"/>
      <c r="M38" s="84"/>
      <c r="N38" s="84"/>
      <c r="O38" s="84"/>
      <c r="P38" s="84"/>
      <c r="Q38" s="84"/>
      <c r="R38" s="84"/>
      <c r="S38" s="84"/>
      <c r="T38" s="84"/>
      <c r="U38" s="84"/>
    </row>
    <row r="39" spans="1:21" ht="24.6" customHeight="1">
      <c r="A39" s="84"/>
      <c r="B39" s="1467"/>
      <c r="C39" s="325" t="s">
        <v>316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O39" s="84"/>
      <c r="P39" s="84"/>
      <c r="Q39" s="84"/>
      <c r="R39" s="84"/>
      <c r="S39" s="84"/>
      <c r="T39" s="84"/>
      <c r="U39" s="84"/>
    </row>
    <row r="40" spans="1:21" ht="24" customHeight="1">
      <c r="A40" s="84"/>
      <c r="B40" s="1467" t="s">
        <v>287</v>
      </c>
      <c r="C40" s="324" t="s">
        <v>9</v>
      </c>
      <c r="D40" s="265"/>
      <c r="E40" s="301"/>
      <c r="F40" s="1574" t="s">
        <v>3599</v>
      </c>
      <c r="G40" s="1574"/>
      <c r="H40" s="301"/>
      <c r="I40" s="1574" t="s">
        <v>3601</v>
      </c>
      <c r="J40" s="1574"/>
      <c r="K40" s="301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ht="24" customHeight="1">
      <c r="A41" s="84"/>
      <c r="B41" s="1467"/>
      <c r="C41" s="324"/>
      <c r="D41" s="265"/>
      <c r="E41" s="301"/>
      <c r="F41" s="301"/>
      <c r="G41" s="1577" t="s">
        <v>3600</v>
      </c>
      <c r="H41" s="1577"/>
      <c r="I41" s="808"/>
      <c r="J41" s="1574" t="s">
        <v>3602</v>
      </c>
      <c r="K41" s="1574"/>
      <c r="L41" s="84"/>
      <c r="M41" s="84"/>
      <c r="N41" s="84"/>
      <c r="O41" s="84"/>
      <c r="P41" s="84"/>
      <c r="Q41" s="84"/>
      <c r="R41" s="84"/>
      <c r="S41" s="84"/>
      <c r="T41" s="84"/>
      <c r="U41" s="84"/>
    </row>
    <row r="42" spans="1:21" ht="24.6" customHeight="1">
      <c r="A42" s="84"/>
      <c r="B42" s="1467"/>
      <c r="C42" s="290" t="s">
        <v>292</v>
      </c>
      <c r="D42" s="265"/>
      <c r="E42" s="301"/>
      <c r="F42" s="1685" t="s">
        <v>3479</v>
      </c>
      <c r="G42" s="1686"/>
      <c r="H42" s="808"/>
      <c r="I42" s="1687" t="s">
        <v>3610</v>
      </c>
      <c r="J42" s="1688"/>
      <c r="K42" s="1689"/>
      <c r="L42" s="84"/>
      <c r="M42" s="84"/>
      <c r="N42" s="84"/>
      <c r="O42" s="84"/>
      <c r="P42" s="84"/>
      <c r="Q42" s="84"/>
      <c r="R42" s="84"/>
      <c r="S42" s="84"/>
      <c r="T42" s="84"/>
      <c r="U42" s="84"/>
    </row>
    <row r="43" spans="1:21" ht="24.6" customHeight="1">
      <c r="A43" s="84"/>
      <c r="B43" s="1467"/>
      <c r="C43" s="325" t="s">
        <v>316</v>
      </c>
      <c r="D43" s="265"/>
      <c r="E43" s="301"/>
      <c r="G43" s="1685" t="s">
        <v>3538</v>
      </c>
      <c r="H43" s="1694"/>
      <c r="I43" s="1687"/>
      <c r="J43" s="1688"/>
      <c r="K43" s="1689"/>
      <c r="L43" s="84"/>
      <c r="M43" s="84"/>
      <c r="N43" s="84"/>
      <c r="O43" s="84"/>
      <c r="P43" s="84"/>
      <c r="Q43" s="84"/>
      <c r="R43" s="84"/>
      <c r="S43" s="84"/>
      <c r="T43" s="84"/>
      <c r="U43" s="84"/>
    </row>
    <row r="44" spans="1:21" ht="24.6" customHeight="1">
      <c r="A44" s="84"/>
      <c r="B44" s="641" t="s">
        <v>317</v>
      </c>
      <c r="C44" s="125" t="s">
        <v>228</v>
      </c>
      <c r="D44" s="265"/>
      <c r="E44" s="345"/>
      <c r="F44" s="301"/>
      <c r="G44" s="301"/>
      <c r="I44" s="301"/>
      <c r="J44" s="267"/>
      <c r="K44" s="345"/>
      <c r="L44" s="84"/>
      <c r="M44" s="84"/>
      <c r="Q44" s="84"/>
      <c r="R44" s="84"/>
      <c r="S44" s="84"/>
      <c r="T44" s="84"/>
      <c r="U44" s="84"/>
    </row>
    <row r="45" spans="1:21" ht="24.6" customHeight="1">
      <c r="A45" s="84"/>
      <c r="B45" s="84"/>
      <c r="C45" s="269"/>
      <c r="D45" s="265"/>
      <c r="E45" s="26">
        <f>K35+1</f>
        <v>27</v>
      </c>
      <c r="F45" s="175">
        <f>E45+1</f>
        <v>28</v>
      </c>
      <c r="G45" s="175">
        <f>F45+1</f>
        <v>29</v>
      </c>
      <c r="H45" s="175">
        <f>G45+1</f>
        <v>30</v>
      </c>
      <c r="I45" s="175">
        <f>H45+1</f>
        <v>31</v>
      </c>
      <c r="J45" s="175"/>
      <c r="K45" s="175"/>
      <c r="L45" s="84"/>
      <c r="M45" s="84"/>
      <c r="Q45" s="84"/>
      <c r="R45" s="84"/>
      <c r="S45" s="84"/>
      <c r="T45" s="84"/>
      <c r="U45" s="84"/>
    </row>
    <row r="46" spans="1:21" ht="24.6" customHeight="1">
      <c r="A46" s="84"/>
      <c r="B46" s="1467" t="s">
        <v>286</v>
      </c>
      <c r="C46" s="324" t="s">
        <v>9</v>
      </c>
      <c r="D46" s="265"/>
      <c r="E46" s="640"/>
      <c r="F46" s="640"/>
      <c r="G46" s="640"/>
      <c r="H46" s="640"/>
      <c r="I46" s="640"/>
      <c r="J46" s="640"/>
      <c r="K46" s="640"/>
      <c r="L46" s="84"/>
      <c r="M46" s="84"/>
      <c r="S46" s="84"/>
      <c r="T46" s="84"/>
      <c r="U46" s="84"/>
    </row>
    <row r="47" spans="1:21" ht="24.6" customHeight="1">
      <c r="A47" s="84"/>
      <c r="B47" s="1467"/>
      <c r="C47" s="290" t="s">
        <v>7</v>
      </c>
      <c r="D47" s="265"/>
      <c r="E47" s="640"/>
      <c r="F47" s="640"/>
      <c r="G47" s="640"/>
      <c r="H47" s="640"/>
      <c r="I47" s="640"/>
      <c r="J47" s="640"/>
      <c r="K47" s="640"/>
      <c r="L47" s="84"/>
      <c r="M47" s="84"/>
      <c r="S47" s="84"/>
      <c r="T47" s="84"/>
      <c r="U47" s="84"/>
    </row>
    <row r="48" spans="1:21" ht="24.6" customHeight="1">
      <c r="A48" s="84"/>
      <c r="B48" s="1467"/>
      <c r="C48" s="163" t="s">
        <v>389</v>
      </c>
      <c r="D48" s="265"/>
      <c r="E48" s="640"/>
      <c r="F48" s="640"/>
      <c r="G48" s="640"/>
      <c r="H48" s="640"/>
      <c r="I48" s="640"/>
      <c r="J48" s="640"/>
      <c r="K48" s="640"/>
      <c r="L48" s="84"/>
      <c r="M48" s="84"/>
      <c r="S48" s="84"/>
      <c r="T48" s="84"/>
      <c r="U48" s="84"/>
    </row>
    <row r="49" spans="1:21" ht="24.6" customHeight="1">
      <c r="A49" s="84"/>
      <c r="B49" s="1467"/>
      <c r="C49" s="325" t="s">
        <v>316</v>
      </c>
      <c r="D49" s="265"/>
      <c r="E49" s="640"/>
      <c r="F49" s="640"/>
      <c r="G49" s="640"/>
      <c r="H49" s="640"/>
      <c r="I49" s="640"/>
      <c r="J49" s="640"/>
      <c r="K49" s="640"/>
      <c r="L49" s="84"/>
      <c r="M49" s="84"/>
      <c r="S49" s="84"/>
      <c r="T49" s="84"/>
      <c r="U49" s="84"/>
    </row>
    <row r="50" spans="1:21" ht="24.6" customHeight="1">
      <c r="A50" s="84"/>
      <c r="B50" s="1467" t="s">
        <v>287</v>
      </c>
      <c r="C50" s="324" t="s">
        <v>9</v>
      </c>
      <c r="D50" s="265"/>
      <c r="E50" s="640"/>
      <c r="F50" s="1574" t="s">
        <v>3603</v>
      </c>
      <c r="G50" s="1574"/>
      <c r="H50" s="640"/>
      <c r="I50" s="1574" t="s">
        <v>3605</v>
      </c>
      <c r="J50" s="1574"/>
      <c r="K50" s="640"/>
      <c r="L50" s="84"/>
      <c r="M50" s="84"/>
      <c r="S50" s="84"/>
      <c r="T50" s="84"/>
      <c r="U50" s="84"/>
    </row>
    <row r="51" spans="1:21" ht="24.6" customHeight="1">
      <c r="A51" s="84"/>
      <c r="B51" s="1467"/>
      <c r="C51" s="324"/>
      <c r="D51" s="265"/>
      <c r="E51" s="645"/>
      <c r="F51" s="645"/>
      <c r="G51" s="1574" t="s">
        <v>3604</v>
      </c>
      <c r="H51" s="1574"/>
      <c r="I51" s="712"/>
      <c r="J51" s="828"/>
      <c r="K51" s="828"/>
      <c r="L51" s="84"/>
      <c r="M51" s="84"/>
      <c r="S51" s="84"/>
      <c r="T51" s="84"/>
      <c r="U51" s="84"/>
    </row>
    <row r="52" spans="1:21" ht="24.6" customHeight="1">
      <c r="A52" s="84"/>
      <c r="B52" s="1467"/>
      <c r="C52" s="290" t="s">
        <v>292</v>
      </c>
      <c r="D52" s="265"/>
      <c r="E52" s="640"/>
      <c r="F52" s="824"/>
      <c r="G52" s="749" t="s">
        <v>3540</v>
      </c>
      <c r="H52" s="749" t="s">
        <v>3554</v>
      </c>
      <c r="I52" s="804"/>
      <c r="J52" s="827"/>
      <c r="K52" s="827"/>
      <c r="L52" s="84"/>
      <c r="M52" s="84"/>
      <c r="S52" s="84"/>
      <c r="T52" s="84"/>
      <c r="U52" s="84"/>
    </row>
    <row r="53" spans="1:21" ht="24.6" customHeight="1">
      <c r="A53" s="84"/>
      <c r="B53" s="1467"/>
      <c r="C53" s="325" t="s">
        <v>316</v>
      </c>
      <c r="D53" s="265"/>
      <c r="E53" s="640"/>
      <c r="F53" s="824"/>
      <c r="G53" s="749" t="s">
        <v>3582</v>
      </c>
      <c r="H53" s="773" t="s">
        <v>3548</v>
      </c>
      <c r="I53" s="797" t="s">
        <v>3588</v>
      </c>
      <c r="J53" s="828"/>
      <c r="K53" s="640"/>
      <c r="L53" s="84"/>
      <c r="M53" s="84"/>
      <c r="S53" s="84"/>
      <c r="T53" s="84"/>
      <c r="U53" s="84"/>
    </row>
    <row r="54" spans="1:21" ht="24.6" customHeight="1">
      <c r="A54" s="84"/>
      <c r="B54" s="641" t="s">
        <v>317</v>
      </c>
      <c r="C54" s="125" t="s">
        <v>228</v>
      </c>
      <c r="D54" s="265"/>
      <c r="E54" s="640"/>
      <c r="F54" s="640"/>
      <c r="G54" s="640"/>
      <c r="H54" s="640"/>
      <c r="I54" s="640"/>
      <c r="J54" s="640"/>
      <c r="K54" s="640"/>
      <c r="L54" s="84"/>
      <c r="M54" s="84"/>
      <c r="S54" s="84"/>
      <c r="T54" s="84"/>
      <c r="U54" s="84"/>
    </row>
  </sheetData>
  <mergeCells count="35">
    <mergeCell ref="O2:Q2"/>
    <mergeCell ref="O3:Q3"/>
    <mergeCell ref="I50:J50"/>
    <mergeCell ref="B50:B53"/>
    <mergeCell ref="B46:B49"/>
    <mergeCell ref="F50:G50"/>
    <mergeCell ref="B40:B43"/>
    <mergeCell ref="F40:G40"/>
    <mergeCell ref="G51:H51"/>
    <mergeCell ref="F42:G42"/>
    <mergeCell ref="G43:H43"/>
    <mergeCell ref="B6:B9"/>
    <mergeCell ref="B10:B13"/>
    <mergeCell ref="B16:B19"/>
    <mergeCell ref="G11:H11"/>
    <mergeCell ref="B26:B29"/>
    <mergeCell ref="B30:B33"/>
    <mergeCell ref="B36:B39"/>
    <mergeCell ref="G31:H31"/>
    <mergeCell ref="J21:K21"/>
    <mergeCell ref="F30:G30"/>
    <mergeCell ref="I30:J30"/>
    <mergeCell ref="J31:K31"/>
    <mergeCell ref="B20:B23"/>
    <mergeCell ref="G21:H21"/>
    <mergeCell ref="F32:G32"/>
    <mergeCell ref="I42:K43"/>
    <mergeCell ref="E3:G3"/>
    <mergeCell ref="H3:K3"/>
    <mergeCell ref="G41:H41"/>
    <mergeCell ref="J41:K41"/>
    <mergeCell ref="I40:J40"/>
    <mergeCell ref="F20:G20"/>
    <mergeCell ref="I20:J20"/>
    <mergeCell ref="F12:J12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9">
    <pageSetUpPr fitToPage="1"/>
  </sheetPr>
  <dimension ref="A1:V54"/>
  <sheetViews>
    <sheetView topLeftCell="A25" zoomScale="55" zoomScaleNormal="55" workbookViewId="0">
      <selection activeCell="G37" sqref="G37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43.77734375" style="90" bestFit="1" customWidth="1"/>
    <col min="15" max="15" width="16.21875" style="90" bestFit="1" customWidth="1"/>
    <col min="16" max="17" width="11.21875" style="90" customWidth="1"/>
    <col min="18" max="18" width="30" style="90" bestFit="1" customWidth="1"/>
    <col min="19" max="20" width="6.6640625" style="90" customWidth="1"/>
    <col min="21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683"/>
    </row>
    <row r="2" spans="1:22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  <c r="N2" s="794" t="s">
        <v>3290</v>
      </c>
      <c r="O2" s="1515" t="s">
        <v>3291</v>
      </c>
      <c r="P2" s="1516"/>
      <c r="Q2" s="1517"/>
      <c r="R2" s="793" t="s">
        <v>3292</v>
      </c>
    </row>
    <row r="3" spans="1:22" ht="57">
      <c r="A3" s="84"/>
      <c r="B3" s="84"/>
      <c r="C3" s="5"/>
      <c r="D3" s="5"/>
      <c r="E3" s="1450">
        <v>45597</v>
      </c>
      <c r="F3" s="1450"/>
      <c r="G3" s="1450"/>
      <c r="H3" s="1451" t="s">
        <v>10</v>
      </c>
      <c r="I3" s="1452"/>
      <c r="J3" s="1452"/>
      <c r="K3" s="1452"/>
      <c r="N3" s="796">
        <f>SUMIF($Q$9:$Q$29,"F",$P$9:$P$29)</f>
        <v>272000</v>
      </c>
      <c r="O3" s="1675">
        <f>SUMIF($Q$8:$Q$25,"S",$P$8:$P$28)</f>
        <v>88269</v>
      </c>
      <c r="P3" s="1693"/>
      <c r="Q3" s="1676"/>
      <c r="R3" s="684">
        <f>N3+O3</f>
        <v>360269</v>
      </c>
    </row>
    <row r="4" spans="1:22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s="5" customFormat="1" ht="24.6" customHeight="1">
      <c r="E5" s="26"/>
      <c r="F5" s="175"/>
      <c r="G5" s="175"/>
      <c r="H5" s="175"/>
      <c r="I5" s="175"/>
      <c r="J5" s="175">
        <f>I5+1</f>
        <v>1</v>
      </c>
      <c r="K5" s="175">
        <f>J5+1</f>
        <v>2</v>
      </c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s="5" customFormat="1" ht="24.6" customHeight="1">
      <c r="B6" s="1467" t="s">
        <v>286</v>
      </c>
      <c r="C6" s="324" t="s">
        <v>9</v>
      </c>
      <c r="D6" s="265"/>
      <c r="E6" s="640"/>
      <c r="F6" s="640"/>
      <c r="G6" s="640"/>
      <c r="H6" s="640"/>
      <c r="I6" s="640"/>
      <c r="J6" s="640"/>
      <c r="K6" s="640"/>
      <c r="L6" s="90"/>
      <c r="M6" s="90"/>
      <c r="S6" s="11"/>
      <c r="T6" s="90"/>
    </row>
    <row r="7" spans="1:22" s="5" customFormat="1" ht="24.6" customHeight="1">
      <c r="B7" s="1467"/>
      <c r="C7" s="290" t="s">
        <v>7</v>
      </c>
      <c r="D7" s="265"/>
      <c r="E7" s="640"/>
      <c r="F7" s="640"/>
      <c r="G7" s="640"/>
      <c r="H7" s="640"/>
      <c r="I7" s="640"/>
      <c r="J7" s="640"/>
      <c r="K7" s="640"/>
      <c r="L7" s="90"/>
      <c r="M7" s="90"/>
      <c r="N7" s="683" t="s">
        <v>2916</v>
      </c>
      <c r="O7" s="683"/>
      <c r="S7" s="11"/>
      <c r="T7" s="90"/>
    </row>
    <row r="8" spans="1:22" s="5" customFormat="1" ht="24.6" customHeight="1">
      <c r="B8" s="1467"/>
      <c r="C8" s="163" t="s">
        <v>389</v>
      </c>
      <c r="D8" s="265"/>
      <c r="E8" s="640"/>
      <c r="F8" s="640"/>
      <c r="G8" s="640"/>
      <c r="H8" s="640"/>
      <c r="I8" s="640"/>
      <c r="J8" s="640"/>
      <c r="K8" s="640"/>
      <c r="L8" s="90"/>
      <c r="M8" s="90"/>
      <c r="N8" s="795" t="s">
        <v>2732</v>
      </c>
      <c r="O8" s="807" t="s">
        <v>3524</v>
      </c>
      <c r="P8" s="795" t="s">
        <v>3464</v>
      </c>
      <c r="Q8" s="795" t="s">
        <v>3461</v>
      </c>
      <c r="R8" s="795" t="s">
        <v>3482</v>
      </c>
      <c r="S8" s="11"/>
      <c r="T8" s="90"/>
    </row>
    <row r="9" spans="1:22" s="5" customFormat="1" ht="24.6" customHeight="1">
      <c r="B9" s="1467"/>
      <c r="C9" s="325" t="s">
        <v>316</v>
      </c>
      <c r="D9" s="265"/>
      <c r="E9" s="640"/>
      <c r="F9" s="798"/>
      <c r="G9" s="640"/>
      <c r="H9" s="640"/>
      <c r="I9" s="640"/>
      <c r="J9" s="712"/>
      <c r="K9" s="712"/>
      <c r="L9" s="90"/>
      <c r="M9" s="90"/>
      <c r="N9" s="781" t="s">
        <v>3429</v>
      </c>
      <c r="O9" s="781" t="s">
        <v>3621</v>
      </c>
      <c r="P9" s="800">
        <v>33529</v>
      </c>
      <c r="Q9" s="792" t="s">
        <v>3622</v>
      </c>
      <c r="R9" s="821" t="s">
        <v>3627</v>
      </c>
      <c r="S9" s="11"/>
      <c r="T9" s="90"/>
    </row>
    <row r="10" spans="1:22" s="5" customFormat="1" ht="24.6" customHeight="1">
      <c r="B10" s="1467" t="s">
        <v>287</v>
      </c>
      <c r="C10" s="324" t="s">
        <v>9</v>
      </c>
      <c r="D10" s="265"/>
      <c r="E10" s="640"/>
      <c r="F10" s="640"/>
      <c r="G10" s="640"/>
      <c r="H10" s="640"/>
      <c r="I10" s="640"/>
      <c r="J10" s="640"/>
      <c r="K10" s="640"/>
      <c r="L10" s="90"/>
      <c r="M10" s="90"/>
      <c r="N10" s="773" t="s">
        <v>3578</v>
      </c>
      <c r="O10" s="773" t="s">
        <v>3532</v>
      </c>
      <c r="P10" s="800">
        <v>34000</v>
      </c>
      <c r="Q10" s="792" t="s">
        <v>3483</v>
      </c>
      <c r="R10" s="821" t="s">
        <v>3608</v>
      </c>
      <c r="S10" s="11"/>
      <c r="T10" s="90"/>
    </row>
    <row r="11" spans="1:22" s="5" customFormat="1" ht="24.6" customHeight="1">
      <c r="B11" s="1467"/>
      <c r="C11" s="324"/>
      <c r="D11" s="265"/>
      <c r="E11" s="645"/>
      <c r="F11" s="645"/>
      <c r="G11" s="645"/>
      <c r="H11" s="645"/>
      <c r="I11" s="645"/>
      <c r="J11" s="1556" t="s">
        <v>3623</v>
      </c>
      <c r="K11" s="1557"/>
      <c r="L11" s="90"/>
      <c r="M11" s="90"/>
      <c r="N11" s="773" t="s">
        <v>3515</v>
      </c>
      <c r="O11" s="773" t="s">
        <v>3575</v>
      </c>
      <c r="P11" s="800">
        <v>34000</v>
      </c>
      <c r="Q11" s="792" t="s">
        <v>3483</v>
      </c>
      <c r="R11" s="821" t="s">
        <v>3608</v>
      </c>
      <c r="S11" s="11"/>
      <c r="T11" s="90"/>
    </row>
    <row r="12" spans="1:22" s="5" customFormat="1" ht="24.6" customHeight="1">
      <c r="B12" s="1467"/>
      <c r="C12" s="290" t="s">
        <v>292</v>
      </c>
      <c r="D12" s="265"/>
      <c r="E12" s="640"/>
      <c r="F12" s="640"/>
      <c r="G12" s="640"/>
      <c r="H12" s="640"/>
      <c r="I12" s="827"/>
      <c r="J12" s="797" t="s">
        <v>3589</v>
      </c>
      <c r="K12" s="640"/>
      <c r="L12" s="90"/>
      <c r="M12" s="90"/>
      <c r="N12" s="773" t="s">
        <v>3481</v>
      </c>
      <c r="O12" s="773" t="s">
        <v>3576</v>
      </c>
      <c r="P12" s="800">
        <v>34000</v>
      </c>
      <c r="Q12" s="792" t="s">
        <v>3483</v>
      </c>
      <c r="R12" s="821" t="s">
        <v>3608</v>
      </c>
      <c r="S12" s="11"/>
      <c r="T12" s="90"/>
    </row>
    <row r="13" spans="1:22" s="5" customFormat="1" ht="24.6" customHeight="1">
      <c r="B13" s="1467"/>
      <c r="C13" s="325" t="s">
        <v>316</v>
      </c>
      <c r="D13" s="265"/>
      <c r="E13" s="640"/>
      <c r="F13" s="640"/>
      <c r="G13" s="640"/>
      <c r="H13" s="640"/>
      <c r="I13" s="640"/>
      <c r="J13" s="640"/>
      <c r="K13" s="640"/>
      <c r="L13" s="90"/>
      <c r="M13" s="90"/>
      <c r="N13" s="773" t="s">
        <v>3616</v>
      </c>
      <c r="O13" s="773" t="s">
        <v>3607</v>
      </c>
      <c r="P13" s="800">
        <v>34000</v>
      </c>
      <c r="Q13" s="792" t="s">
        <v>3483</v>
      </c>
      <c r="R13" s="821" t="s">
        <v>3609</v>
      </c>
      <c r="S13" s="11"/>
      <c r="T13" s="90"/>
    </row>
    <row r="14" spans="1:22" s="5" customFormat="1" ht="24.6" customHeight="1">
      <c r="B14" s="641" t="s">
        <v>317</v>
      </c>
      <c r="C14" s="125" t="s">
        <v>228</v>
      </c>
      <c r="D14" s="265"/>
      <c r="E14" s="640"/>
      <c r="F14" s="640"/>
      <c r="G14" s="640"/>
      <c r="H14" s="640"/>
      <c r="I14" s="640"/>
      <c r="J14" s="640"/>
      <c r="K14" s="640"/>
      <c r="L14" s="90"/>
      <c r="M14" s="90"/>
      <c r="N14" s="749" t="s">
        <v>3426</v>
      </c>
      <c r="O14" s="749" t="s">
        <v>3569</v>
      </c>
      <c r="P14" s="782">
        <v>9600</v>
      </c>
      <c r="Q14" s="809" t="s">
        <v>3463</v>
      </c>
      <c r="R14" s="822" t="s">
        <v>3606</v>
      </c>
      <c r="S14" s="11"/>
      <c r="T14" s="90"/>
    </row>
    <row r="15" spans="1:22" ht="24.6" customHeight="1">
      <c r="A15" s="84"/>
      <c r="B15" s="84"/>
      <c r="C15" s="5"/>
      <c r="D15" s="5"/>
      <c r="E15" s="266">
        <f>K5+1</f>
        <v>3</v>
      </c>
      <c r="F15" s="65">
        <f t="shared" ref="F15:K15" si="0">E15+1</f>
        <v>4</v>
      </c>
      <c r="G15" s="65">
        <f t="shared" si="0"/>
        <v>5</v>
      </c>
      <c r="H15" s="65">
        <f t="shared" si="0"/>
        <v>6</v>
      </c>
      <c r="I15" s="65">
        <f t="shared" si="0"/>
        <v>7</v>
      </c>
      <c r="J15" s="65">
        <f t="shared" si="0"/>
        <v>8</v>
      </c>
      <c r="K15" s="65">
        <f t="shared" si="0"/>
        <v>9</v>
      </c>
      <c r="N15" s="773" t="s">
        <v>3500</v>
      </c>
      <c r="O15" s="814" t="s">
        <v>3572</v>
      </c>
      <c r="P15" s="800">
        <v>7203</v>
      </c>
      <c r="Q15" s="702" t="s">
        <v>3463</v>
      </c>
      <c r="R15" s="821" t="s">
        <v>3499</v>
      </c>
    </row>
    <row r="16" spans="1:22" ht="24.6" customHeight="1">
      <c r="A16" s="84"/>
      <c r="B16" s="1467" t="s">
        <v>286</v>
      </c>
      <c r="C16" s="324" t="s">
        <v>9</v>
      </c>
      <c r="D16" s="265"/>
      <c r="E16" s="301"/>
      <c r="F16" s="301"/>
      <c r="G16" s="301"/>
      <c r="H16" s="301"/>
      <c r="I16" s="301"/>
      <c r="J16" s="301"/>
      <c r="K16" s="301"/>
      <c r="N16" s="719" t="s">
        <v>3505</v>
      </c>
      <c r="O16" s="719" t="s">
        <v>3573</v>
      </c>
      <c r="P16" s="800">
        <v>2503</v>
      </c>
      <c r="Q16" s="702" t="s">
        <v>3501</v>
      </c>
      <c r="R16" s="822" t="s">
        <v>3606</v>
      </c>
    </row>
    <row r="17" spans="1:20" ht="24.6" customHeight="1">
      <c r="A17" s="84"/>
      <c r="B17" s="1467"/>
      <c r="C17" s="290" t="s">
        <v>7</v>
      </c>
      <c r="D17" s="265"/>
      <c r="E17" s="301"/>
      <c r="F17" s="301"/>
      <c r="G17" s="301"/>
      <c r="H17" s="301"/>
      <c r="I17" s="301"/>
      <c r="J17" s="301"/>
      <c r="K17" s="301"/>
      <c r="N17" s="749" t="s">
        <v>3546</v>
      </c>
      <c r="O17" s="749" t="s">
        <v>3580</v>
      </c>
      <c r="P17" s="800">
        <v>20000</v>
      </c>
      <c r="Q17" s="702" t="s">
        <v>3501</v>
      </c>
      <c r="R17" s="822" t="s">
        <v>3606</v>
      </c>
    </row>
    <row r="18" spans="1:20" ht="24.6" customHeight="1">
      <c r="A18" s="84"/>
      <c r="B18" s="1467"/>
      <c r="C18" s="163" t="s">
        <v>389</v>
      </c>
      <c r="D18" s="265"/>
      <c r="E18" s="301"/>
      <c r="F18" s="301"/>
      <c r="G18" s="301"/>
      <c r="H18" s="301"/>
      <c r="I18" s="301"/>
      <c r="J18" s="301"/>
      <c r="K18" s="301"/>
      <c r="N18" s="719" t="s">
        <v>3541</v>
      </c>
      <c r="O18" s="719" t="s">
        <v>3552</v>
      </c>
      <c r="P18" s="800">
        <v>4803</v>
      </c>
      <c r="Q18" s="810" t="s">
        <v>3463</v>
      </c>
      <c r="R18" s="821"/>
    </row>
    <row r="19" spans="1:20" ht="24.6" customHeight="1">
      <c r="A19" s="84"/>
      <c r="B19" s="1467"/>
      <c r="C19" s="325" t="s">
        <v>316</v>
      </c>
      <c r="D19" s="265"/>
      <c r="E19" s="301"/>
      <c r="F19" s="301"/>
      <c r="G19" s="301"/>
      <c r="H19" s="301"/>
      <c r="I19" s="301"/>
      <c r="J19" s="301"/>
      <c r="K19" s="301"/>
      <c r="N19" s="749" t="s">
        <v>3550</v>
      </c>
      <c r="O19" s="749" t="s">
        <v>3577</v>
      </c>
      <c r="P19" s="782">
        <v>34000</v>
      </c>
      <c r="Q19" s="792" t="s">
        <v>3462</v>
      </c>
      <c r="R19" s="821"/>
    </row>
    <row r="20" spans="1:20" ht="24.6" customHeight="1">
      <c r="A20" s="84"/>
      <c r="B20" s="1467" t="s">
        <v>287</v>
      </c>
      <c r="C20" s="324" t="s">
        <v>9</v>
      </c>
      <c r="D20" s="265"/>
      <c r="E20" s="301"/>
      <c r="F20" s="1556" t="s">
        <v>3624</v>
      </c>
      <c r="G20" s="1557"/>
      <c r="H20" s="301"/>
      <c r="I20" s="1556" t="s">
        <v>3633</v>
      </c>
      <c r="J20" s="1574"/>
      <c r="K20" s="301"/>
      <c r="N20" s="749" t="s">
        <v>3551</v>
      </c>
      <c r="O20" s="749" t="s">
        <v>3612</v>
      </c>
      <c r="P20" s="782">
        <v>34000</v>
      </c>
      <c r="Q20" s="810" t="s">
        <v>3462</v>
      </c>
      <c r="R20" s="821"/>
    </row>
    <row r="21" spans="1:20" ht="24.6" customHeight="1">
      <c r="A21" s="84"/>
      <c r="B21" s="1467"/>
      <c r="C21" s="324"/>
      <c r="D21" s="265"/>
      <c r="E21" s="301"/>
      <c r="F21" s="301"/>
      <c r="G21" s="1556" t="s">
        <v>3625</v>
      </c>
      <c r="H21" s="1557"/>
      <c r="I21" s="301"/>
      <c r="J21" s="1574" t="s">
        <v>3626</v>
      </c>
      <c r="K21" s="1574"/>
      <c r="N21" s="823" t="s">
        <v>3565</v>
      </c>
      <c r="O21" s="719" t="s">
        <v>3579</v>
      </c>
      <c r="P21" s="800">
        <v>6628</v>
      </c>
      <c r="Q21" s="812" t="s">
        <v>3564</v>
      </c>
      <c r="R21" s="822" t="s">
        <v>3606</v>
      </c>
    </row>
    <row r="22" spans="1:20" ht="24" customHeight="1">
      <c r="A22" s="84"/>
      <c r="B22" s="1467"/>
      <c r="C22" s="290" t="s">
        <v>292</v>
      </c>
      <c r="D22" s="265"/>
      <c r="E22" s="301"/>
      <c r="F22" s="301"/>
      <c r="G22" s="749" t="s">
        <v>3593</v>
      </c>
      <c r="H22" s="301"/>
      <c r="I22" s="301"/>
      <c r="J22" s="301"/>
      <c r="K22" s="301"/>
      <c r="N22" s="781" t="s">
        <v>3428</v>
      </c>
      <c r="O22" s="781" t="s">
        <v>3574</v>
      </c>
      <c r="P22" s="800">
        <v>34000</v>
      </c>
      <c r="Q22" s="792" t="s">
        <v>3483</v>
      </c>
      <c r="R22" s="816" t="s">
        <v>3465</v>
      </c>
    </row>
    <row r="23" spans="1:20" ht="24" customHeight="1">
      <c r="A23" s="84"/>
      <c r="B23" s="1467"/>
      <c r="C23" s="325" t="s">
        <v>316</v>
      </c>
      <c r="D23" s="265"/>
      <c r="E23" s="301"/>
      <c r="F23" s="797" t="s">
        <v>3537</v>
      </c>
      <c r="G23" s="749" t="s">
        <v>3568</v>
      </c>
      <c r="H23" s="813" t="s">
        <v>3592</v>
      </c>
      <c r="I23" s="749" t="s">
        <v>3570</v>
      </c>
      <c r="J23" s="819" t="s">
        <v>3563</v>
      </c>
      <c r="K23" s="301"/>
      <c r="N23" s="781" t="s">
        <v>3620</v>
      </c>
      <c r="O23" s="781" t="s">
        <v>3945</v>
      </c>
      <c r="P23" s="800">
        <v>4003</v>
      </c>
      <c r="Q23" s="702" t="s">
        <v>3463</v>
      </c>
    </row>
    <row r="24" spans="1:20" ht="24.6" customHeight="1">
      <c r="A24" s="84"/>
      <c r="B24" s="641" t="s">
        <v>317</v>
      </c>
      <c r="C24" s="125" t="s">
        <v>228</v>
      </c>
      <c r="D24" s="265"/>
      <c r="E24" s="301"/>
      <c r="F24" s="301" t="s">
        <v>193</v>
      </c>
      <c r="G24" s="301"/>
      <c r="H24" s="301"/>
      <c r="I24" s="301"/>
      <c r="J24" s="301"/>
      <c r="K24" s="301"/>
      <c r="N24" s="773" t="s">
        <v>3484</v>
      </c>
      <c r="O24" s="773" t="s">
        <v>3613</v>
      </c>
      <c r="P24" s="800">
        <v>34000</v>
      </c>
      <c r="Q24" s="833" t="s">
        <v>3462</v>
      </c>
      <c r="R24" s="5" t="s">
        <v>3465</v>
      </c>
    </row>
    <row r="25" spans="1:20" ht="24.6" customHeight="1">
      <c r="A25" s="84"/>
      <c r="B25" s="84"/>
      <c r="C25" s="5"/>
      <c r="D25" s="5"/>
      <c r="E25" s="26">
        <f>K15+1</f>
        <v>10</v>
      </c>
      <c r="F25" s="175">
        <f t="shared" ref="F25:K25" si="1">E25+1</f>
        <v>11</v>
      </c>
      <c r="G25" s="175">
        <f t="shared" si="1"/>
        <v>12</v>
      </c>
      <c r="H25" s="175">
        <f t="shared" si="1"/>
        <v>13</v>
      </c>
      <c r="I25" s="175">
        <f t="shared" si="1"/>
        <v>14</v>
      </c>
      <c r="J25" s="175">
        <f t="shared" si="1"/>
        <v>15</v>
      </c>
      <c r="K25" s="175">
        <f t="shared" si="1"/>
        <v>16</v>
      </c>
      <c r="M25" s="84"/>
      <c r="N25" s="84"/>
      <c r="O25" s="84"/>
      <c r="P25" s="84"/>
      <c r="Q25" s="84"/>
      <c r="R25" s="84"/>
    </row>
    <row r="26" spans="1:20" ht="24.6" customHeight="1">
      <c r="A26" s="84"/>
      <c r="B26" s="1467" t="s">
        <v>286</v>
      </c>
      <c r="C26" s="324" t="s">
        <v>9</v>
      </c>
      <c r="D26" s="265"/>
      <c r="E26" s="640"/>
      <c r="F26" s="640"/>
      <c r="G26" s="640"/>
      <c r="H26" s="640"/>
      <c r="I26" s="640"/>
      <c r="J26" s="640"/>
      <c r="K26" s="640"/>
      <c r="O26" s="84"/>
      <c r="P26" s="84"/>
      <c r="Q26" s="84"/>
      <c r="R26" s="84"/>
    </row>
    <row r="27" spans="1:20" ht="24.6" customHeight="1">
      <c r="A27" s="84"/>
      <c r="B27" s="1467"/>
      <c r="C27" s="290" t="s">
        <v>7</v>
      </c>
      <c r="D27" s="265"/>
      <c r="E27" s="640"/>
      <c r="F27" s="640"/>
      <c r="G27" s="640"/>
      <c r="H27" s="640"/>
      <c r="I27" s="640"/>
      <c r="J27" s="640"/>
      <c r="K27" s="640"/>
      <c r="L27" s="84"/>
      <c r="M27" s="84"/>
      <c r="N27" s="84"/>
      <c r="O27" s="84"/>
      <c r="P27" s="84"/>
      <c r="Q27" s="84"/>
      <c r="R27" s="84"/>
      <c r="S27" s="84" t="s">
        <v>3598</v>
      </c>
      <c r="T27" s="84"/>
    </row>
    <row r="28" spans="1:20" ht="24.6" customHeight="1">
      <c r="A28" s="84"/>
      <c r="B28" s="1467"/>
      <c r="C28" s="163" t="s">
        <v>389</v>
      </c>
      <c r="D28" s="265"/>
      <c r="E28" s="640"/>
      <c r="F28" s="640"/>
      <c r="G28" s="640"/>
      <c r="H28" s="640"/>
      <c r="I28" s="640"/>
      <c r="J28" s="640"/>
      <c r="K28" s="640"/>
      <c r="L28" s="84"/>
      <c r="M28" s="84"/>
      <c r="N28" s="84"/>
      <c r="O28" s="84"/>
      <c r="P28" s="84"/>
      <c r="Q28" s="84"/>
      <c r="R28" s="84"/>
      <c r="S28" s="84"/>
      <c r="T28" s="84"/>
    </row>
    <row r="29" spans="1:20" ht="24.6" customHeight="1">
      <c r="A29" s="84"/>
      <c r="B29" s="1467"/>
      <c r="C29" s="325" t="s">
        <v>316</v>
      </c>
      <c r="D29" s="265"/>
      <c r="E29" s="640"/>
      <c r="F29" s="640"/>
      <c r="G29" s="640"/>
      <c r="H29" s="640"/>
      <c r="I29" s="640"/>
      <c r="J29" s="640"/>
      <c r="K29" s="640"/>
      <c r="L29" s="84"/>
      <c r="M29" s="84"/>
      <c r="N29" s="84"/>
      <c r="O29" s="84"/>
      <c r="P29" s="84"/>
      <c r="Q29" s="84"/>
      <c r="R29" s="84"/>
      <c r="S29" s="84"/>
      <c r="T29" s="84"/>
    </row>
    <row r="30" spans="1:20" ht="24.6" customHeight="1">
      <c r="A30" s="84"/>
      <c r="B30" s="1467" t="s">
        <v>287</v>
      </c>
      <c r="C30" s="324" t="s">
        <v>9</v>
      </c>
      <c r="D30" s="265"/>
      <c r="E30" s="640"/>
      <c r="F30" s="1556" t="s">
        <v>3629</v>
      </c>
      <c r="G30" s="1557"/>
      <c r="H30" s="712"/>
      <c r="I30" s="1556" t="s">
        <v>3631</v>
      </c>
      <c r="J30" s="1557"/>
      <c r="K30" s="712"/>
      <c r="L30" s="84"/>
      <c r="M30" s="84"/>
      <c r="P30" s="84"/>
      <c r="Q30" s="84"/>
      <c r="R30" s="84"/>
      <c r="S30" s="84"/>
      <c r="T30" s="84"/>
    </row>
    <row r="31" spans="1:20" ht="24.6" customHeight="1">
      <c r="A31" s="84"/>
      <c r="B31" s="1467"/>
      <c r="C31" s="324"/>
      <c r="D31" s="265"/>
      <c r="E31" s="645"/>
      <c r="F31" s="712"/>
      <c r="G31" s="1556" t="s">
        <v>3630</v>
      </c>
      <c r="H31" s="1557"/>
      <c r="I31" s="712"/>
      <c r="J31" s="1556" t="s">
        <v>3632</v>
      </c>
      <c r="K31" s="1574"/>
      <c r="L31" s="84"/>
      <c r="N31" s="84"/>
      <c r="O31" s="84"/>
      <c r="P31" s="84"/>
      <c r="Q31" s="84"/>
      <c r="R31" s="84"/>
      <c r="S31" s="84"/>
      <c r="T31" s="84"/>
    </row>
    <row r="32" spans="1:20" ht="24.6" customHeight="1">
      <c r="A32" s="84"/>
      <c r="B32" s="1467"/>
      <c r="C32" s="290" t="s">
        <v>292</v>
      </c>
      <c r="D32" s="265"/>
      <c r="E32" s="640"/>
      <c r="F32" s="1697" t="s">
        <v>3485</v>
      </c>
      <c r="G32" s="1698"/>
      <c r="H32" s="820"/>
      <c r="I32" s="829"/>
      <c r="J32" s="830"/>
      <c r="K32" s="640"/>
      <c r="L32" s="84"/>
      <c r="M32" s="84"/>
      <c r="Q32" s="84"/>
      <c r="R32" s="84"/>
      <c r="S32" s="84"/>
      <c r="T32" s="84"/>
    </row>
    <row r="33" spans="1:20" ht="24.6" customHeight="1">
      <c r="A33" s="84"/>
      <c r="B33" s="1467"/>
      <c r="C33" s="325" t="s">
        <v>316</v>
      </c>
      <c r="D33" s="265"/>
      <c r="E33" s="640"/>
      <c r="F33" s="640"/>
      <c r="G33" s="1685" t="s">
        <v>3590</v>
      </c>
      <c r="H33" s="1686"/>
      <c r="I33" s="749" t="s">
        <v>3594</v>
      </c>
      <c r="J33" s="719" t="s">
        <v>3571</v>
      </c>
      <c r="K33" s="640"/>
      <c r="L33" s="84"/>
      <c r="M33" s="84"/>
      <c r="O33" s="84"/>
      <c r="P33" s="84"/>
      <c r="Q33" s="84"/>
      <c r="R33" s="84"/>
      <c r="S33" s="84"/>
      <c r="T33" s="84"/>
    </row>
    <row r="34" spans="1:20" ht="24.6" customHeight="1">
      <c r="A34" s="84"/>
      <c r="B34" s="641" t="s">
        <v>317</v>
      </c>
      <c r="C34" s="125" t="s">
        <v>228</v>
      </c>
      <c r="D34" s="265"/>
      <c r="E34" s="640"/>
      <c r="F34" s="640"/>
      <c r="G34" s="640"/>
      <c r="H34" s="640"/>
      <c r="I34" s="640"/>
      <c r="J34" s="640"/>
      <c r="K34" s="640"/>
      <c r="L34" s="84"/>
      <c r="M34" s="84"/>
      <c r="N34" s="84"/>
      <c r="O34" s="84"/>
      <c r="P34" s="84"/>
      <c r="Q34" s="84"/>
      <c r="R34" s="84"/>
      <c r="S34" s="84"/>
      <c r="T34" s="84"/>
    </row>
    <row r="35" spans="1:20" ht="24.6" customHeight="1">
      <c r="A35" s="84"/>
      <c r="B35" s="84"/>
      <c r="C35" s="5"/>
      <c r="D35" s="5"/>
      <c r="E35" s="266">
        <f>K25+1</f>
        <v>17</v>
      </c>
      <c r="F35" s="304">
        <f t="shared" ref="F35:K35" si="2">E35+1</f>
        <v>18</v>
      </c>
      <c r="G35" s="304">
        <f t="shared" si="2"/>
        <v>19</v>
      </c>
      <c r="H35" s="304">
        <f t="shared" si="2"/>
        <v>20</v>
      </c>
      <c r="I35" s="304">
        <f t="shared" si="2"/>
        <v>21</v>
      </c>
      <c r="J35" s="304">
        <f t="shared" si="2"/>
        <v>22</v>
      </c>
      <c r="K35" s="65">
        <f t="shared" si="2"/>
        <v>23</v>
      </c>
      <c r="L35" s="84"/>
      <c r="M35" s="84"/>
      <c r="O35" s="84"/>
      <c r="P35" s="84"/>
      <c r="Q35" s="84"/>
      <c r="R35" s="84"/>
      <c r="S35" s="84"/>
      <c r="T35" s="84"/>
    </row>
    <row r="36" spans="1:20" ht="24.6" customHeight="1">
      <c r="A36" s="84"/>
      <c r="B36" s="1467" t="s">
        <v>286</v>
      </c>
      <c r="C36" s="324" t="s">
        <v>9</v>
      </c>
      <c r="D36" s="265"/>
      <c r="E36" s="301"/>
      <c r="F36" s="301"/>
      <c r="G36" s="301"/>
      <c r="H36" s="301"/>
      <c r="I36" s="301"/>
      <c r="J36" s="301"/>
      <c r="K36" s="301"/>
      <c r="L36" s="84"/>
      <c r="N36" s="84"/>
      <c r="O36" s="84"/>
      <c r="P36" s="84"/>
      <c r="Q36" s="84"/>
      <c r="R36" s="84"/>
      <c r="S36" s="84"/>
      <c r="T36" s="84"/>
    </row>
    <row r="37" spans="1:20" ht="24.6" customHeight="1">
      <c r="A37" s="84"/>
      <c r="B37" s="1467"/>
      <c r="C37" s="290" t="s">
        <v>7</v>
      </c>
      <c r="D37" s="265"/>
      <c r="E37" s="301"/>
      <c r="F37" s="301"/>
      <c r="G37" s="301"/>
      <c r="H37" s="301"/>
      <c r="I37" s="301"/>
      <c r="J37" s="301"/>
      <c r="K37" s="301"/>
      <c r="L37" s="84"/>
      <c r="M37" s="84"/>
      <c r="N37" s="84"/>
      <c r="O37" s="84"/>
      <c r="P37" s="84"/>
      <c r="Q37" s="84"/>
      <c r="R37" s="84"/>
      <c r="S37" s="84"/>
      <c r="T37" s="84"/>
    </row>
    <row r="38" spans="1:20" ht="24.6" customHeight="1">
      <c r="A38" s="84"/>
      <c r="B38" s="1467"/>
      <c r="C38" s="163" t="s">
        <v>389</v>
      </c>
      <c r="D38" s="265"/>
      <c r="E38" s="301"/>
      <c r="F38" s="301"/>
      <c r="G38" s="301"/>
      <c r="H38" s="301"/>
      <c r="I38" s="301"/>
      <c r="J38" s="301"/>
      <c r="K38" s="301"/>
      <c r="L38" s="84"/>
      <c r="M38" s="84"/>
      <c r="O38" s="84"/>
      <c r="P38" s="84"/>
      <c r="Q38" s="84"/>
      <c r="R38" s="84"/>
      <c r="S38" s="84"/>
      <c r="T38" s="84"/>
    </row>
    <row r="39" spans="1:20" ht="24.6" customHeight="1">
      <c r="A39" s="84"/>
      <c r="B39" s="1467"/>
      <c r="C39" s="325" t="s">
        <v>316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"/>
      <c r="O39" s="84"/>
      <c r="P39" s="84"/>
      <c r="Q39" s="84"/>
      <c r="R39" s="84"/>
      <c r="S39" s="84"/>
      <c r="T39" s="84"/>
    </row>
    <row r="40" spans="1:20" ht="24" customHeight="1">
      <c r="A40" s="84"/>
      <c r="B40" s="1467" t="s">
        <v>287</v>
      </c>
      <c r="C40" s="324" t="s">
        <v>9</v>
      </c>
      <c r="D40" s="265"/>
      <c r="E40" s="301"/>
      <c r="F40" s="1574" t="s">
        <v>3635</v>
      </c>
      <c r="G40" s="1574"/>
      <c r="H40" s="301"/>
      <c r="I40" s="1574" t="s">
        <v>3636</v>
      </c>
      <c r="J40" s="1574"/>
      <c r="K40" s="301"/>
      <c r="L40" s="84"/>
      <c r="M40" s="84"/>
      <c r="O40" s="84"/>
      <c r="P40" s="84"/>
      <c r="Q40" s="84"/>
      <c r="R40" s="84"/>
      <c r="S40" s="84"/>
      <c r="T40" s="84"/>
    </row>
    <row r="41" spans="1:20" ht="24" customHeight="1">
      <c r="A41" s="84"/>
      <c r="B41" s="1467"/>
      <c r="C41" s="324"/>
      <c r="D41" s="265"/>
      <c r="E41" s="301"/>
      <c r="F41" s="301"/>
      <c r="G41" s="1574" t="s">
        <v>3709</v>
      </c>
      <c r="H41" s="1574"/>
      <c r="I41" s="301"/>
      <c r="J41" s="1574" t="s">
        <v>3637</v>
      </c>
      <c r="K41" s="1574"/>
      <c r="L41" s="84"/>
      <c r="M41" s="84"/>
      <c r="P41" s="84"/>
      <c r="Q41" s="84"/>
      <c r="R41" s="84"/>
      <c r="S41" s="84"/>
      <c r="T41" s="84"/>
    </row>
    <row r="42" spans="1:20" ht="24.6" customHeight="1">
      <c r="A42" s="84"/>
      <c r="B42" s="1467"/>
      <c r="C42" s="290" t="s">
        <v>292</v>
      </c>
      <c r="D42" s="265"/>
      <c r="E42" s="301"/>
      <c r="F42" s="1685" t="s">
        <v>3591</v>
      </c>
      <c r="G42" s="1686"/>
      <c r="H42" s="817" t="s">
        <v>3581</v>
      </c>
      <c r="I42" s="826" t="s">
        <v>3619</v>
      </c>
      <c r="J42" s="797" t="s">
        <v>3673</v>
      </c>
      <c r="K42" s="301"/>
      <c r="L42" s="84"/>
      <c r="M42" s="84"/>
      <c r="N42" s="84"/>
      <c r="O42" s="84"/>
      <c r="P42" s="84"/>
      <c r="Q42" s="84"/>
      <c r="R42" s="84"/>
      <c r="S42" s="84"/>
      <c r="T42" s="84"/>
    </row>
    <row r="43" spans="1:20" ht="24.6" customHeight="1">
      <c r="A43" s="84"/>
      <c r="B43" s="1467"/>
      <c r="C43" s="325" t="s">
        <v>316</v>
      </c>
      <c r="D43" s="265"/>
      <c r="E43" s="301"/>
      <c r="F43" s="301"/>
      <c r="G43" s="301"/>
      <c r="H43" s="301"/>
      <c r="I43" s="301"/>
      <c r="J43" s="301"/>
      <c r="K43" s="301"/>
      <c r="L43" s="84"/>
      <c r="M43" s="84"/>
      <c r="P43" s="84"/>
      <c r="Q43" s="84"/>
      <c r="R43" s="84"/>
      <c r="S43" s="84"/>
      <c r="T43" s="84"/>
    </row>
    <row r="44" spans="1:20" ht="24.6" customHeight="1">
      <c r="A44" s="84"/>
      <c r="B44" s="641" t="s">
        <v>317</v>
      </c>
      <c r="C44" s="125" t="s">
        <v>228</v>
      </c>
      <c r="D44" s="265"/>
      <c r="E44" s="345"/>
      <c r="F44" s="301"/>
      <c r="G44" s="301"/>
      <c r="H44" s="301"/>
      <c r="I44" s="301"/>
      <c r="J44" s="301"/>
      <c r="K44" s="301"/>
      <c r="L44" s="84"/>
      <c r="M44" s="84"/>
      <c r="N44" s="84"/>
      <c r="O44" s="84"/>
      <c r="P44" s="84"/>
      <c r="Q44" s="84"/>
      <c r="R44" s="84"/>
      <c r="S44" s="84"/>
      <c r="T44" s="84"/>
    </row>
    <row r="45" spans="1:20" ht="24.6" customHeight="1">
      <c r="A45" s="84"/>
      <c r="B45" s="84"/>
      <c r="C45" s="269"/>
      <c r="D45" s="265"/>
      <c r="E45" s="26">
        <f>K35+1</f>
        <v>24</v>
      </c>
      <c r="F45" s="175">
        <f t="shared" ref="F45:K45" si="3">E45+1</f>
        <v>25</v>
      </c>
      <c r="G45" s="175">
        <f t="shared" si="3"/>
        <v>26</v>
      </c>
      <c r="H45" s="175">
        <f t="shared" si="3"/>
        <v>27</v>
      </c>
      <c r="I45" s="175">
        <f t="shared" si="3"/>
        <v>28</v>
      </c>
      <c r="J45" s="175">
        <f t="shared" si="3"/>
        <v>29</v>
      </c>
      <c r="K45" s="175">
        <f t="shared" si="3"/>
        <v>30</v>
      </c>
      <c r="L45" s="84"/>
      <c r="M45" s="84"/>
      <c r="O45" s="84"/>
      <c r="P45" s="84"/>
      <c r="R45" s="84"/>
      <c r="S45" s="84"/>
      <c r="T45" s="84"/>
    </row>
    <row r="46" spans="1:20" ht="24.6" customHeight="1">
      <c r="A46" s="84"/>
      <c r="B46" s="1467" t="s">
        <v>286</v>
      </c>
      <c r="C46" s="324" t="s">
        <v>9</v>
      </c>
      <c r="D46" s="265"/>
      <c r="E46" s="640"/>
      <c r="F46" s="640"/>
      <c r="G46" s="640"/>
      <c r="H46" s="640"/>
      <c r="I46" s="640"/>
      <c r="J46" s="640"/>
      <c r="K46" s="640"/>
      <c r="L46" s="84"/>
      <c r="M46" s="84"/>
      <c r="N46" s="84"/>
      <c r="O46" s="84"/>
      <c r="P46" s="84"/>
      <c r="S46" s="84"/>
      <c r="T46" s="84"/>
    </row>
    <row r="47" spans="1:20" ht="24.6" customHeight="1">
      <c r="A47" s="84"/>
      <c r="B47" s="1467"/>
      <c r="C47" s="290" t="s">
        <v>7</v>
      </c>
      <c r="D47" s="265"/>
      <c r="E47" s="640"/>
      <c r="F47" s="640"/>
      <c r="G47" s="640"/>
      <c r="H47" s="640"/>
      <c r="I47" s="640"/>
      <c r="J47" s="640"/>
      <c r="K47" s="640"/>
      <c r="L47" s="84"/>
      <c r="M47" s="84"/>
      <c r="N47" s="84"/>
      <c r="O47" s="84"/>
      <c r="P47" s="84"/>
      <c r="S47" s="84"/>
      <c r="T47" s="84"/>
    </row>
    <row r="48" spans="1:20" ht="24.6" customHeight="1">
      <c r="A48" s="84"/>
      <c r="B48" s="1467"/>
      <c r="C48" s="163" t="s">
        <v>389</v>
      </c>
      <c r="D48" s="265"/>
      <c r="E48" s="640"/>
      <c r="F48" s="640"/>
      <c r="G48" s="640"/>
      <c r="H48" s="640"/>
      <c r="I48" s="640"/>
      <c r="J48" s="640"/>
      <c r="K48" s="640"/>
      <c r="L48" s="84"/>
      <c r="M48" s="84"/>
      <c r="S48" s="84"/>
      <c r="T48" s="84"/>
    </row>
    <row r="49" spans="1:20" ht="24.6" customHeight="1">
      <c r="A49" s="84"/>
      <c r="B49" s="1467"/>
      <c r="C49" s="325" t="s">
        <v>316</v>
      </c>
      <c r="D49" s="265"/>
      <c r="E49" s="640"/>
      <c r="F49" s="640"/>
      <c r="G49" s="640"/>
      <c r="H49" s="640"/>
      <c r="I49" s="640"/>
      <c r="J49" s="640"/>
      <c r="K49" s="640"/>
      <c r="L49" s="84"/>
      <c r="M49" s="84"/>
      <c r="S49" s="84"/>
      <c r="T49" s="84"/>
    </row>
    <row r="50" spans="1:20" ht="24.6" customHeight="1">
      <c r="A50" s="84"/>
      <c r="B50" s="1467" t="s">
        <v>287</v>
      </c>
      <c r="C50" s="324" t="s">
        <v>9</v>
      </c>
      <c r="D50" s="265"/>
      <c r="E50" s="640"/>
      <c r="F50" s="1574" t="s">
        <v>3638</v>
      </c>
      <c r="G50" s="1574"/>
      <c r="H50" s="712"/>
      <c r="I50" s="1574" t="s">
        <v>3677</v>
      </c>
      <c r="J50" s="1574"/>
      <c r="K50" s="712"/>
      <c r="L50" s="84"/>
      <c r="M50" s="84"/>
      <c r="S50" s="84"/>
      <c r="T50" s="84"/>
    </row>
    <row r="51" spans="1:20" ht="24.6" customHeight="1">
      <c r="A51" s="84"/>
      <c r="B51" s="1467"/>
      <c r="C51" s="324"/>
      <c r="D51" s="265"/>
      <c r="E51" s="645"/>
      <c r="F51" s="712"/>
      <c r="G51" s="1574" t="s">
        <v>3674</v>
      </c>
      <c r="H51" s="1574"/>
      <c r="I51" s="712"/>
      <c r="J51" s="1574" t="s">
        <v>3855</v>
      </c>
      <c r="K51" s="1574"/>
      <c r="L51" s="84"/>
      <c r="M51" s="84"/>
      <c r="S51" s="84"/>
      <c r="T51" s="84"/>
    </row>
    <row r="52" spans="1:20" ht="24.6" customHeight="1">
      <c r="A52" s="84"/>
      <c r="B52" s="1467"/>
      <c r="C52" s="290" t="s">
        <v>292</v>
      </c>
      <c r="D52" s="265"/>
      <c r="E52" s="640"/>
      <c r="F52" s="813" t="s">
        <v>3611</v>
      </c>
      <c r="G52" s="797" t="s">
        <v>3634</v>
      </c>
      <c r="H52" s="797" t="s">
        <v>3617</v>
      </c>
      <c r="I52" s="719"/>
      <c r="J52" s="1695" t="s">
        <v>3557</v>
      </c>
      <c r="K52" s="1696"/>
      <c r="L52" s="84"/>
      <c r="M52" s="84"/>
      <c r="S52" s="84"/>
      <c r="T52" s="84"/>
    </row>
    <row r="53" spans="1:20" ht="24.6" customHeight="1">
      <c r="A53" s="84"/>
      <c r="B53" s="1467"/>
      <c r="C53" s="325" t="s">
        <v>316</v>
      </c>
      <c r="D53" s="265"/>
      <c r="E53" s="640"/>
      <c r="F53" s="640"/>
      <c r="G53" s="825"/>
      <c r="H53" s="825"/>
      <c r="I53" s="640"/>
      <c r="J53" s="640"/>
      <c r="K53" s="640"/>
      <c r="L53" s="84"/>
      <c r="M53" s="84"/>
      <c r="S53" s="84"/>
      <c r="T53" s="84"/>
    </row>
    <row r="54" spans="1:20" ht="24.6" customHeight="1">
      <c r="A54" s="84"/>
      <c r="B54" s="641" t="s">
        <v>317</v>
      </c>
      <c r="C54" s="125" t="s">
        <v>228</v>
      </c>
      <c r="D54" s="265"/>
      <c r="E54" s="640"/>
      <c r="F54" s="640"/>
      <c r="G54" s="640"/>
      <c r="H54" s="640"/>
      <c r="I54" s="640"/>
      <c r="J54" s="640"/>
      <c r="K54" s="640"/>
      <c r="L54" s="84"/>
      <c r="S54" s="84"/>
      <c r="T54" s="84"/>
    </row>
  </sheetData>
  <mergeCells count="35">
    <mergeCell ref="B36:B39"/>
    <mergeCell ref="O2:Q2"/>
    <mergeCell ref="O3:Q3"/>
    <mergeCell ref="G41:H41"/>
    <mergeCell ref="I40:J40"/>
    <mergeCell ref="F30:G30"/>
    <mergeCell ref="F40:G40"/>
    <mergeCell ref="I30:J30"/>
    <mergeCell ref="E3:G3"/>
    <mergeCell ref="H3:K3"/>
    <mergeCell ref="I20:J20"/>
    <mergeCell ref="J21:K21"/>
    <mergeCell ref="J31:K31"/>
    <mergeCell ref="F32:G32"/>
    <mergeCell ref="B6:B9"/>
    <mergeCell ref="B10:B13"/>
    <mergeCell ref="B16:B19"/>
    <mergeCell ref="J11:K11"/>
    <mergeCell ref="G33:H33"/>
    <mergeCell ref="B20:B23"/>
    <mergeCell ref="F20:G20"/>
    <mergeCell ref="G21:H21"/>
    <mergeCell ref="G31:H31"/>
    <mergeCell ref="B26:B29"/>
    <mergeCell ref="B30:B33"/>
    <mergeCell ref="B40:B43"/>
    <mergeCell ref="B46:B49"/>
    <mergeCell ref="F50:G50"/>
    <mergeCell ref="F42:G42"/>
    <mergeCell ref="J52:K52"/>
    <mergeCell ref="J41:K41"/>
    <mergeCell ref="B50:B53"/>
    <mergeCell ref="G51:H51"/>
    <mergeCell ref="I50:J50"/>
    <mergeCell ref="J51:K51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0">
    <pageSetUpPr fitToPage="1"/>
  </sheetPr>
  <dimension ref="A1:T54"/>
  <sheetViews>
    <sheetView topLeftCell="A10" zoomScale="55" zoomScaleNormal="55" workbookViewId="0">
      <selection activeCell="I42" sqref="I42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5" width="25.77734375" style="90" hidden="1" customWidth="1"/>
    <col min="6" max="7" width="25.77734375" style="90" customWidth="1"/>
    <col min="8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34.33203125" style="379" bestFit="1" customWidth="1"/>
    <col min="15" max="15" width="16.88671875" style="379" bestFit="1" customWidth="1"/>
    <col min="16" max="16" width="8.6640625" style="379" bestFit="1" customWidth="1"/>
    <col min="17" max="17" width="6.88671875" style="379" bestFit="1" customWidth="1"/>
    <col min="18" max="18" width="30.6640625" style="379" bestFit="1" customWidth="1"/>
    <col min="19" max="19" width="6.6640625" style="90" customWidth="1"/>
    <col min="20" max="16384" width="8.88671875" style="84"/>
  </cols>
  <sheetData>
    <row r="1" spans="1:20" ht="19.149999999999999">
      <c r="A1" s="84"/>
      <c r="B1" s="84"/>
      <c r="C1" s="5"/>
      <c r="D1" s="5"/>
      <c r="N1" s="683" t="s">
        <v>3296</v>
      </c>
      <c r="O1" s="683"/>
    </row>
    <row r="2" spans="1:20" ht="19.149999999999999">
      <c r="A2" s="84"/>
      <c r="B2" s="84"/>
      <c r="C2" s="5"/>
      <c r="D2" s="5"/>
      <c r="E2" s="262"/>
      <c r="F2" s="262"/>
      <c r="G2" s="262"/>
      <c r="H2" s="262"/>
      <c r="I2" s="262"/>
      <c r="J2" s="262"/>
      <c r="K2" s="262"/>
      <c r="N2" s="553" t="s">
        <v>3290</v>
      </c>
      <c r="O2" s="1699" t="s">
        <v>3291</v>
      </c>
      <c r="P2" s="1700"/>
      <c r="Q2" s="1700" t="s">
        <v>3292</v>
      </c>
      <c r="R2" s="1700"/>
    </row>
    <row r="3" spans="1:20" ht="57">
      <c r="A3" s="84"/>
      <c r="B3" s="84"/>
      <c r="C3" s="5"/>
      <c r="D3" s="5"/>
      <c r="E3" s="1450">
        <v>45627</v>
      </c>
      <c r="F3" s="1450"/>
      <c r="G3" s="1450"/>
      <c r="H3" s="1451" t="s">
        <v>10</v>
      </c>
      <c r="I3" s="1452"/>
      <c r="J3" s="1452"/>
      <c r="K3" s="1452"/>
      <c r="N3" s="838">
        <f>SUMIF($Q$9:$Q$25,"F",$P$9:$P$25)</f>
        <v>306000</v>
      </c>
      <c r="O3" s="1701">
        <f>SUMIF($Q$9:$Q$25,"S",$P$9:$P$25)</f>
        <v>115060</v>
      </c>
      <c r="P3" s="1702"/>
      <c r="Q3" s="1703">
        <f>N3+O3</f>
        <v>421060</v>
      </c>
      <c r="R3" s="1703"/>
    </row>
    <row r="4" spans="1:20" s="5" customFormat="1" ht="26.25" customHeight="1">
      <c r="E4" s="1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63" t="s">
        <v>6</v>
      </c>
      <c r="M4" s="90"/>
      <c r="N4" s="379"/>
      <c r="O4" s="379"/>
      <c r="P4" s="379"/>
      <c r="Q4" s="379"/>
      <c r="R4" s="379"/>
      <c r="S4" s="90"/>
    </row>
    <row r="5" spans="1:20" s="5" customFormat="1" ht="24.6" customHeight="1">
      <c r="E5" s="26">
        <v>1</v>
      </c>
      <c r="F5" s="175">
        <f t="shared" ref="F5:K5" si="0">E5+1</f>
        <v>2</v>
      </c>
      <c r="G5" s="175">
        <f t="shared" si="0"/>
        <v>3</v>
      </c>
      <c r="H5" s="175">
        <f t="shared" si="0"/>
        <v>4</v>
      </c>
      <c r="I5" s="175">
        <f t="shared" si="0"/>
        <v>5</v>
      </c>
      <c r="J5" s="175">
        <f t="shared" si="0"/>
        <v>6</v>
      </c>
      <c r="K5" s="175">
        <f t="shared" si="0"/>
        <v>7</v>
      </c>
      <c r="L5" s="90"/>
      <c r="M5" s="90"/>
      <c r="N5" s="379"/>
      <c r="O5" s="379"/>
      <c r="P5" s="379"/>
      <c r="Q5" s="379"/>
      <c r="R5" s="839"/>
      <c r="S5" s="90"/>
    </row>
    <row r="6" spans="1:20" s="5" customFormat="1" ht="24.6" customHeight="1">
      <c r="B6" s="1467" t="s">
        <v>286</v>
      </c>
      <c r="C6" s="324" t="s">
        <v>9</v>
      </c>
      <c r="D6" s="265"/>
      <c r="E6" s="640"/>
      <c r="F6" s="640"/>
      <c r="G6" s="640"/>
      <c r="H6" s="640"/>
      <c r="I6" s="640"/>
      <c r="J6" s="640"/>
      <c r="K6" s="640"/>
      <c r="L6" s="90"/>
      <c r="M6" s="90"/>
      <c r="N6" s="840"/>
      <c r="O6" s="840"/>
      <c r="P6" s="840"/>
      <c r="Q6" s="840"/>
      <c r="R6" s="839"/>
      <c r="S6" s="90"/>
    </row>
    <row r="7" spans="1:20" s="5" customFormat="1" ht="24.6" customHeight="1">
      <c r="B7" s="1467"/>
      <c r="C7" s="290" t="s">
        <v>7</v>
      </c>
      <c r="D7" s="265"/>
      <c r="E7" s="640"/>
      <c r="F7" s="640"/>
      <c r="G7" s="640"/>
      <c r="H7" s="640"/>
      <c r="I7" s="640"/>
      <c r="J7" s="640"/>
      <c r="K7" s="640"/>
      <c r="L7" s="90"/>
      <c r="M7" s="90"/>
      <c r="N7" s="683" t="s">
        <v>2916</v>
      </c>
      <c r="O7" s="840"/>
      <c r="P7" s="840"/>
      <c r="Q7" s="840"/>
      <c r="R7" s="839"/>
      <c r="S7" s="90"/>
    </row>
    <row r="8" spans="1:20" s="5" customFormat="1" ht="24.6" customHeight="1">
      <c r="B8" s="1467"/>
      <c r="C8" s="163" t="s">
        <v>389</v>
      </c>
      <c r="D8" s="265"/>
      <c r="E8" s="640"/>
      <c r="F8" s="640"/>
      <c r="G8" s="640"/>
      <c r="H8" s="640"/>
      <c r="I8" s="640"/>
      <c r="J8" s="640"/>
      <c r="K8" s="640"/>
      <c r="L8" s="90"/>
      <c r="M8" s="90"/>
      <c r="N8" s="801" t="s">
        <v>2732</v>
      </c>
      <c r="O8" s="801"/>
      <c r="P8" s="837" t="s">
        <v>3464</v>
      </c>
      <c r="Q8" s="837" t="s">
        <v>3461</v>
      </c>
      <c r="R8" s="837" t="s">
        <v>3482</v>
      </c>
      <c r="S8" s="11"/>
      <c r="T8" s="90"/>
    </row>
    <row r="9" spans="1:20" s="5" customFormat="1" ht="24.6" customHeight="1">
      <c r="B9" s="1467"/>
      <c r="C9" s="325" t="s">
        <v>316</v>
      </c>
      <c r="D9" s="265"/>
      <c r="E9" s="640"/>
      <c r="F9" s="640"/>
      <c r="G9" s="640"/>
      <c r="H9" s="640"/>
      <c r="I9" s="640"/>
      <c r="J9" s="640"/>
      <c r="K9" s="640"/>
      <c r="L9" s="90"/>
      <c r="M9" s="90"/>
      <c r="N9" s="841" t="s">
        <v>3692</v>
      </c>
      <c r="O9" s="841" t="s">
        <v>3648</v>
      </c>
      <c r="P9" s="842">
        <v>34000</v>
      </c>
      <c r="Q9" s="843" t="s">
        <v>3462</v>
      </c>
      <c r="R9" s="839" t="s">
        <v>3307</v>
      </c>
      <c r="S9" s="90" t="s">
        <v>3598</v>
      </c>
    </row>
    <row r="10" spans="1:20" s="5" customFormat="1" ht="24.6" customHeight="1">
      <c r="B10" s="1467" t="s">
        <v>287</v>
      </c>
      <c r="C10" s="324" t="s">
        <v>9</v>
      </c>
      <c r="D10" s="265"/>
      <c r="E10" s="640"/>
      <c r="F10" s="1574" t="s">
        <v>3678</v>
      </c>
      <c r="G10" s="1574"/>
      <c r="H10" s="712"/>
      <c r="I10" s="1574" t="s">
        <v>3680</v>
      </c>
      <c r="J10" s="1574"/>
      <c r="K10" s="712"/>
      <c r="L10" s="90"/>
      <c r="M10" s="90"/>
      <c r="N10" s="841" t="s">
        <v>3650</v>
      </c>
      <c r="O10" s="841" t="s">
        <v>3651</v>
      </c>
      <c r="P10" s="842">
        <v>34000</v>
      </c>
      <c r="Q10" s="843" t="s">
        <v>3462</v>
      </c>
      <c r="R10" s="840" t="s">
        <v>3465</v>
      </c>
      <c r="S10" s="90" t="s">
        <v>3598</v>
      </c>
    </row>
    <row r="11" spans="1:20" s="5" customFormat="1" ht="24.6" customHeight="1">
      <c r="B11" s="1467"/>
      <c r="C11" s="324"/>
      <c r="D11" s="265"/>
      <c r="E11" s="645"/>
      <c r="F11" s="645"/>
      <c r="G11" s="1574" t="s">
        <v>3679</v>
      </c>
      <c r="H11" s="1574"/>
      <c r="I11" s="712"/>
      <c r="J11" s="1574" t="s">
        <v>3681</v>
      </c>
      <c r="K11" s="1574"/>
      <c r="L11" s="90"/>
      <c r="M11" s="90"/>
      <c r="N11" s="844" t="s">
        <v>3675</v>
      </c>
      <c r="O11" s="845" t="s">
        <v>3687</v>
      </c>
      <c r="P11" s="846">
        <v>31887</v>
      </c>
      <c r="Q11" s="847" t="s">
        <v>3474</v>
      </c>
      <c r="R11" s="848" t="s">
        <v>3469</v>
      </c>
      <c r="S11" s="90"/>
      <c r="T11" s="90"/>
    </row>
    <row r="12" spans="1:20" s="5" customFormat="1" ht="24.6" customHeight="1">
      <c r="B12" s="1467"/>
      <c r="C12" s="290" t="s">
        <v>292</v>
      </c>
      <c r="D12" s="265"/>
      <c r="E12" s="640"/>
      <c r="F12" s="1685" t="s">
        <v>3628</v>
      </c>
      <c r="G12" s="1686"/>
      <c r="H12" s="797" t="s">
        <v>3618</v>
      </c>
      <c r="I12" s="797" t="s">
        <v>3693</v>
      </c>
      <c r="J12" s="797" t="s">
        <v>3694</v>
      </c>
      <c r="K12" s="640"/>
      <c r="L12" s="90"/>
      <c r="M12" s="90"/>
      <c r="N12" s="849" t="s">
        <v>3654</v>
      </c>
      <c r="O12" s="845" t="s">
        <v>3688</v>
      </c>
      <c r="P12" s="842">
        <v>34000</v>
      </c>
      <c r="Q12" s="847" t="s">
        <v>3462</v>
      </c>
      <c r="R12" s="840" t="s">
        <v>3691</v>
      </c>
      <c r="S12" s="84"/>
      <c r="T12" s="90"/>
    </row>
    <row r="13" spans="1:20" s="5" customFormat="1" ht="24.6" customHeight="1">
      <c r="B13" s="1467"/>
      <c r="C13" s="290"/>
      <c r="D13" s="265"/>
      <c r="E13" s="640"/>
      <c r="F13" s="836"/>
      <c r="G13" s="856"/>
      <c r="H13" s="836"/>
      <c r="I13" s="856"/>
      <c r="J13" s="856"/>
      <c r="K13" s="832"/>
      <c r="L13" s="90"/>
      <c r="M13" s="90"/>
      <c r="N13" s="749" t="s">
        <v>3640</v>
      </c>
      <c r="O13" s="749" t="s">
        <v>3641</v>
      </c>
      <c r="P13" s="835">
        <v>34000</v>
      </c>
      <c r="Q13" s="858" t="s">
        <v>3462</v>
      </c>
      <c r="R13" s="84"/>
      <c r="S13" s="90" t="s">
        <v>3598</v>
      </c>
      <c r="T13" s="90"/>
    </row>
    <row r="14" spans="1:20" s="5" customFormat="1" ht="24.6" customHeight="1">
      <c r="B14" s="641" t="s">
        <v>317</v>
      </c>
      <c r="C14" s="125" t="s">
        <v>228</v>
      </c>
      <c r="D14" s="265"/>
      <c r="E14" s="640"/>
      <c r="F14" s="640"/>
      <c r="G14" s="640"/>
      <c r="H14" s="836"/>
      <c r="I14" s="836"/>
      <c r="J14" s="640"/>
      <c r="K14" s="640"/>
      <c r="L14" s="90"/>
      <c r="M14" s="90"/>
      <c r="N14" s="850" t="s">
        <v>3655</v>
      </c>
      <c r="O14" s="850" t="s">
        <v>3656</v>
      </c>
      <c r="P14" s="842"/>
      <c r="Q14" s="843" t="s">
        <v>3643</v>
      </c>
      <c r="R14" s="840"/>
      <c r="S14" s="84"/>
      <c r="T14" s="90"/>
    </row>
    <row r="15" spans="1:20" ht="24.6" customHeight="1">
      <c r="A15" s="84"/>
      <c r="B15" s="84"/>
      <c r="C15" s="5"/>
      <c r="D15" s="5"/>
      <c r="E15" s="266">
        <f>K5+1</f>
        <v>8</v>
      </c>
      <c r="F15" s="65">
        <f t="shared" ref="F15:K15" si="1">E15+1</f>
        <v>9</v>
      </c>
      <c r="G15" s="65">
        <f t="shared" si="1"/>
        <v>10</v>
      </c>
      <c r="H15" s="65">
        <f t="shared" si="1"/>
        <v>11</v>
      </c>
      <c r="I15" s="65">
        <f t="shared" si="1"/>
        <v>12</v>
      </c>
      <c r="J15" s="65">
        <f t="shared" si="1"/>
        <v>13</v>
      </c>
      <c r="K15" s="65">
        <f t="shared" si="1"/>
        <v>14</v>
      </c>
      <c r="N15" s="850" t="s">
        <v>3657</v>
      </c>
      <c r="O15" s="850" t="s">
        <v>3658</v>
      </c>
      <c r="P15" s="842"/>
      <c r="Q15" s="843" t="s">
        <v>3462</v>
      </c>
      <c r="S15" s="84"/>
      <c r="T15" s="90"/>
    </row>
    <row r="16" spans="1:20" ht="24.6" customHeight="1">
      <c r="A16" s="84"/>
      <c r="B16" s="1467" t="s">
        <v>286</v>
      </c>
      <c r="C16" s="324" t="s">
        <v>9</v>
      </c>
      <c r="D16" s="265"/>
      <c r="E16" s="301"/>
      <c r="F16" s="301"/>
      <c r="G16" s="301"/>
      <c r="H16" s="301"/>
      <c r="I16" s="301"/>
      <c r="J16" s="301"/>
      <c r="K16" s="301"/>
      <c r="N16" s="849" t="s">
        <v>3670</v>
      </c>
      <c r="O16" s="845" t="s">
        <v>3707</v>
      </c>
      <c r="P16" s="842">
        <v>34000</v>
      </c>
      <c r="Q16" s="847" t="s">
        <v>3653</v>
      </c>
      <c r="R16" s="840" t="s">
        <v>3649</v>
      </c>
      <c r="T16" s="90"/>
    </row>
    <row r="17" spans="1:20" ht="24.6" customHeight="1">
      <c r="A17" s="84"/>
      <c r="B17" s="1467"/>
      <c r="C17" s="290" t="s">
        <v>7</v>
      </c>
      <c r="D17" s="265"/>
      <c r="E17" s="301"/>
      <c r="F17" s="301"/>
      <c r="G17" s="301"/>
      <c r="H17" s="301"/>
      <c r="I17" s="301"/>
      <c r="J17" s="301"/>
      <c r="K17" s="301"/>
      <c r="N17" s="849" t="s">
        <v>3671</v>
      </c>
      <c r="O17" s="845" t="s">
        <v>3708</v>
      </c>
      <c r="P17" s="842">
        <v>34000</v>
      </c>
      <c r="Q17" s="847" t="s">
        <v>3643</v>
      </c>
      <c r="R17" s="840" t="s">
        <v>3649</v>
      </c>
      <c r="T17" s="90"/>
    </row>
    <row r="18" spans="1:20" ht="24.6" customHeight="1">
      <c r="A18" s="84"/>
      <c r="B18" s="1467"/>
      <c r="C18" s="163" t="s">
        <v>389</v>
      </c>
      <c r="D18" s="265"/>
      <c r="E18" s="301"/>
      <c r="F18" s="301"/>
      <c r="G18" s="301"/>
      <c r="H18" s="301"/>
      <c r="I18" s="301"/>
      <c r="J18" s="301"/>
      <c r="K18" s="301"/>
      <c r="N18" s="844" t="s">
        <v>3659</v>
      </c>
      <c r="O18" s="844" t="s">
        <v>3660</v>
      </c>
      <c r="P18" s="842">
        <v>34000</v>
      </c>
      <c r="Q18" s="843" t="s">
        <v>3462</v>
      </c>
      <c r="R18" s="379" t="s">
        <v>3661</v>
      </c>
      <c r="S18" s="84"/>
      <c r="T18" s="90"/>
    </row>
    <row r="19" spans="1:20" ht="24.6" customHeight="1">
      <c r="A19" s="84"/>
      <c r="B19" s="1467"/>
      <c r="C19" s="325" t="s">
        <v>316</v>
      </c>
      <c r="D19" s="265"/>
      <c r="E19" s="301"/>
      <c r="F19" s="301"/>
      <c r="G19" s="301"/>
      <c r="H19" s="301"/>
      <c r="I19" s="301"/>
      <c r="J19" s="301"/>
      <c r="K19" s="301"/>
      <c r="N19" s="844" t="s">
        <v>3662</v>
      </c>
      <c r="O19" s="844" t="s">
        <v>3663</v>
      </c>
      <c r="P19" s="842">
        <v>34000</v>
      </c>
      <c r="Q19" s="843" t="s">
        <v>3643</v>
      </c>
      <c r="R19" s="379" t="s">
        <v>3661</v>
      </c>
      <c r="S19" s="90" t="s">
        <v>3598</v>
      </c>
      <c r="T19" s="90"/>
    </row>
    <row r="20" spans="1:20" ht="24.6" customHeight="1">
      <c r="A20" s="84"/>
      <c r="B20" s="1467" t="s">
        <v>287</v>
      </c>
      <c r="C20" s="324" t="s">
        <v>9</v>
      </c>
      <c r="D20" s="265"/>
      <c r="E20" s="301"/>
      <c r="F20" s="1574" t="s">
        <v>3699</v>
      </c>
      <c r="G20" s="1574"/>
      <c r="H20" s="301"/>
      <c r="I20" s="1574" t="s">
        <v>3701</v>
      </c>
      <c r="J20" s="1574"/>
      <c r="K20" s="301"/>
      <c r="N20" s="845" t="s">
        <v>3664</v>
      </c>
      <c r="O20" s="845" t="s">
        <v>3665</v>
      </c>
      <c r="P20" s="842">
        <v>15003</v>
      </c>
      <c r="Q20" s="847" t="s">
        <v>3666</v>
      </c>
      <c r="R20" s="839" t="s">
        <v>3307</v>
      </c>
      <c r="S20" s="90" t="s">
        <v>3598</v>
      </c>
      <c r="T20" s="90"/>
    </row>
    <row r="21" spans="1:20" ht="24.6" customHeight="1">
      <c r="A21" s="84"/>
      <c r="B21" s="1467"/>
      <c r="C21" s="324"/>
      <c r="D21" s="265"/>
      <c r="E21" s="301"/>
      <c r="F21" s="301"/>
      <c r="G21" s="1556" t="s">
        <v>3700</v>
      </c>
      <c r="H21" s="1574"/>
      <c r="J21" s="1574" t="s">
        <v>3702</v>
      </c>
      <c r="K21" s="1574"/>
      <c r="N21" s="844" t="s">
        <v>3667</v>
      </c>
      <c r="O21" s="845" t="s">
        <v>3684</v>
      </c>
      <c r="P21" s="842">
        <v>26767</v>
      </c>
      <c r="Q21" s="847" t="s">
        <v>3666</v>
      </c>
      <c r="R21" s="839" t="s">
        <v>3668</v>
      </c>
      <c r="S21" s="84" t="s">
        <v>3598</v>
      </c>
      <c r="T21" s="90"/>
    </row>
    <row r="22" spans="1:20" ht="24" customHeight="1">
      <c r="A22" s="84"/>
      <c r="B22" s="1467"/>
      <c r="C22" s="854" t="s">
        <v>292</v>
      </c>
      <c r="D22" s="265"/>
      <c r="E22" s="301"/>
      <c r="F22" s="797" t="s">
        <v>3697</v>
      </c>
      <c r="H22" s="797" t="s">
        <v>3682</v>
      </c>
      <c r="I22" s="1685" t="s">
        <v>3614</v>
      </c>
      <c r="J22" s="1686"/>
      <c r="K22" s="301"/>
      <c r="N22" s="844" t="s">
        <v>3669</v>
      </c>
      <c r="O22" s="845" t="s">
        <v>3685</v>
      </c>
      <c r="P22" s="842">
        <v>21100</v>
      </c>
      <c r="Q22" s="847" t="s">
        <v>3463</v>
      </c>
      <c r="R22" s="839" t="s">
        <v>3668</v>
      </c>
      <c r="S22" s="84" t="s">
        <v>3598</v>
      </c>
      <c r="T22" s="90"/>
    </row>
    <row r="23" spans="1:20" ht="24" customHeight="1">
      <c r="A23" s="84"/>
      <c r="B23" s="1467"/>
      <c r="C23" s="854"/>
      <c r="D23" s="265"/>
      <c r="E23" s="301"/>
      <c r="F23" s="301"/>
      <c r="G23" s="797" t="s">
        <v>3695</v>
      </c>
      <c r="H23" s="301"/>
      <c r="I23" s="301"/>
      <c r="K23" s="301"/>
      <c r="N23" s="851" t="s">
        <v>3672</v>
      </c>
      <c r="O23" s="845" t="s">
        <v>3686</v>
      </c>
      <c r="P23" s="846">
        <v>303</v>
      </c>
      <c r="Q23" s="847" t="s">
        <v>3474</v>
      </c>
      <c r="R23" s="848" t="s">
        <v>3689</v>
      </c>
      <c r="S23" s="84" t="s">
        <v>3597</v>
      </c>
    </row>
    <row r="24" spans="1:20" ht="24.6" customHeight="1">
      <c r="A24" s="84"/>
      <c r="B24" s="641" t="s">
        <v>317</v>
      </c>
      <c r="C24" s="125" t="s">
        <v>228</v>
      </c>
      <c r="D24" s="265"/>
      <c r="E24" s="301"/>
      <c r="F24" s="301" t="s">
        <v>193</v>
      </c>
      <c r="G24" s="301"/>
      <c r="H24" s="301"/>
      <c r="I24" s="301"/>
      <c r="J24" s="301"/>
      <c r="K24" s="301"/>
      <c r="N24" s="849" t="s">
        <v>3547</v>
      </c>
      <c r="O24" s="849" t="s">
        <v>3595</v>
      </c>
      <c r="P24" s="852">
        <v>20000</v>
      </c>
      <c r="Q24" s="843" t="s">
        <v>3463</v>
      </c>
      <c r="R24" s="853" t="s">
        <v>3690</v>
      </c>
      <c r="S24" s="84"/>
    </row>
    <row r="25" spans="1:20" ht="24.6" customHeight="1">
      <c r="A25" s="84"/>
      <c r="B25" s="84"/>
      <c r="C25" s="5"/>
      <c r="D25" s="5"/>
      <c r="E25" s="26">
        <f>K15+1</f>
        <v>15</v>
      </c>
      <c r="F25" s="175">
        <f t="shared" ref="F25:K25" si="2">E25+1</f>
        <v>16</v>
      </c>
      <c r="G25" s="175">
        <f t="shared" si="2"/>
        <v>17</v>
      </c>
      <c r="H25" s="175">
        <f t="shared" si="2"/>
        <v>18</v>
      </c>
      <c r="I25" s="175">
        <f t="shared" si="2"/>
        <v>19</v>
      </c>
      <c r="J25" s="175">
        <f t="shared" si="2"/>
        <v>20</v>
      </c>
      <c r="K25" s="175">
        <f t="shared" si="2"/>
        <v>21</v>
      </c>
      <c r="N25" s="841" t="s">
        <v>3683</v>
      </c>
      <c r="O25" s="849" t="s">
        <v>3652</v>
      </c>
      <c r="P25" s="842">
        <v>34000</v>
      </c>
      <c r="Q25" s="847" t="s">
        <v>3653</v>
      </c>
      <c r="R25" s="840"/>
      <c r="S25" s="84"/>
    </row>
    <row r="26" spans="1:20" ht="24.6" customHeight="1">
      <c r="A26" s="84"/>
      <c r="B26" s="1467" t="s">
        <v>286</v>
      </c>
      <c r="C26" s="324" t="s">
        <v>9</v>
      </c>
      <c r="D26" s="265"/>
      <c r="E26" s="640"/>
      <c r="F26" s="640"/>
      <c r="G26" s="640"/>
      <c r="H26" s="640"/>
      <c r="I26" s="640"/>
      <c r="J26" s="640"/>
      <c r="K26" s="640"/>
      <c r="S26" s="84"/>
    </row>
    <row r="27" spans="1:20" ht="24.6" customHeight="1">
      <c r="A27" s="84"/>
      <c r="B27" s="1467"/>
      <c r="C27" s="290" t="s">
        <v>7</v>
      </c>
      <c r="D27" s="265"/>
      <c r="E27" s="640"/>
      <c r="F27" s="640"/>
      <c r="G27" s="640"/>
      <c r="H27" s="640"/>
      <c r="I27" s="640"/>
      <c r="J27" s="640"/>
      <c r="K27" s="640"/>
      <c r="L27" s="84"/>
      <c r="N27" s="848"/>
      <c r="O27" s="848"/>
      <c r="P27" s="848"/>
      <c r="Q27" s="848"/>
      <c r="R27" s="848"/>
      <c r="S27" s="84"/>
    </row>
    <row r="28" spans="1:20" ht="24.6" customHeight="1">
      <c r="A28" s="84"/>
      <c r="B28" s="1467"/>
      <c r="C28" s="163" t="s">
        <v>389</v>
      </c>
      <c r="D28" s="265"/>
      <c r="E28" s="640"/>
      <c r="F28" s="640"/>
      <c r="G28" s="640"/>
      <c r="H28" s="640"/>
      <c r="I28" s="640"/>
      <c r="J28" s="640"/>
      <c r="K28" s="640"/>
      <c r="L28" s="84"/>
      <c r="O28" s="848"/>
      <c r="P28" s="848"/>
      <c r="Q28" s="848"/>
      <c r="R28" s="848"/>
      <c r="S28" s="84"/>
    </row>
    <row r="29" spans="1:20" ht="24.6" customHeight="1">
      <c r="A29" s="84"/>
      <c r="B29" s="1467"/>
      <c r="C29" s="325" t="s">
        <v>316</v>
      </c>
      <c r="D29" s="265"/>
      <c r="E29" s="640"/>
      <c r="F29" s="640"/>
      <c r="G29" s="640"/>
      <c r="H29" s="640"/>
      <c r="I29" s="640"/>
      <c r="J29" s="640"/>
      <c r="K29" s="640"/>
      <c r="L29" s="84"/>
      <c r="M29" s="84"/>
      <c r="N29" s="848"/>
      <c r="O29" s="848"/>
      <c r="P29" s="848"/>
      <c r="Q29" s="848"/>
      <c r="R29" s="848"/>
      <c r="S29" s="84"/>
    </row>
    <row r="30" spans="1:20" ht="24.6" customHeight="1">
      <c r="A30" s="84"/>
      <c r="B30" s="1467" t="s">
        <v>287</v>
      </c>
      <c r="C30" s="324" t="s">
        <v>9</v>
      </c>
      <c r="D30" s="265"/>
      <c r="E30" s="640"/>
      <c r="F30" s="1556" t="s">
        <v>3703</v>
      </c>
      <c r="G30" s="1557"/>
      <c r="H30" s="834"/>
      <c r="I30" s="1556" t="s">
        <v>3711</v>
      </c>
      <c r="J30" s="1557"/>
      <c r="K30" s="834"/>
      <c r="L30" s="84"/>
      <c r="M30" s="84"/>
      <c r="N30" s="848"/>
      <c r="O30" s="848"/>
      <c r="P30" s="848"/>
      <c r="Q30" s="848"/>
      <c r="R30" s="848"/>
      <c r="S30" s="84"/>
    </row>
    <row r="31" spans="1:20" ht="24.6" customHeight="1">
      <c r="A31" s="84"/>
      <c r="B31" s="1467"/>
      <c r="C31" s="324"/>
      <c r="D31" s="265"/>
      <c r="E31" s="645"/>
      <c r="F31" s="834"/>
      <c r="G31" s="1556" t="s">
        <v>3710</v>
      </c>
      <c r="H31" s="1557"/>
      <c r="I31" s="834"/>
      <c r="J31" s="1556" t="s">
        <v>3712</v>
      </c>
      <c r="K31" s="1574"/>
      <c r="L31" s="84"/>
      <c r="M31" s="84"/>
      <c r="O31" s="848"/>
      <c r="P31" s="848"/>
      <c r="Q31" s="848"/>
      <c r="R31" s="848"/>
      <c r="S31" s="84"/>
    </row>
    <row r="32" spans="1:20" ht="24.6" customHeight="1">
      <c r="A32" s="84"/>
      <c r="B32" s="1467"/>
      <c r="C32" s="854" t="s">
        <v>292</v>
      </c>
      <c r="D32" s="265"/>
      <c r="E32" s="640"/>
      <c r="F32" s="1685" t="s">
        <v>3596</v>
      </c>
      <c r="G32" s="1686"/>
      <c r="H32" s="857"/>
      <c r="I32" s="859" t="s">
        <v>3705</v>
      </c>
      <c r="J32" s="797" t="s">
        <v>3704</v>
      </c>
      <c r="K32" s="640"/>
      <c r="L32" s="84"/>
      <c r="O32" s="848"/>
      <c r="P32" s="848"/>
      <c r="Q32" s="848"/>
      <c r="R32" s="848"/>
      <c r="S32" s="84"/>
    </row>
    <row r="33" spans="1:19" ht="24.6" customHeight="1">
      <c r="A33" s="84"/>
      <c r="B33" s="1467"/>
      <c r="C33" s="854"/>
      <c r="D33" s="265"/>
      <c r="E33" s="640"/>
      <c r="F33" s="640"/>
      <c r="G33" s="1685" t="s">
        <v>3615</v>
      </c>
      <c r="H33" s="1686"/>
      <c r="I33" s="825"/>
      <c r="J33" s="855"/>
      <c r="K33" s="640"/>
      <c r="L33" s="84"/>
      <c r="M33" s="84"/>
      <c r="O33" s="848"/>
      <c r="P33" s="848"/>
      <c r="Q33" s="848"/>
      <c r="R33" s="848"/>
      <c r="S33" s="84"/>
    </row>
    <row r="34" spans="1:19" ht="24.6" customHeight="1">
      <c r="A34" s="84"/>
      <c r="B34" s="641" t="s">
        <v>317</v>
      </c>
      <c r="C34" s="125" t="s">
        <v>228</v>
      </c>
      <c r="D34" s="265"/>
      <c r="E34" s="640"/>
      <c r="F34" s="640"/>
      <c r="G34" s="832"/>
      <c r="H34" s="832"/>
      <c r="I34" s="640"/>
      <c r="J34" s="640"/>
      <c r="K34" s="640"/>
      <c r="L34" s="84"/>
      <c r="M34" s="84"/>
      <c r="N34" s="848"/>
      <c r="O34" s="848"/>
      <c r="P34" s="848"/>
      <c r="Q34" s="848"/>
      <c r="R34" s="848"/>
      <c r="S34" s="84"/>
    </row>
    <row r="35" spans="1:19" ht="24.6" customHeight="1">
      <c r="A35" s="84"/>
      <c r="B35" s="84"/>
      <c r="C35" s="5"/>
      <c r="D35" s="5"/>
      <c r="E35" s="266">
        <f>K25+1</f>
        <v>22</v>
      </c>
      <c r="F35" s="304">
        <f t="shared" ref="F35:K35" si="3">E35+1</f>
        <v>23</v>
      </c>
      <c r="G35" s="304">
        <f t="shared" si="3"/>
        <v>24</v>
      </c>
      <c r="H35" s="304">
        <f t="shared" si="3"/>
        <v>25</v>
      </c>
      <c r="I35" s="304">
        <f t="shared" si="3"/>
        <v>26</v>
      </c>
      <c r="J35" s="304">
        <f t="shared" si="3"/>
        <v>27</v>
      </c>
      <c r="K35" s="65">
        <f t="shared" si="3"/>
        <v>28</v>
      </c>
      <c r="L35" s="84"/>
      <c r="M35" s="84"/>
      <c r="N35" s="848"/>
      <c r="O35" s="848"/>
      <c r="P35" s="848"/>
      <c r="Q35" s="848"/>
      <c r="R35" s="848"/>
      <c r="S35" s="84"/>
    </row>
    <row r="36" spans="1:19" ht="24.6" customHeight="1">
      <c r="A36" s="84"/>
      <c r="B36" s="1467" t="s">
        <v>286</v>
      </c>
      <c r="C36" s="324" t="s">
        <v>9</v>
      </c>
      <c r="D36" s="265"/>
      <c r="E36" s="301"/>
      <c r="F36" s="301"/>
      <c r="G36" s="301"/>
      <c r="H36" s="301"/>
      <c r="I36" s="301"/>
      <c r="J36" s="301"/>
      <c r="K36" s="301"/>
      <c r="L36" s="84"/>
      <c r="M36" s="84"/>
      <c r="N36" s="848"/>
      <c r="O36" s="848"/>
      <c r="P36" s="848"/>
      <c r="Q36" s="848"/>
      <c r="R36" s="848"/>
      <c r="S36" s="84"/>
    </row>
    <row r="37" spans="1:19" ht="24.6" customHeight="1">
      <c r="A37" s="84"/>
      <c r="B37" s="1467"/>
      <c r="C37" s="290" t="s">
        <v>7</v>
      </c>
      <c r="D37" s="265"/>
      <c r="E37" s="301"/>
      <c r="F37" s="301"/>
      <c r="H37" s="301"/>
      <c r="J37" s="301"/>
      <c r="K37" s="301"/>
      <c r="L37" s="84"/>
      <c r="O37" s="848"/>
      <c r="P37" s="848"/>
      <c r="Q37" s="848"/>
      <c r="R37" s="848"/>
      <c r="S37" s="84"/>
    </row>
    <row r="38" spans="1:19" ht="24.6" customHeight="1">
      <c r="A38" s="84"/>
      <c r="B38" s="1467"/>
      <c r="C38" s="163" t="s">
        <v>389</v>
      </c>
      <c r="D38" s="265"/>
      <c r="E38" s="301"/>
      <c r="F38" s="301"/>
      <c r="G38" s="301"/>
      <c r="H38" s="301"/>
      <c r="J38" s="301"/>
      <c r="K38" s="301"/>
      <c r="L38" s="84"/>
      <c r="M38" s="84"/>
      <c r="N38" s="848"/>
      <c r="O38" s="848"/>
      <c r="P38" s="848"/>
      <c r="Q38" s="848"/>
      <c r="R38" s="848"/>
      <c r="S38" s="84"/>
    </row>
    <row r="39" spans="1:19" ht="24.6" customHeight="1">
      <c r="A39" s="84"/>
      <c r="B39" s="1467"/>
      <c r="C39" s="325" t="s">
        <v>316</v>
      </c>
      <c r="D39" s="265"/>
      <c r="E39" s="301"/>
      <c r="F39" s="301"/>
      <c r="G39" s="301"/>
      <c r="H39" s="301"/>
      <c r="I39" s="301"/>
      <c r="J39" s="301"/>
      <c r="K39" s="301"/>
      <c r="L39" s="84"/>
      <c r="M39" s="84"/>
      <c r="N39" s="848"/>
      <c r="O39" s="848"/>
      <c r="P39" s="848"/>
      <c r="Q39" s="848"/>
      <c r="R39" s="848"/>
      <c r="S39" s="84"/>
    </row>
    <row r="40" spans="1:19" ht="24" customHeight="1">
      <c r="A40" s="84"/>
      <c r="B40" s="1467" t="s">
        <v>287</v>
      </c>
      <c r="C40" s="324" t="s">
        <v>9</v>
      </c>
      <c r="D40" s="265"/>
      <c r="E40" s="301"/>
      <c r="F40" s="1556" t="s">
        <v>3715</v>
      </c>
      <c r="G40" s="1557"/>
      <c r="H40" s="301"/>
      <c r="I40" s="1556" t="s">
        <v>3716</v>
      </c>
      <c r="J40" s="1557"/>
      <c r="K40" s="301"/>
      <c r="L40" s="84"/>
      <c r="O40" s="848"/>
      <c r="P40" s="848"/>
      <c r="Q40" s="848"/>
      <c r="R40" s="848"/>
    </row>
    <row r="41" spans="1:19" ht="24" customHeight="1">
      <c r="A41" s="84"/>
      <c r="B41" s="1467"/>
      <c r="C41" s="324"/>
      <c r="D41" s="265"/>
      <c r="E41" s="301"/>
      <c r="F41" s="301"/>
      <c r="G41" s="301"/>
      <c r="H41" s="301"/>
      <c r="I41" s="301"/>
      <c r="J41" s="1556" t="s">
        <v>3717</v>
      </c>
      <c r="K41" s="1557"/>
      <c r="L41" s="84"/>
      <c r="M41" s="84"/>
      <c r="N41" s="848"/>
      <c r="O41" s="848"/>
      <c r="P41" s="848"/>
      <c r="Q41" s="848"/>
      <c r="R41" s="848"/>
    </row>
    <row r="42" spans="1:19" ht="24.6" customHeight="1">
      <c r="A42" s="84"/>
      <c r="B42" s="1467"/>
      <c r="C42" s="854" t="s">
        <v>292</v>
      </c>
      <c r="D42" s="265"/>
      <c r="E42" s="301"/>
      <c r="F42" s="1685" t="s">
        <v>3698</v>
      </c>
      <c r="G42" s="1686"/>
      <c r="H42" s="301"/>
      <c r="I42" s="797" t="s">
        <v>3706</v>
      </c>
      <c r="J42" s="797" t="s">
        <v>4416</v>
      </c>
      <c r="K42" s="301"/>
      <c r="L42" s="84"/>
      <c r="M42" s="84"/>
      <c r="N42" s="848"/>
      <c r="O42" s="848"/>
      <c r="P42" s="848"/>
      <c r="Q42" s="848"/>
      <c r="R42" s="848"/>
    </row>
    <row r="43" spans="1:19" ht="24.6" customHeight="1">
      <c r="A43" s="84"/>
      <c r="B43" s="1467"/>
      <c r="C43" s="854"/>
      <c r="D43" s="265"/>
      <c r="E43" s="301"/>
      <c r="F43" s="301"/>
      <c r="G43" s="301"/>
      <c r="H43" s="301"/>
      <c r="I43" s="301"/>
      <c r="J43" s="301"/>
      <c r="K43" s="301"/>
      <c r="L43" s="84"/>
      <c r="M43" s="84"/>
      <c r="N43" s="848"/>
      <c r="O43" s="848"/>
      <c r="P43" s="848"/>
      <c r="Q43" s="848"/>
      <c r="R43" s="848"/>
    </row>
    <row r="44" spans="1:19" ht="24.6" customHeight="1">
      <c r="A44" s="84"/>
      <c r="B44" s="641" t="s">
        <v>317</v>
      </c>
      <c r="C44" s="125" t="s">
        <v>228</v>
      </c>
      <c r="D44" s="265"/>
      <c r="E44" s="345"/>
      <c r="F44" s="301"/>
      <c r="G44" s="301"/>
      <c r="H44" s="125" t="s">
        <v>370</v>
      </c>
      <c r="I44" s="301"/>
      <c r="J44" s="301"/>
      <c r="K44" s="301"/>
      <c r="L44" s="84"/>
      <c r="M44" s="84"/>
      <c r="N44" s="848"/>
      <c r="O44" s="848"/>
      <c r="P44" s="848"/>
      <c r="Q44" s="848"/>
      <c r="R44" s="848"/>
    </row>
    <row r="45" spans="1:19" ht="24.6" customHeight="1">
      <c r="A45" s="84"/>
      <c r="B45" s="84"/>
      <c r="C45" s="269"/>
      <c r="D45" s="265"/>
      <c r="E45" s="26">
        <f>K35+1</f>
        <v>29</v>
      </c>
      <c r="F45" s="175">
        <f>E45+1</f>
        <v>30</v>
      </c>
      <c r="G45" s="175">
        <f>F45+1</f>
        <v>31</v>
      </c>
      <c r="H45" s="175"/>
      <c r="I45" s="175"/>
      <c r="J45" s="175"/>
      <c r="K45" s="175"/>
      <c r="L45" s="84"/>
      <c r="M45" s="84"/>
      <c r="N45" s="848"/>
      <c r="O45" s="848"/>
      <c r="P45" s="848"/>
      <c r="Q45" s="848"/>
      <c r="R45" s="848"/>
    </row>
    <row r="46" spans="1:19" ht="24.6" customHeight="1">
      <c r="A46" s="84"/>
      <c r="B46" s="1467" t="s">
        <v>286</v>
      </c>
      <c r="C46" s="324" t="s">
        <v>9</v>
      </c>
      <c r="D46" s="265"/>
      <c r="E46" s="640"/>
      <c r="F46" s="640"/>
      <c r="G46" s="640"/>
      <c r="H46" s="640"/>
      <c r="I46" s="640"/>
      <c r="J46" s="640"/>
      <c r="K46" s="640"/>
      <c r="L46" s="84"/>
      <c r="M46" s="84"/>
      <c r="N46" s="848"/>
      <c r="O46" s="848"/>
      <c r="P46" s="848"/>
      <c r="Q46" s="848"/>
      <c r="R46" s="848"/>
    </row>
    <row r="47" spans="1:19" ht="24.6" customHeight="1">
      <c r="A47" s="84"/>
      <c r="B47" s="1467"/>
      <c r="C47" s="290" t="s">
        <v>7</v>
      </c>
      <c r="D47" s="265"/>
      <c r="E47" s="640"/>
      <c r="F47" s="640"/>
      <c r="G47" s="640"/>
      <c r="H47" s="640"/>
      <c r="I47" s="640"/>
      <c r="J47" s="640"/>
      <c r="K47" s="640"/>
      <c r="L47" s="84"/>
      <c r="M47" s="84"/>
      <c r="N47" s="848"/>
      <c r="O47" s="848"/>
      <c r="P47" s="848"/>
      <c r="Q47" s="848"/>
      <c r="R47" s="848"/>
    </row>
    <row r="48" spans="1:19" ht="24.6" customHeight="1">
      <c r="A48" s="84"/>
      <c r="B48" s="1467"/>
      <c r="C48" s="163" t="s">
        <v>389</v>
      </c>
      <c r="D48" s="265"/>
      <c r="E48" s="640"/>
      <c r="F48" s="640"/>
      <c r="G48" s="640"/>
      <c r="H48" s="640"/>
      <c r="I48" s="640"/>
      <c r="J48" s="640"/>
      <c r="K48" s="640"/>
      <c r="L48" s="84"/>
      <c r="M48" s="84"/>
      <c r="N48" s="848"/>
    </row>
    <row r="49" spans="1:13" ht="24.6" customHeight="1">
      <c r="A49" s="84"/>
      <c r="B49" s="1467"/>
      <c r="C49" s="325" t="s">
        <v>316</v>
      </c>
      <c r="D49" s="265"/>
      <c r="E49" s="640"/>
      <c r="F49" s="640"/>
      <c r="G49" s="640"/>
      <c r="H49" s="640"/>
      <c r="I49" s="640"/>
      <c r="J49" s="640"/>
      <c r="K49" s="640"/>
      <c r="L49" s="84"/>
      <c r="M49" s="84"/>
    </row>
    <row r="50" spans="1:13" ht="24.6" customHeight="1">
      <c r="A50" s="84"/>
      <c r="B50" s="1467" t="s">
        <v>287</v>
      </c>
      <c r="C50" s="324" t="s">
        <v>9</v>
      </c>
      <c r="D50" s="265"/>
      <c r="E50" s="640"/>
      <c r="F50" s="1556" t="s">
        <v>3718</v>
      </c>
      <c r="G50" s="1557"/>
      <c r="H50" s="640"/>
      <c r="I50" s="640"/>
      <c r="J50" s="640"/>
      <c r="K50" s="640"/>
      <c r="L50" s="84"/>
      <c r="M50" s="84"/>
    </row>
    <row r="51" spans="1:13" ht="24.6" customHeight="1">
      <c r="A51" s="84"/>
      <c r="B51" s="1467"/>
      <c r="C51" s="324"/>
      <c r="D51" s="265"/>
      <c r="E51" s="645"/>
      <c r="F51" s="645"/>
      <c r="G51" s="831"/>
      <c r="H51" s="831"/>
      <c r="I51" s="645"/>
      <c r="J51" s="645"/>
      <c r="K51" s="645"/>
      <c r="L51" s="84"/>
      <c r="M51" s="84"/>
    </row>
    <row r="52" spans="1:13" ht="24.6" customHeight="1">
      <c r="A52" s="84"/>
      <c r="B52" s="1467"/>
      <c r="C52" s="854" t="s">
        <v>292</v>
      </c>
      <c r="D52" s="265"/>
      <c r="E52" s="640"/>
      <c r="F52" s="1685" t="s">
        <v>4415</v>
      </c>
      <c r="G52" s="1686"/>
      <c r="H52" s="640"/>
      <c r="I52" s="640"/>
      <c r="J52" s="640"/>
      <c r="K52" s="640"/>
      <c r="L52" s="84"/>
      <c r="M52" s="84"/>
    </row>
    <row r="53" spans="1:13" ht="24.6" customHeight="1">
      <c r="A53" s="84"/>
      <c r="B53" s="1467"/>
      <c r="C53" s="854"/>
      <c r="D53" s="265"/>
      <c r="E53" s="640"/>
      <c r="F53" s="834"/>
      <c r="G53" s="860"/>
      <c r="H53" s="640"/>
      <c r="I53" s="640"/>
      <c r="J53" s="640"/>
      <c r="K53" s="640"/>
      <c r="L53" s="84"/>
      <c r="M53" s="84"/>
    </row>
    <row r="54" spans="1:13" ht="24.6" customHeight="1">
      <c r="A54" s="84"/>
      <c r="B54" s="641" t="s">
        <v>317</v>
      </c>
      <c r="C54" s="125" t="s">
        <v>228</v>
      </c>
      <c r="D54" s="265"/>
      <c r="E54" s="640"/>
      <c r="F54" s="640"/>
      <c r="G54" s="640"/>
      <c r="H54" s="640"/>
      <c r="I54" s="640"/>
      <c r="J54" s="640"/>
      <c r="K54" s="640"/>
      <c r="L54" s="84"/>
      <c r="M54" s="84"/>
    </row>
  </sheetData>
  <mergeCells count="38">
    <mergeCell ref="Q2:R2"/>
    <mergeCell ref="Q3:R3"/>
    <mergeCell ref="G33:H33"/>
    <mergeCell ref="B20:B23"/>
    <mergeCell ref="E3:G3"/>
    <mergeCell ref="H3:K3"/>
    <mergeCell ref="B6:B9"/>
    <mergeCell ref="B10:B13"/>
    <mergeCell ref="B16:B19"/>
    <mergeCell ref="F10:G10"/>
    <mergeCell ref="J11:K11"/>
    <mergeCell ref="F20:G20"/>
    <mergeCell ref="I20:J20"/>
    <mergeCell ref="G11:H11"/>
    <mergeCell ref="I10:J10"/>
    <mergeCell ref="F12:G12"/>
    <mergeCell ref="I40:J40"/>
    <mergeCell ref="J21:K21"/>
    <mergeCell ref="O2:P2"/>
    <mergeCell ref="O3:P3"/>
    <mergeCell ref="G21:H21"/>
    <mergeCell ref="F32:G32"/>
    <mergeCell ref="F52:G52"/>
    <mergeCell ref="F42:G42"/>
    <mergeCell ref="I22:J22"/>
    <mergeCell ref="B50:B53"/>
    <mergeCell ref="B26:B29"/>
    <mergeCell ref="B30:B33"/>
    <mergeCell ref="B36:B39"/>
    <mergeCell ref="B40:B43"/>
    <mergeCell ref="B46:B49"/>
    <mergeCell ref="F50:G50"/>
    <mergeCell ref="G31:H31"/>
    <mergeCell ref="J41:K41"/>
    <mergeCell ref="I30:J30"/>
    <mergeCell ref="J31:K31"/>
    <mergeCell ref="F30:G30"/>
    <mergeCell ref="F40:G40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1">
    <pageSetUpPr fitToPage="1"/>
  </sheetPr>
  <dimension ref="A1:AA41"/>
  <sheetViews>
    <sheetView showGridLines="0" zoomScale="70" zoomScaleNormal="70" workbookViewId="0">
      <selection activeCell="F18" sqref="F18:G18"/>
    </sheetView>
  </sheetViews>
  <sheetFormatPr defaultColWidth="8.88671875" defaultRowHeight="16.899999999999999"/>
  <cols>
    <col min="1" max="1" width="1.6640625" style="379" customWidth="1"/>
    <col min="2" max="2" width="11.21875" style="847" customWidth="1"/>
    <col min="3" max="3" width="15.77734375" style="379" customWidth="1"/>
    <col min="4" max="4" width="0.88671875" style="379" customWidth="1"/>
    <col min="5" max="8" width="25.77734375" style="379" customWidth="1"/>
    <col min="9" max="9" width="26.77734375" style="379" customWidth="1"/>
    <col min="10" max="11" width="25.77734375" style="379" customWidth="1"/>
    <col min="12" max="12" width="2.109375" style="379" customWidth="1"/>
    <col min="13" max="13" width="11.77734375" style="379" customWidth="1"/>
    <col min="14" max="14" width="31.6640625" style="379" bestFit="1" customWidth="1"/>
    <col min="15" max="15" width="19.21875" style="379" bestFit="1" customWidth="1"/>
    <col min="16" max="16" width="10.88671875" style="379" customWidth="1"/>
    <col min="17" max="17" width="9.77734375" style="379" bestFit="1" customWidth="1"/>
    <col min="18" max="18" width="16" style="379" customWidth="1"/>
    <col min="19" max="19" width="6.6640625" style="379" customWidth="1"/>
    <col min="20" max="16384" width="8.88671875" style="848"/>
  </cols>
  <sheetData>
    <row r="1" spans="1:22" ht="19.149999999999999">
      <c r="A1" s="848"/>
      <c r="B1" s="1035"/>
      <c r="C1" s="840"/>
      <c r="D1" s="840"/>
      <c r="N1" s="683" t="s">
        <v>3296</v>
      </c>
      <c r="O1" s="683"/>
      <c r="P1" s="840"/>
      <c r="Q1" s="840"/>
      <c r="R1" s="840"/>
      <c r="S1" s="840"/>
      <c r="T1" s="988"/>
      <c r="U1" s="988"/>
      <c r="V1" s="988"/>
    </row>
    <row r="2" spans="1:22" ht="19.149999999999999">
      <c r="A2" s="848"/>
      <c r="B2" s="1035"/>
      <c r="C2" s="840"/>
      <c r="D2" s="840"/>
      <c r="E2" s="986"/>
      <c r="F2" s="986"/>
      <c r="G2" s="986"/>
      <c r="H2" s="986"/>
      <c r="I2" s="986"/>
      <c r="J2" s="986"/>
      <c r="K2" s="986"/>
      <c r="N2" s="987" t="s">
        <v>3290</v>
      </c>
      <c r="O2" s="1704" t="s">
        <v>3291</v>
      </c>
      <c r="P2" s="1704"/>
      <c r="Q2" s="1704" t="s">
        <v>3292</v>
      </c>
      <c r="R2" s="1705"/>
      <c r="S2" s="840"/>
      <c r="T2" s="988"/>
      <c r="U2" s="988"/>
      <c r="V2" s="988"/>
    </row>
    <row r="3" spans="1:22" ht="57">
      <c r="A3" s="848"/>
      <c r="B3" s="1035"/>
      <c r="C3" s="840"/>
      <c r="D3" s="840"/>
      <c r="E3" s="1716">
        <v>45658</v>
      </c>
      <c r="F3" s="1716"/>
      <c r="G3" s="1716"/>
      <c r="H3" s="1717" t="s">
        <v>10</v>
      </c>
      <c r="I3" s="1717"/>
      <c r="J3" s="1717"/>
      <c r="K3" s="1717"/>
      <c r="N3" s="989">
        <f>SUMIF($Q$8:$Q$29,"F",$P$8:$P$29)</f>
        <v>306000</v>
      </c>
      <c r="O3" s="1715">
        <f>SUMIF($Q$8:$Q$29,"S",$P$8:$P$29)</f>
        <v>14703</v>
      </c>
      <c r="P3" s="1715"/>
      <c r="Q3" s="1706">
        <f>N3+O3</f>
        <v>320703</v>
      </c>
      <c r="R3" s="1707"/>
      <c r="S3" s="840"/>
      <c r="T3" s="988"/>
      <c r="U3" s="988"/>
      <c r="V3" s="988"/>
    </row>
    <row r="4" spans="1:22" s="840" customFormat="1" ht="26.25" customHeight="1">
      <c r="B4" s="843"/>
      <c r="E4" s="990" t="s">
        <v>0</v>
      </c>
      <c r="F4" s="991" t="s">
        <v>1</v>
      </c>
      <c r="G4" s="991" t="s">
        <v>2</v>
      </c>
      <c r="H4" s="991" t="s">
        <v>3</v>
      </c>
      <c r="I4" s="991" t="s">
        <v>4</v>
      </c>
      <c r="J4" s="991" t="s">
        <v>5</v>
      </c>
      <c r="K4" s="992" t="s">
        <v>6</v>
      </c>
      <c r="M4" s="379"/>
      <c r="N4" s="993"/>
    </row>
    <row r="5" spans="1:22" s="840" customFormat="1" ht="24.6" customHeight="1">
      <c r="B5" s="843"/>
      <c r="E5" s="994"/>
      <c r="F5" s="995"/>
      <c r="G5" s="995"/>
      <c r="H5" s="1036">
        <f>G5+1</f>
        <v>1</v>
      </c>
      <c r="I5" s="1036">
        <f>H5+1</f>
        <v>2</v>
      </c>
      <c r="J5" s="1036">
        <f>I5+1</f>
        <v>3</v>
      </c>
      <c r="K5" s="1037">
        <f>J5+1</f>
        <v>4</v>
      </c>
      <c r="L5" s="379"/>
      <c r="M5" s="379"/>
    </row>
    <row r="6" spans="1:22" s="840" customFormat="1" ht="24.6" customHeight="1">
      <c r="B6" s="1708" t="s">
        <v>287</v>
      </c>
      <c r="C6" s="996" t="s">
        <v>9</v>
      </c>
      <c r="D6" s="683"/>
      <c r="E6" s="997"/>
      <c r="F6" s="998"/>
      <c r="G6" s="998"/>
      <c r="H6" s="1038"/>
      <c r="I6" s="1719" t="s">
        <v>3728</v>
      </c>
      <c r="J6" s="1720"/>
      <c r="K6" s="1019"/>
      <c r="L6" s="379"/>
      <c r="M6" s="379"/>
    </row>
    <row r="7" spans="1:22" s="840" customFormat="1" ht="24.6" customHeight="1">
      <c r="B7" s="1708"/>
      <c r="C7" s="996"/>
      <c r="D7" s="683"/>
      <c r="E7" s="997"/>
      <c r="F7" s="998"/>
      <c r="G7" s="998"/>
      <c r="H7" s="998"/>
      <c r="I7" s="1038"/>
      <c r="J7" s="1719" t="s">
        <v>3719</v>
      </c>
      <c r="K7" s="1719"/>
      <c r="L7" s="379"/>
      <c r="M7" s="379"/>
      <c r="N7" s="683" t="s">
        <v>2916</v>
      </c>
    </row>
    <row r="8" spans="1:22" s="840" customFormat="1" ht="24.6" customHeight="1">
      <c r="B8" s="1708"/>
      <c r="C8" s="1000" t="s">
        <v>292</v>
      </c>
      <c r="D8" s="683"/>
      <c r="E8" s="997"/>
      <c r="F8" s="998"/>
      <c r="G8" s="998"/>
      <c r="H8" s="998"/>
      <c r="I8" s="1718" t="s">
        <v>3676</v>
      </c>
      <c r="J8" s="1718"/>
      <c r="K8" s="999"/>
      <c r="L8" s="379"/>
      <c r="M8" s="379"/>
      <c r="N8" s="920" t="s">
        <v>2732</v>
      </c>
      <c r="O8" s="920" t="s">
        <v>3781</v>
      </c>
      <c r="P8" s="920" t="s">
        <v>3464</v>
      </c>
      <c r="Q8" s="920" t="s">
        <v>3461</v>
      </c>
      <c r="R8" s="920" t="s">
        <v>3482</v>
      </c>
    </row>
    <row r="9" spans="1:22" s="840" customFormat="1" ht="24.6" customHeight="1">
      <c r="B9" s="1708"/>
      <c r="C9" s="1000"/>
      <c r="D9" s="683"/>
      <c r="E9" s="997"/>
      <c r="F9" s="998"/>
      <c r="G9" s="998"/>
      <c r="H9" s="998"/>
      <c r="I9" s="998"/>
      <c r="J9" s="998"/>
      <c r="K9" s="999"/>
      <c r="L9" s="379"/>
      <c r="M9" s="379"/>
      <c r="N9" s="1114" t="s">
        <v>3745</v>
      </c>
      <c r="O9" s="873" t="s">
        <v>3746</v>
      </c>
      <c r="P9" s="1144">
        <v>34000</v>
      </c>
      <c r="Q9" s="843" t="s">
        <v>3462</v>
      </c>
      <c r="R9" s="840" t="s">
        <v>3725</v>
      </c>
    </row>
    <row r="10" spans="1:22" s="840" customFormat="1" ht="24.6" customHeight="1">
      <c r="B10" s="1708"/>
      <c r="C10" s="1001" t="s">
        <v>228</v>
      </c>
      <c r="D10" s="683"/>
      <c r="E10" s="997"/>
      <c r="F10" s="998"/>
      <c r="G10" s="998"/>
      <c r="H10" s="1039" t="s">
        <v>538</v>
      </c>
      <c r="I10" s="998"/>
      <c r="J10" s="998"/>
      <c r="K10" s="999"/>
      <c r="L10" s="379"/>
      <c r="M10" s="379"/>
      <c r="N10" s="1114" t="s">
        <v>3747</v>
      </c>
      <c r="O10" s="873" t="s">
        <v>3748</v>
      </c>
      <c r="P10" s="1144">
        <v>34000</v>
      </c>
      <c r="Q10" s="843" t="s">
        <v>3639</v>
      </c>
      <c r="R10" s="840" t="s">
        <v>3725</v>
      </c>
    </row>
    <row r="11" spans="1:22" s="840" customFormat="1" ht="24.6" customHeight="1">
      <c r="B11" s="1002"/>
      <c r="C11" s="1040"/>
      <c r="E11" s="1003">
        <f>K5+1</f>
        <v>5</v>
      </c>
      <c r="F11" s="1004">
        <f t="shared" ref="F11:K11" si="0">E11+1</f>
        <v>6</v>
      </c>
      <c r="G11" s="1005">
        <f t="shared" si="0"/>
        <v>7</v>
      </c>
      <c r="H11" s="1004">
        <f t="shared" si="0"/>
        <v>8</v>
      </c>
      <c r="I11" s="1005">
        <f t="shared" si="0"/>
        <v>9</v>
      </c>
      <c r="J11" s="1004">
        <f t="shared" si="0"/>
        <v>10</v>
      </c>
      <c r="K11" s="1041">
        <f t="shared" si="0"/>
        <v>11</v>
      </c>
      <c r="L11" s="379"/>
      <c r="M11" s="379"/>
      <c r="N11" s="1114" t="s">
        <v>3749</v>
      </c>
      <c r="O11" s="873" t="s">
        <v>3750</v>
      </c>
      <c r="P11" s="1144">
        <v>34000</v>
      </c>
      <c r="Q11" s="843" t="s">
        <v>3643</v>
      </c>
      <c r="R11" s="840" t="s">
        <v>3696</v>
      </c>
      <c r="T11" s="988"/>
    </row>
    <row r="12" spans="1:22" ht="24.6" customHeight="1">
      <c r="A12" s="848"/>
      <c r="B12" s="1708" t="s">
        <v>287</v>
      </c>
      <c r="C12" s="996" t="s">
        <v>9</v>
      </c>
      <c r="D12" s="683"/>
      <c r="E12" s="1006"/>
      <c r="F12" s="1710" t="s">
        <v>3724</v>
      </c>
      <c r="G12" s="1711"/>
      <c r="H12" s="1007"/>
      <c r="I12" s="1710" t="s">
        <v>3721</v>
      </c>
      <c r="J12" s="1711"/>
      <c r="K12" s="1008"/>
      <c r="N12" s="1114" t="s">
        <v>3751</v>
      </c>
      <c r="O12" s="873" t="s">
        <v>3752</v>
      </c>
      <c r="P12" s="1144">
        <v>34000</v>
      </c>
      <c r="Q12" s="843" t="s">
        <v>3642</v>
      </c>
      <c r="R12" s="988"/>
      <c r="S12" s="840"/>
      <c r="T12" s="988"/>
      <c r="U12" s="988"/>
      <c r="V12" s="988"/>
    </row>
    <row r="13" spans="1:22" ht="24.6" customHeight="1">
      <c r="A13" s="848"/>
      <c r="B13" s="1708"/>
      <c r="C13" s="996"/>
      <c r="D13" s="683"/>
      <c r="E13" s="1006"/>
      <c r="F13" s="1007"/>
      <c r="G13" s="1710" t="s">
        <v>3720</v>
      </c>
      <c r="H13" s="1711"/>
      <c r="I13" s="1009"/>
      <c r="J13" s="1721" t="s">
        <v>3722</v>
      </c>
      <c r="K13" s="1722"/>
      <c r="N13" s="1114" t="s">
        <v>3753</v>
      </c>
      <c r="O13" s="873" t="s">
        <v>3754</v>
      </c>
      <c r="P13" s="1144">
        <v>34000</v>
      </c>
      <c r="Q13" s="843" t="s">
        <v>3643</v>
      </c>
      <c r="R13" s="988"/>
      <c r="S13" s="840"/>
      <c r="T13" s="988"/>
      <c r="U13" s="988"/>
      <c r="V13" s="988"/>
    </row>
    <row r="14" spans="1:22" ht="24.6" customHeight="1">
      <c r="A14" s="848"/>
      <c r="B14" s="1708"/>
      <c r="C14" s="1000" t="s">
        <v>292</v>
      </c>
      <c r="D14" s="683"/>
      <c r="E14" s="1006"/>
      <c r="F14" s="1709" t="s">
        <v>3731</v>
      </c>
      <c r="G14" s="1709"/>
      <c r="H14" s="1042"/>
      <c r="J14" s="1011"/>
      <c r="K14" s="1011"/>
      <c r="N14" s="1115" t="s">
        <v>2736</v>
      </c>
      <c r="O14" s="1112" t="s">
        <v>3765</v>
      </c>
      <c r="P14" s="1109">
        <v>34000</v>
      </c>
      <c r="Q14" s="1111" t="s">
        <v>3462</v>
      </c>
      <c r="R14" s="916"/>
      <c r="S14" s="916"/>
      <c r="T14" s="988"/>
      <c r="U14" s="988"/>
      <c r="V14" s="988"/>
    </row>
    <row r="15" spans="1:22" ht="24" customHeight="1">
      <c r="A15" s="848"/>
      <c r="B15" s="1708"/>
      <c r="C15" s="1000"/>
      <c r="D15" s="683"/>
      <c r="E15" s="1006"/>
      <c r="F15" s="1010"/>
      <c r="G15" s="1012"/>
      <c r="H15" s="1044" t="s">
        <v>3714</v>
      </c>
      <c r="I15" s="1045"/>
      <c r="J15" s="1043" t="s">
        <v>3713</v>
      </c>
      <c r="K15" s="1011"/>
      <c r="N15" s="1114" t="s">
        <v>3756</v>
      </c>
      <c r="O15" s="873" t="s">
        <v>3757</v>
      </c>
      <c r="P15" s="1144">
        <v>34000</v>
      </c>
      <c r="Q15" s="843" t="s">
        <v>3645</v>
      </c>
      <c r="R15" s="840"/>
      <c r="S15" s="840"/>
      <c r="T15" s="988"/>
      <c r="U15" s="988"/>
      <c r="V15" s="988"/>
    </row>
    <row r="16" spans="1:22" ht="24" customHeight="1">
      <c r="A16" s="848"/>
      <c r="B16" s="1708"/>
      <c r="C16" s="1001" t="s">
        <v>3729</v>
      </c>
      <c r="D16" s="683"/>
      <c r="E16" s="1013"/>
      <c r="F16" s="1046" t="s">
        <v>193</v>
      </c>
      <c r="G16" s="1047"/>
      <c r="H16" s="1046"/>
      <c r="I16" s="1047"/>
      <c r="J16" s="1046"/>
      <c r="K16" s="1048"/>
      <c r="N16" s="1114" t="s">
        <v>3758</v>
      </c>
      <c r="O16" s="873" t="s">
        <v>3759</v>
      </c>
      <c r="P16" s="1144">
        <v>34000</v>
      </c>
      <c r="Q16" s="843" t="s">
        <v>3642</v>
      </c>
      <c r="R16" s="840"/>
      <c r="S16" s="840"/>
      <c r="T16" s="988"/>
      <c r="U16" s="988"/>
      <c r="V16" s="988"/>
    </row>
    <row r="17" spans="1:27" ht="24" customHeight="1">
      <c r="A17" s="848"/>
      <c r="B17" s="1002"/>
      <c r="C17" s="1040"/>
      <c r="D17" s="840"/>
      <c r="E17" s="1017">
        <f>K11+1</f>
        <v>12</v>
      </c>
      <c r="F17" s="1049">
        <f t="shared" ref="F17:K17" si="1">E17+1</f>
        <v>13</v>
      </c>
      <c r="G17" s="1050">
        <f t="shared" si="1"/>
        <v>14</v>
      </c>
      <c r="H17" s="1049">
        <f>G17+1</f>
        <v>15</v>
      </c>
      <c r="I17" s="1050">
        <f t="shared" si="1"/>
        <v>16</v>
      </c>
      <c r="J17" s="1049">
        <f t="shared" si="1"/>
        <v>17</v>
      </c>
      <c r="K17" s="1051">
        <f t="shared" si="1"/>
        <v>18</v>
      </c>
      <c r="N17" s="1114" t="s">
        <v>3760</v>
      </c>
      <c r="O17" s="873" t="s">
        <v>3950</v>
      </c>
      <c r="P17" s="1144">
        <v>12200</v>
      </c>
      <c r="Q17" s="843" t="s">
        <v>3646</v>
      </c>
      <c r="R17" s="840" t="s">
        <v>3725</v>
      </c>
      <c r="T17" s="988"/>
      <c r="U17" s="988"/>
      <c r="V17" s="988"/>
    </row>
    <row r="18" spans="1:27" ht="24.6" customHeight="1">
      <c r="A18" s="848"/>
      <c r="B18" s="1708" t="s">
        <v>287</v>
      </c>
      <c r="C18" s="996" t="s">
        <v>9</v>
      </c>
      <c r="D18" s="683"/>
      <c r="E18" s="1018"/>
      <c r="F18" s="1710" t="s">
        <v>3736</v>
      </c>
      <c r="G18" s="1711"/>
      <c r="H18" s="1027"/>
      <c r="I18" s="1710" t="s">
        <v>3783</v>
      </c>
      <c r="J18" s="1711"/>
      <c r="K18" s="1019"/>
      <c r="N18" s="1114" t="s">
        <v>3761</v>
      </c>
      <c r="O18" s="873" t="s">
        <v>3762</v>
      </c>
      <c r="P18" s="1144">
        <v>34000</v>
      </c>
      <c r="Q18" s="843" t="s">
        <v>3644</v>
      </c>
      <c r="R18" s="840" t="s">
        <v>3725</v>
      </c>
      <c r="S18" s="840"/>
      <c r="T18" s="988"/>
      <c r="U18" s="988"/>
      <c r="V18" s="988"/>
    </row>
    <row r="19" spans="1:27" ht="24.6" customHeight="1">
      <c r="A19" s="848"/>
      <c r="B19" s="1708"/>
      <c r="C19" s="996"/>
      <c r="D19" s="683"/>
      <c r="E19" s="1018"/>
      <c r="F19" s="1027"/>
      <c r="G19" s="1710" t="s">
        <v>3735</v>
      </c>
      <c r="H19" s="1711"/>
      <c r="I19" s="1028"/>
      <c r="J19" s="1710" t="s">
        <v>3737</v>
      </c>
      <c r="K19" s="1711"/>
      <c r="N19" s="1114" t="s">
        <v>3763</v>
      </c>
      <c r="O19" s="873" t="s">
        <v>3764</v>
      </c>
      <c r="P19" s="1144">
        <v>2503</v>
      </c>
      <c r="Q19" s="843" t="s">
        <v>3666</v>
      </c>
      <c r="R19" s="840" t="s">
        <v>3725</v>
      </c>
      <c r="S19" s="840"/>
      <c r="T19" s="988"/>
      <c r="U19" s="988"/>
      <c r="V19" s="988"/>
    </row>
    <row r="20" spans="1:27" ht="24.6" customHeight="1">
      <c r="A20" s="848"/>
      <c r="B20" s="1708"/>
      <c r="C20" s="1000" t="s">
        <v>292</v>
      </c>
      <c r="D20" s="683"/>
      <c r="E20" s="1018"/>
      <c r="F20" s="1044" t="s">
        <v>3726</v>
      </c>
      <c r="G20" s="1020"/>
      <c r="H20" s="1709" t="s">
        <v>3733</v>
      </c>
      <c r="I20" s="1709"/>
      <c r="J20" s="1020"/>
      <c r="K20" s="1021"/>
      <c r="L20" s="848"/>
      <c r="M20" s="848"/>
      <c r="U20" s="988"/>
      <c r="V20" s="988"/>
    </row>
    <row r="21" spans="1:27" ht="24.6" customHeight="1">
      <c r="A21" s="848"/>
      <c r="B21" s="1708"/>
      <c r="C21" s="1000"/>
      <c r="D21" s="683"/>
      <c r="E21" s="1018"/>
      <c r="F21" s="1020"/>
      <c r="G21" s="1107" t="s">
        <v>3732</v>
      </c>
      <c r="H21" s="1020"/>
      <c r="I21" s="1714" t="s">
        <v>3734</v>
      </c>
      <c r="J21" s="1714"/>
      <c r="K21" s="1021"/>
      <c r="L21" s="848"/>
      <c r="M21" s="848"/>
      <c r="N21" s="840"/>
      <c r="O21" s="840"/>
      <c r="P21" s="840"/>
      <c r="Q21" s="840"/>
      <c r="R21" s="840"/>
      <c r="S21" s="988"/>
      <c r="T21" s="988"/>
      <c r="U21" s="988"/>
      <c r="V21" s="988"/>
    </row>
    <row r="22" spans="1:27" ht="24.6" customHeight="1">
      <c r="A22" s="848"/>
      <c r="B22" s="1708"/>
      <c r="C22" s="1001" t="s">
        <v>3730</v>
      </c>
      <c r="D22" s="683"/>
      <c r="E22" s="1022"/>
      <c r="F22" s="1023"/>
      <c r="G22" s="1024"/>
      <c r="H22" s="1023"/>
      <c r="I22" s="1024"/>
      <c r="J22" s="1023"/>
      <c r="K22" s="1025"/>
      <c r="L22" s="848"/>
      <c r="M22" s="848"/>
      <c r="N22" s="840"/>
      <c r="O22" s="840"/>
      <c r="P22" s="840"/>
      <c r="Q22" s="988"/>
      <c r="R22" s="988"/>
      <c r="S22" s="988"/>
      <c r="T22" s="988"/>
      <c r="U22" s="988"/>
      <c r="V22" s="988"/>
    </row>
    <row r="23" spans="1:27" ht="24.6" customHeight="1">
      <c r="A23" s="848"/>
      <c r="B23" s="1002"/>
      <c r="C23" s="1040"/>
      <c r="D23" s="840"/>
      <c r="E23" s="1003">
        <f>K17+1</f>
        <v>19</v>
      </c>
      <c r="F23" s="1004">
        <f t="shared" ref="F23:K23" si="2">E23+1</f>
        <v>20</v>
      </c>
      <c r="G23" s="1005">
        <f t="shared" si="2"/>
        <v>21</v>
      </c>
      <c r="H23" s="1004">
        <f>G23+1</f>
        <v>22</v>
      </c>
      <c r="I23" s="1005">
        <f t="shared" si="2"/>
        <v>23</v>
      </c>
      <c r="J23" s="1004">
        <f t="shared" si="2"/>
        <v>24</v>
      </c>
      <c r="K23" s="1041">
        <f t="shared" si="2"/>
        <v>25</v>
      </c>
      <c r="L23" s="848"/>
      <c r="M23" s="848"/>
      <c r="N23" s="840"/>
      <c r="O23" s="840"/>
      <c r="P23" s="840"/>
      <c r="Q23" s="988"/>
      <c r="R23" s="988"/>
      <c r="S23" s="988"/>
      <c r="T23" s="988"/>
      <c r="U23" s="988"/>
      <c r="V23" s="988"/>
    </row>
    <row r="24" spans="1:27" ht="24.6" customHeight="1">
      <c r="A24" s="848"/>
      <c r="B24" s="1708" t="s">
        <v>287</v>
      </c>
      <c r="C24" s="996" t="s">
        <v>9</v>
      </c>
      <c r="D24" s="683"/>
      <c r="E24" s="1006"/>
      <c r="F24" s="1710" t="s">
        <v>3807</v>
      </c>
      <c r="G24" s="1711"/>
      <c r="H24" s="1007"/>
      <c r="I24" s="1712" t="s">
        <v>3808</v>
      </c>
      <c r="J24" s="1713"/>
      <c r="K24" s="902"/>
      <c r="L24" s="848"/>
      <c r="N24" s="840"/>
      <c r="O24" s="840"/>
      <c r="P24" s="840"/>
      <c r="Q24" s="988"/>
      <c r="R24" s="988"/>
      <c r="S24" s="988"/>
      <c r="T24" s="988"/>
      <c r="U24" s="988"/>
      <c r="V24" s="988"/>
    </row>
    <row r="25" spans="1:27" ht="24.6" customHeight="1">
      <c r="A25" s="848"/>
      <c r="B25" s="1708"/>
      <c r="C25" s="996"/>
      <c r="D25" s="683"/>
      <c r="E25" s="1006"/>
      <c r="F25" s="1007"/>
      <c r="G25" s="1710" t="s">
        <v>3784</v>
      </c>
      <c r="H25" s="1711"/>
      <c r="I25" s="902"/>
      <c r="J25" s="1712" t="s">
        <v>3805</v>
      </c>
      <c r="K25" s="1713"/>
      <c r="L25" s="848"/>
      <c r="N25" s="840"/>
      <c r="O25" s="840"/>
      <c r="P25" s="840"/>
      <c r="Q25" s="988"/>
      <c r="R25" s="988"/>
      <c r="S25" s="988"/>
      <c r="T25" s="988"/>
      <c r="U25" s="988"/>
      <c r="V25" s="988"/>
      <c r="AA25" s="379"/>
    </row>
    <row r="26" spans="1:27" ht="24.6" customHeight="1">
      <c r="A26" s="848"/>
      <c r="B26" s="1708"/>
      <c r="C26" s="1000" t="s">
        <v>292</v>
      </c>
      <c r="D26" s="683"/>
      <c r="E26" s="1006"/>
      <c r="F26" s="1010"/>
      <c r="G26" s="1107" t="s">
        <v>3738</v>
      </c>
      <c r="I26" s="1709" t="s">
        <v>3793</v>
      </c>
      <c r="J26" s="1709"/>
      <c r="K26" s="1011"/>
      <c r="L26" s="848"/>
      <c r="N26" s="840"/>
      <c r="O26" s="840"/>
      <c r="P26" s="840"/>
      <c r="Q26" s="988"/>
      <c r="R26" s="988"/>
      <c r="S26" s="988"/>
      <c r="T26" s="988"/>
      <c r="U26" s="988"/>
      <c r="V26" s="988"/>
    </row>
    <row r="27" spans="1:27" ht="24" customHeight="1">
      <c r="A27" s="848"/>
      <c r="B27" s="1708"/>
      <c r="C27" s="1000"/>
      <c r="D27" s="683"/>
      <c r="E27" s="1006"/>
      <c r="F27" s="1010"/>
      <c r="H27" s="1107" t="s">
        <v>3804</v>
      </c>
      <c r="K27" s="1010"/>
      <c r="L27" s="848"/>
      <c r="O27" s="840"/>
      <c r="P27" s="840"/>
      <c r="Q27" s="988"/>
      <c r="R27" s="988"/>
      <c r="S27" s="988"/>
      <c r="T27" s="988"/>
      <c r="U27" s="988"/>
      <c r="V27" s="988"/>
    </row>
    <row r="28" spans="1:27" ht="24" customHeight="1">
      <c r="A28" s="848"/>
      <c r="B28" s="1708"/>
      <c r="C28" s="1001" t="s">
        <v>384</v>
      </c>
      <c r="D28" s="683"/>
      <c r="E28" s="1013"/>
      <c r="F28" s="1014"/>
      <c r="G28" s="1015"/>
      <c r="K28" s="1016"/>
      <c r="L28" s="848"/>
      <c r="O28" s="988"/>
      <c r="P28" s="988"/>
      <c r="Q28" s="988"/>
      <c r="R28" s="988"/>
      <c r="S28" s="988"/>
      <c r="T28" s="988"/>
      <c r="U28" s="988"/>
      <c r="V28" s="988"/>
    </row>
    <row r="29" spans="1:27" ht="24.6" customHeight="1">
      <c r="A29" s="848"/>
      <c r="B29" s="840"/>
      <c r="C29" s="1052"/>
      <c r="D29" s="683"/>
      <c r="E29" s="1026">
        <f>K23+1</f>
        <v>26</v>
      </c>
      <c r="F29" s="1053">
        <f>E29+1</f>
        <v>27</v>
      </c>
      <c r="G29" s="1054">
        <f>F29+1</f>
        <v>28</v>
      </c>
      <c r="H29" s="1053">
        <f>G29+1</f>
        <v>29</v>
      </c>
      <c r="I29" s="1054">
        <f>H29+1</f>
        <v>30</v>
      </c>
      <c r="J29" s="1053">
        <f>I29+1</f>
        <v>31</v>
      </c>
      <c r="K29" s="1055"/>
      <c r="L29" s="848"/>
      <c r="M29" s="848"/>
      <c r="O29" s="988"/>
      <c r="P29" s="988"/>
      <c r="Q29" s="988"/>
      <c r="R29" s="988"/>
      <c r="S29" s="988"/>
      <c r="T29" s="988"/>
      <c r="U29" s="988"/>
      <c r="V29" s="988"/>
    </row>
    <row r="30" spans="1:27" ht="24.6" customHeight="1">
      <c r="A30" s="848"/>
      <c r="B30" s="1708" t="s">
        <v>287</v>
      </c>
      <c r="C30" s="996" t="s">
        <v>9</v>
      </c>
      <c r="D30" s="683"/>
      <c r="E30" s="1018"/>
      <c r="F30" s="1027"/>
      <c r="G30" s="1028"/>
      <c r="H30" s="1027"/>
      <c r="I30" s="1028"/>
      <c r="J30" s="1027"/>
      <c r="K30" s="1019"/>
      <c r="L30" s="848"/>
      <c r="M30" s="1056"/>
      <c r="O30" s="988"/>
      <c r="P30" s="988"/>
      <c r="Q30" s="988"/>
      <c r="R30" s="988"/>
      <c r="S30" s="988"/>
      <c r="T30" s="988"/>
      <c r="U30" s="988"/>
      <c r="V30" s="988"/>
    </row>
    <row r="31" spans="1:27" ht="24.6" customHeight="1">
      <c r="A31" s="848"/>
      <c r="B31" s="1708"/>
      <c r="C31" s="996"/>
      <c r="D31" s="683"/>
      <c r="E31" s="1018"/>
      <c r="F31" s="1027"/>
      <c r="G31" s="1028"/>
      <c r="H31" s="1027"/>
      <c r="I31" s="1028"/>
      <c r="J31" s="1027"/>
      <c r="K31" s="1019"/>
      <c r="L31" s="848"/>
      <c r="M31" s="848"/>
      <c r="O31" s="988"/>
      <c r="P31" s="988"/>
      <c r="Q31" s="988"/>
      <c r="R31" s="988"/>
      <c r="S31" s="988"/>
      <c r="T31" s="988"/>
      <c r="U31" s="988"/>
      <c r="V31" s="988"/>
    </row>
    <row r="32" spans="1:27" ht="24.6" customHeight="1">
      <c r="A32" s="848"/>
      <c r="B32" s="1708"/>
      <c r="C32" s="1000" t="s">
        <v>292</v>
      </c>
      <c r="D32" s="683"/>
      <c r="E32" s="1018"/>
      <c r="F32" s="1027"/>
      <c r="G32" s="1028"/>
      <c r="H32" s="1027"/>
      <c r="I32" s="1028"/>
      <c r="J32" s="1027"/>
      <c r="K32" s="1019"/>
      <c r="L32" s="848"/>
      <c r="M32" s="848"/>
      <c r="O32" s="988"/>
      <c r="P32" s="988"/>
      <c r="Q32" s="988"/>
      <c r="R32" s="840"/>
      <c r="S32" s="988"/>
      <c r="T32" s="988"/>
      <c r="U32" s="988"/>
      <c r="V32" s="988"/>
    </row>
    <row r="33" spans="1:22" ht="24.6" customHeight="1">
      <c r="A33" s="848"/>
      <c r="B33" s="1708"/>
      <c r="C33" s="1000"/>
      <c r="D33" s="683"/>
      <c r="E33" s="1018"/>
      <c r="F33" s="1027"/>
      <c r="G33" s="1028"/>
      <c r="H33" s="1027"/>
      <c r="I33" s="1028"/>
      <c r="J33" s="1027"/>
      <c r="K33" s="1019"/>
      <c r="L33" s="848"/>
      <c r="M33" s="848"/>
      <c r="O33" s="988"/>
      <c r="P33" s="988"/>
      <c r="Q33" s="988"/>
      <c r="R33" s="840"/>
      <c r="S33" s="988"/>
      <c r="T33" s="988"/>
      <c r="U33" s="988"/>
      <c r="V33" s="988"/>
    </row>
    <row r="34" spans="1:22" ht="24.6" customHeight="1">
      <c r="A34" s="848"/>
      <c r="B34" s="1708"/>
      <c r="C34" s="1001" t="s">
        <v>3730</v>
      </c>
      <c r="D34" s="683"/>
      <c r="E34" s="1018"/>
      <c r="F34" s="1057" t="s">
        <v>3739</v>
      </c>
      <c r="G34" s="1058" t="s">
        <v>1064</v>
      </c>
      <c r="H34" s="1059" t="s">
        <v>1064</v>
      </c>
      <c r="I34" s="1058" t="s">
        <v>1064</v>
      </c>
      <c r="J34" s="1057" t="s">
        <v>3739</v>
      </c>
      <c r="K34" s="1019"/>
      <c r="L34" s="848"/>
      <c r="M34" s="848"/>
      <c r="N34" s="840"/>
      <c r="O34" s="988"/>
      <c r="P34" s="840"/>
      <c r="Q34" s="840"/>
      <c r="R34" s="840"/>
      <c r="S34" s="988"/>
      <c r="T34" s="988"/>
      <c r="U34" s="988"/>
      <c r="V34" s="988"/>
    </row>
    <row r="35" spans="1:22" ht="24.6" customHeight="1">
      <c r="A35" s="848"/>
      <c r="C35" s="1060"/>
      <c r="L35" s="848"/>
      <c r="M35" s="848"/>
      <c r="N35" s="988"/>
      <c r="O35" s="988"/>
      <c r="P35" s="840"/>
      <c r="Q35" s="840"/>
      <c r="R35" s="840"/>
      <c r="S35" s="988"/>
      <c r="T35" s="988"/>
      <c r="U35" s="988"/>
      <c r="V35" s="988"/>
    </row>
    <row r="36" spans="1:22" ht="24.6" customHeight="1">
      <c r="A36" s="848"/>
      <c r="L36" s="848"/>
      <c r="M36" s="848"/>
      <c r="N36" s="840"/>
      <c r="O36" s="840"/>
      <c r="P36" s="840"/>
      <c r="Q36" s="840"/>
      <c r="R36" s="840"/>
      <c r="S36" s="988"/>
      <c r="T36" s="988"/>
      <c r="U36" s="988"/>
      <c r="V36" s="988"/>
    </row>
    <row r="37" spans="1:22" ht="24.6" customHeight="1">
      <c r="A37" s="848"/>
      <c r="C37" s="1029" t="s">
        <v>3744</v>
      </c>
      <c r="D37" s="848"/>
      <c r="E37" s="1030" t="s">
        <v>3740</v>
      </c>
      <c r="F37" s="1031" t="s">
        <v>3743</v>
      </c>
      <c r="G37" s="1032" t="s">
        <v>3768</v>
      </c>
      <c r="L37" s="848"/>
      <c r="M37" s="848"/>
      <c r="S37" s="988"/>
      <c r="T37" s="988"/>
      <c r="U37" s="988"/>
      <c r="V37" s="988"/>
    </row>
    <row r="38" spans="1:22" ht="24.6" customHeight="1">
      <c r="A38" s="848"/>
      <c r="D38" s="848"/>
      <c r="E38" s="1033" t="s">
        <v>3741</v>
      </c>
      <c r="F38" s="921" t="s">
        <v>3742</v>
      </c>
      <c r="G38" s="1034" t="s">
        <v>336</v>
      </c>
      <c r="L38" s="848"/>
      <c r="M38" s="848"/>
    </row>
    <row r="39" spans="1:22" ht="24.6" customHeight="1">
      <c r="D39" s="848"/>
    </row>
    <row r="40" spans="1:22" ht="24.6" customHeight="1"/>
    <row r="41" spans="1:22" ht="24.6" customHeight="1"/>
  </sheetData>
  <mergeCells count="30">
    <mergeCell ref="G13:H13"/>
    <mergeCell ref="I12:J12"/>
    <mergeCell ref="J13:K13"/>
    <mergeCell ref="H20:I20"/>
    <mergeCell ref="I18:J18"/>
    <mergeCell ref="J19:K19"/>
    <mergeCell ref="G19:H19"/>
    <mergeCell ref="O2:P2"/>
    <mergeCell ref="O3:P3"/>
    <mergeCell ref="E3:G3"/>
    <mergeCell ref="H3:K3"/>
    <mergeCell ref="I8:J8"/>
    <mergeCell ref="I6:J6"/>
    <mergeCell ref="J7:K7"/>
    <mergeCell ref="Q2:R2"/>
    <mergeCell ref="Q3:R3"/>
    <mergeCell ref="B30:B34"/>
    <mergeCell ref="F14:G14"/>
    <mergeCell ref="B6:B10"/>
    <mergeCell ref="G25:H25"/>
    <mergeCell ref="J25:K25"/>
    <mergeCell ref="F24:G24"/>
    <mergeCell ref="I24:J24"/>
    <mergeCell ref="B12:B16"/>
    <mergeCell ref="B18:B22"/>
    <mergeCell ref="F18:G18"/>
    <mergeCell ref="I21:J21"/>
    <mergeCell ref="B24:B28"/>
    <mergeCell ref="F12:G12"/>
    <mergeCell ref="I26:J26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2">
    <pageSetUpPr fitToPage="1"/>
  </sheetPr>
  <dimension ref="A1:Z40"/>
  <sheetViews>
    <sheetView showGridLines="0" topLeftCell="A16" zoomScale="70" zoomScaleNormal="70" workbookViewId="0">
      <selection activeCell="G21" sqref="G21"/>
    </sheetView>
  </sheetViews>
  <sheetFormatPr defaultColWidth="8.88671875" defaultRowHeight="16.899999999999999"/>
  <cols>
    <col min="1" max="1" width="1.6640625" style="1062" customWidth="1"/>
    <col min="2" max="2" width="11.21875" style="1062" customWidth="1"/>
    <col min="3" max="3" width="15.77734375" style="1062" customWidth="1"/>
    <col min="4" max="4" width="0.88671875" style="1062" customWidth="1"/>
    <col min="5" max="8" width="25.77734375" style="1062" customWidth="1"/>
    <col min="9" max="9" width="26.77734375" style="1062" customWidth="1"/>
    <col min="10" max="11" width="25.77734375" style="1062" customWidth="1"/>
    <col min="12" max="12" width="2.109375" style="1062" customWidth="1"/>
    <col min="13" max="13" width="11.77734375" style="1062" customWidth="1"/>
    <col min="14" max="14" width="27.21875" style="1062" bestFit="1" customWidth="1"/>
    <col min="15" max="15" width="14.77734375" style="1062" customWidth="1"/>
    <col min="16" max="16" width="8.77734375" style="1062" bestFit="1" customWidth="1"/>
    <col min="17" max="17" width="14.21875" style="1062" customWidth="1"/>
    <col min="18" max="18" width="17.21875" style="1062" customWidth="1"/>
    <col min="19" max="19" width="16" style="1062" bestFit="1" customWidth="1"/>
    <col min="20" max="20" width="23.33203125" style="1062" customWidth="1"/>
    <col min="21" max="16384" width="8.88671875" style="1061"/>
  </cols>
  <sheetData>
    <row r="1" spans="1:26" ht="19.149999999999999">
      <c r="A1" s="1061"/>
      <c r="B1" s="1061"/>
      <c r="C1" s="882"/>
      <c r="D1" s="882"/>
      <c r="N1" s="889" t="s">
        <v>3296</v>
      </c>
      <c r="O1" s="889"/>
      <c r="P1" s="882"/>
      <c r="Q1" s="882"/>
      <c r="R1" s="882"/>
      <c r="S1" s="882"/>
    </row>
    <row r="2" spans="1:26" ht="19.149999999999999">
      <c r="A2" s="1061"/>
      <c r="B2" s="1061"/>
      <c r="C2" s="882"/>
      <c r="D2" s="882"/>
      <c r="E2" s="1063"/>
      <c r="F2" s="1063"/>
      <c r="G2" s="1063"/>
      <c r="H2" s="1063"/>
      <c r="I2" s="1063"/>
      <c r="J2" s="1063"/>
      <c r="K2" s="1063"/>
      <c r="N2" s="987" t="s">
        <v>3290</v>
      </c>
      <c r="O2" s="1704" t="s">
        <v>3291</v>
      </c>
      <c r="P2" s="1704"/>
      <c r="Q2" s="1704" t="s">
        <v>3292</v>
      </c>
      <c r="R2" s="1705"/>
      <c r="S2" s="1124"/>
    </row>
    <row r="3" spans="1:26" ht="57">
      <c r="A3" s="1061"/>
      <c r="B3" s="916"/>
      <c r="C3" s="882"/>
      <c r="D3" s="882"/>
      <c r="E3" s="1737">
        <v>45689</v>
      </c>
      <c r="F3" s="1737"/>
      <c r="G3" s="1737"/>
      <c r="H3" s="1738" t="s">
        <v>10</v>
      </c>
      <c r="I3" s="1738"/>
      <c r="J3" s="1738"/>
      <c r="K3" s="1738"/>
      <c r="L3" s="882"/>
      <c r="M3" s="882"/>
      <c r="N3" s="989">
        <f>SUMIF($Q$8:$Q$30,"F",$P$8:$P$30)</f>
        <v>340000</v>
      </c>
      <c r="O3" s="1715">
        <f>SUMIF($Q$8:$Q$30,"S",$P$8:$P$30)</f>
        <v>26567</v>
      </c>
      <c r="P3" s="1715"/>
      <c r="Q3" s="1706">
        <f>N3+O3</f>
        <v>366567</v>
      </c>
      <c r="R3" s="1707"/>
      <c r="S3" s="1125"/>
      <c r="T3" s="882"/>
      <c r="U3" s="916"/>
      <c r="V3" s="916"/>
    </row>
    <row r="4" spans="1:26" s="882" customFormat="1" ht="26.25" customHeight="1">
      <c r="E4" s="883" t="s">
        <v>0</v>
      </c>
      <c r="F4" s="884" t="s">
        <v>1</v>
      </c>
      <c r="G4" s="884" t="s">
        <v>2</v>
      </c>
      <c r="H4" s="884" t="s">
        <v>3</v>
      </c>
      <c r="I4" s="884" t="s">
        <v>4</v>
      </c>
      <c r="J4" s="884" t="s">
        <v>5</v>
      </c>
      <c r="K4" s="885" t="s">
        <v>6</v>
      </c>
      <c r="N4" s="914"/>
    </row>
    <row r="5" spans="1:26" s="882" customFormat="1" ht="24.6" customHeight="1">
      <c r="E5" s="886"/>
      <c r="F5" s="887"/>
      <c r="G5" s="887"/>
      <c r="H5" s="887"/>
      <c r="I5" s="887"/>
      <c r="J5" s="887"/>
      <c r="K5" s="1064">
        <v>1</v>
      </c>
    </row>
    <row r="6" spans="1:26" s="882" customFormat="1" ht="24.6" customHeight="1">
      <c r="B6" s="1723" t="s">
        <v>287</v>
      </c>
      <c r="C6" s="888" t="s">
        <v>9</v>
      </c>
      <c r="D6" s="889"/>
      <c r="E6" s="890"/>
      <c r="F6" s="891"/>
      <c r="G6" s="891"/>
      <c r="H6" s="891"/>
      <c r="I6" s="891"/>
      <c r="J6" s="891"/>
      <c r="K6" s="895"/>
    </row>
    <row r="7" spans="1:26" s="882" customFormat="1" ht="24.6" customHeight="1">
      <c r="B7" s="1723"/>
      <c r="C7" s="888"/>
      <c r="D7" s="889"/>
      <c r="E7" s="890"/>
      <c r="F7" s="891"/>
      <c r="G7" s="891"/>
      <c r="H7" s="891"/>
      <c r="I7" s="891"/>
      <c r="J7" s="891"/>
      <c r="K7" s="895"/>
      <c r="N7" s="889" t="s">
        <v>3294</v>
      </c>
    </row>
    <row r="8" spans="1:26" s="882" customFormat="1" ht="24.6" customHeight="1">
      <c r="B8" s="1723"/>
      <c r="C8" s="894" t="s">
        <v>292</v>
      </c>
      <c r="D8" s="889"/>
      <c r="E8" s="890"/>
      <c r="F8" s="891"/>
      <c r="G8" s="891"/>
      <c r="H8" s="891"/>
      <c r="I8" s="891"/>
      <c r="J8" s="891"/>
      <c r="K8" s="895"/>
      <c r="N8" s="920" t="s">
        <v>2732</v>
      </c>
      <c r="O8" s="920" t="s">
        <v>3781</v>
      </c>
      <c r="P8" s="920" t="s">
        <v>3464</v>
      </c>
      <c r="Q8" s="920" t="s">
        <v>3461</v>
      </c>
      <c r="R8" s="1131" t="s">
        <v>3839</v>
      </c>
      <c r="S8" s="920" t="s">
        <v>3814</v>
      </c>
      <c r="T8" s="920" t="s">
        <v>3818</v>
      </c>
    </row>
    <row r="9" spans="1:26" s="882" customFormat="1" ht="24.6" customHeight="1">
      <c r="B9" s="1723"/>
      <c r="C9" s="894"/>
      <c r="D9" s="889"/>
      <c r="E9" s="890"/>
      <c r="F9" s="891"/>
      <c r="G9" s="891"/>
      <c r="H9" s="891"/>
      <c r="I9" s="891"/>
      <c r="J9" s="891"/>
      <c r="K9" s="895"/>
      <c r="N9" s="1122" t="s">
        <v>3849</v>
      </c>
      <c r="O9" s="1123" t="s">
        <v>3836</v>
      </c>
      <c r="P9" s="917">
        <v>34000</v>
      </c>
      <c r="Q9" s="1203" t="s">
        <v>3462</v>
      </c>
      <c r="R9" s="1203" t="s">
        <v>3816</v>
      </c>
      <c r="S9" s="1203" t="s">
        <v>3813</v>
      </c>
      <c r="T9" s="882" t="s">
        <v>3797</v>
      </c>
      <c r="U9" s="1113"/>
      <c r="V9" s="1061"/>
    </row>
    <row r="10" spans="1:26" s="882" customFormat="1" ht="24.6" customHeight="1">
      <c r="B10" s="1723"/>
      <c r="C10" s="896" t="s">
        <v>228</v>
      </c>
      <c r="D10" s="889"/>
      <c r="E10" s="890"/>
      <c r="F10" s="891"/>
      <c r="G10" s="891"/>
      <c r="H10" s="891"/>
      <c r="I10" s="891"/>
      <c r="J10" s="891"/>
      <c r="K10" s="895"/>
      <c r="N10" s="1122" t="s">
        <v>3850</v>
      </c>
      <c r="O10" s="1123" t="s">
        <v>3821</v>
      </c>
      <c r="P10" s="917">
        <v>34000</v>
      </c>
      <c r="Q10" s="1203" t="s">
        <v>3645</v>
      </c>
      <c r="R10" s="1203" t="s">
        <v>3813</v>
      </c>
      <c r="S10" s="1203" t="s">
        <v>3813</v>
      </c>
      <c r="T10" s="882" t="s">
        <v>3810</v>
      </c>
    </row>
    <row r="11" spans="1:26" s="882" customFormat="1" ht="24.6" customHeight="1">
      <c r="B11" s="897"/>
      <c r="E11" s="898">
        <f>K5+1</f>
        <v>2</v>
      </c>
      <c r="F11" s="899">
        <f t="shared" ref="F11:K11" si="0">E11+1</f>
        <v>3</v>
      </c>
      <c r="G11" s="900">
        <f t="shared" si="0"/>
        <v>4</v>
      </c>
      <c r="H11" s="899">
        <f t="shared" si="0"/>
        <v>5</v>
      </c>
      <c r="I11" s="900">
        <f t="shared" si="0"/>
        <v>6</v>
      </c>
      <c r="J11" s="899">
        <f t="shared" si="0"/>
        <v>7</v>
      </c>
      <c r="K11" s="1065">
        <f t="shared" si="0"/>
        <v>8</v>
      </c>
      <c r="N11" s="1122" t="s">
        <v>3822</v>
      </c>
      <c r="O11" s="1123" t="s">
        <v>3823</v>
      </c>
      <c r="P11" s="917">
        <v>34000</v>
      </c>
      <c r="Q11" s="1203" t="s">
        <v>3645</v>
      </c>
      <c r="R11" s="1203" t="s">
        <v>3815</v>
      </c>
      <c r="S11" s="1203" t="s">
        <v>3465</v>
      </c>
      <c r="T11" s="916"/>
    </row>
    <row r="12" spans="1:26" s="882" customFormat="1" ht="24.6" customHeight="1">
      <c r="B12" s="1723" t="s">
        <v>287</v>
      </c>
      <c r="C12" s="888" t="s">
        <v>9</v>
      </c>
      <c r="D12" s="889"/>
      <c r="E12" s="901"/>
      <c r="F12" s="1712" t="s">
        <v>3936</v>
      </c>
      <c r="G12" s="1713"/>
      <c r="H12" s="903"/>
      <c r="I12" s="1712" t="s">
        <v>3806</v>
      </c>
      <c r="J12" s="1713"/>
      <c r="K12" s="903"/>
      <c r="N12" s="1122" t="s">
        <v>3824</v>
      </c>
      <c r="O12" s="1123" t="s">
        <v>3825</v>
      </c>
      <c r="P12" s="917">
        <v>34000</v>
      </c>
      <c r="Q12" s="1203" t="s">
        <v>3647</v>
      </c>
      <c r="R12" s="1203" t="s">
        <v>3815</v>
      </c>
      <c r="S12" s="1203" t="s">
        <v>3465</v>
      </c>
      <c r="T12" s="916"/>
      <c r="V12" s="916"/>
    </row>
    <row r="13" spans="1:26" s="882" customFormat="1" ht="24.6" customHeight="1">
      <c r="B13" s="1723"/>
      <c r="C13" s="888"/>
      <c r="D13" s="889"/>
      <c r="E13" s="901"/>
      <c r="F13" s="1077"/>
      <c r="G13" s="1712" t="s">
        <v>4045</v>
      </c>
      <c r="H13" s="1713"/>
      <c r="I13" s="904"/>
      <c r="J13" s="902"/>
      <c r="K13" s="902"/>
      <c r="N13" s="1122" t="s">
        <v>3826</v>
      </c>
      <c r="O13" s="1123" t="s">
        <v>3827</v>
      </c>
      <c r="P13" s="917">
        <v>34000</v>
      </c>
      <c r="Q13" s="1203" t="s">
        <v>3645</v>
      </c>
      <c r="R13" s="1203" t="s">
        <v>3815</v>
      </c>
      <c r="S13" s="1203" t="s">
        <v>3465</v>
      </c>
      <c r="T13" s="916"/>
      <c r="U13" s="916"/>
      <c r="V13" s="916"/>
      <c r="W13" s="1061"/>
      <c r="X13" s="1061"/>
      <c r="Y13" s="1061"/>
      <c r="Z13" s="1061"/>
    </row>
    <row r="14" spans="1:26" ht="24.6" customHeight="1">
      <c r="A14" s="1061"/>
      <c r="B14" s="1723"/>
      <c r="C14" s="894" t="s">
        <v>292</v>
      </c>
      <c r="D14" s="889"/>
      <c r="E14" s="901"/>
      <c r="F14" s="949"/>
      <c r="G14" s="1225" t="s">
        <v>3800</v>
      </c>
      <c r="I14" s="1077"/>
      <c r="J14" s="1077"/>
      <c r="K14" s="1079"/>
      <c r="L14" s="882"/>
      <c r="M14" s="882"/>
      <c r="N14" s="1122" t="s">
        <v>3828</v>
      </c>
      <c r="O14" s="1123" t="s">
        <v>3766</v>
      </c>
      <c r="P14" s="917">
        <v>34000</v>
      </c>
      <c r="Q14" s="1203" t="s">
        <v>3642</v>
      </c>
      <c r="R14" s="1203" t="s">
        <v>3816</v>
      </c>
      <c r="S14" s="1203" t="s">
        <v>3815</v>
      </c>
      <c r="T14" s="882" t="s">
        <v>3727</v>
      </c>
      <c r="U14" s="916"/>
      <c r="V14" s="916"/>
    </row>
    <row r="15" spans="1:26" ht="24.6" customHeight="1">
      <c r="A15" s="1061"/>
      <c r="B15" s="1723"/>
      <c r="C15" s="894"/>
      <c r="D15" s="889"/>
      <c r="E15" s="901"/>
      <c r="F15" s="949"/>
      <c r="G15" s="950"/>
      <c r="H15" s="1077"/>
      <c r="I15" s="1735" t="s">
        <v>3801</v>
      </c>
      <c r="J15" s="1736"/>
      <c r="K15" s="948"/>
      <c r="L15" s="882"/>
      <c r="M15" s="882"/>
      <c r="N15" s="1122" t="s">
        <v>3841</v>
      </c>
      <c r="O15" s="1123" t="s">
        <v>3829</v>
      </c>
      <c r="P15" s="917">
        <v>34000</v>
      </c>
      <c r="Q15" s="1203" t="s">
        <v>3645</v>
      </c>
      <c r="R15" s="1203" t="s">
        <v>3816</v>
      </c>
      <c r="S15" s="1203" t="s">
        <v>3815</v>
      </c>
      <c r="T15" s="882" t="s">
        <v>3727</v>
      </c>
      <c r="U15" s="916"/>
      <c r="V15" s="916"/>
    </row>
    <row r="16" spans="1:26" ht="24.6" customHeight="1">
      <c r="A16" s="1061"/>
      <c r="B16" s="1723"/>
      <c r="C16" s="896" t="s">
        <v>228</v>
      </c>
      <c r="D16" s="889"/>
      <c r="E16" s="905"/>
      <c r="F16" s="954" t="s">
        <v>193</v>
      </c>
      <c r="G16" s="955"/>
      <c r="H16" s="954"/>
      <c r="I16" s="955"/>
      <c r="J16" s="954"/>
      <c r="K16" s="954"/>
      <c r="L16" s="882"/>
      <c r="M16" s="882"/>
      <c r="N16" s="1122" t="s">
        <v>3787</v>
      </c>
      <c r="O16" s="1123" t="s">
        <v>3830</v>
      </c>
      <c r="P16" s="917">
        <v>34000</v>
      </c>
      <c r="Q16" s="1203" t="s">
        <v>3642</v>
      </c>
      <c r="R16" s="1203" t="s">
        <v>3816</v>
      </c>
      <c r="S16" s="1203" t="s">
        <v>3815</v>
      </c>
      <c r="T16" s="882" t="s">
        <v>3809</v>
      </c>
      <c r="U16" s="916"/>
    </row>
    <row r="17" spans="1:22" ht="24.6" customHeight="1">
      <c r="A17" s="1061"/>
      <c r="B17" s="897"/>
      <c r="C17" s="882"/>
      <c r="D17" s="882"/>
      <c r="E17" s="907">
        <f>K11+1</f>
        <v>9</v>
      </c>
      <c r="F17" s="1067">
        <f t="shared" ref="F17:K17" si="1">E17+1</f>
        <v>10</v>
      </c>
      <c r="G17" s="1068">
        <f t="shared" si="1"/>
        <v>11</v>
      </c>
      <c r="H17" s="1067">
        <f t="shared" si="1"/>
        <v>12</v>
      </c>
      <c r="I17" s="1068">
        <f t="shared" si="1"/>
        <v>13</v>
      </c>
      <c r="J17" s="1067">
        <f t="shared" si="1"/>
        <v>14</v>
      </c>
      <c r="K17" s="1069">
        <f t="shared" si="1"/>
        <v>15</v>
      </c>
      <c r="L17" s="882"/>
      <c r="M17" s="1066"/>
      <c r="N17" s="1122" t="s">
        <v>3831</v>
      </c>
      <c r="O17" s="1123"/>
      <c r="P17" s="917">
        <v>429</v>
      </c>
      <c r="Q17" s="1203" t="s">
        <v>3780</v>
      </c>
      <c r="R17" s="1203" t="s">
        <v>3813</v>
      </c>
      <c r="S17" s="1203" t="s">
        <v>3813</v>
      </c>
      <c r="T17" s="882"/>
      <c r="U17" s="916"/>
      <c r="V17" s="916"/>
    </row>
    <row r="18" spans="1:22" ht="24.6" customHeight="1">
      <c r="A18" s="1061"/>
      <c r="B18" s="1723" t="s">
        <v>287</v>
      </c>
      <c r="C18" s="888" t="s">
        <v>9</v>
      </c>
      <c r="D18" s="889"/>
      <c r="E18" s="908"/>
      <c r="F18" s="1724" t="s">
        <v>336</v>
      </c>
      <c r="G18" s="1725"/>
      <c r="H18" s="1725"/>
      <c r="I18" s="1725"/>
      <c r="J18" s="1725"/>
      <c r="K18" s="893"/>
      <c r="L18" s="882"/>
      <c r="M18" s="882"/>
      <c r="N18" s="1122" t="s">
        <v>3840</v>
      </c>
      <c r="O18" s="1123" t="s">
        <v>3832</v>
      </c>
      <c r="P18" s="917">
        <f>6932+4800</f>
        <v>11732</v>
      </c>
      <c r="Q18" s="1203" t="s">
        <v>3463</v>
      </c>
      <c r="R18" s="1203" t="s">
        <v>3816</v>
      </c>
      <c r="S18" s="1203" t="s">
        <v>3815</v>
      </c>
      <c r="T18" s="882"/>
      <c r="U18" s="916"/>
      <c r="V18" s="916"/>
    </row>
    <row r="19" spans="1:22" ht="24.6" customHeight="1">
      <c r="A19" s="1061"/>
      <c r="B19" s="1723"/>
      <c r="C19" s="888"/>
      <c r="D19" s="889"/>
      <c r="E19" s="908"/>
      <c r="F19" s="891"/>
      <c r="G19" s="891"/>
      <c r="H19" s="891"/>
      <c r="I19" s="891"/>
      <c r="J19" s="891"/>
      <c r="K19" s="893"/>
      <c r="L19" s="882"/>
      <c r="M19" s="882"/>
      <c r="N19" s="1122" t="s">
        <v>3833</v>
      </c>
      <c r="O19" s="1123" t="s">
        <v>3834</v>
      </c>
      <c r="P19" s="917">
        <v>12003</v>
      </c>
      <c r="Q19" s="1203" t="s">
        <v>3463</v>
      </c>
      <c r="R19" s="1203" t="s">
        <v>3816</v>
      </c>
      <c r="S19" s="1203" t="s">
        <v>3837</v>
      </c>
      <c r="T19" s="882" t="s">
        <v>3727</v>
      </c>
      <c r="U19" s="916"/>
      <c r="V19" s="916"/>
    </row>
    <row r="20" spans="1:22" ht="24" customHeight="1">
      <c r="A20" s="1061"/>
      <c r="B20" s="1723"/>
      <c r="C20" s="894" t="s">
        <v>292</v>
      </c>
      <c r="D20" s="889"/>
      <c r="E20" s="908"/>
      <c r="F20" s="1132" t="s">
        <v>3802</v>
      </c>
      <c r="G20" s="1070" t="s">
        <v>3782</v>
      </c>
      <c r="H20" s="1133" t="s">
        <v>3853</v>
      </c>
      <c r="I20" s="891"/>
      <c r="J20" s="891"/>
      <c r="K20" s="951"/>
      <c r="L20" s="882"/>
      <c r="M20" s="882"/>
      <c r="N20" s="1122" t="s">
        <v>3835</v>
      </c>
      <c r="O20" s="1138" t="s">
        <v>3944</v>
      </c>
      <c r="P20" s="917">
        <v>2403</v>
      </c>
      <c r="Q20" s="1203" t="s">
        <v>3463</v>
      </c>
      <c r="R20" s="1203" t="s">
        <v>3817</v>
      </c>
      <c r="S20" s="1203" t="s">
        <v>3838</v>
      </c>
      <c r="T20" s="882" t="s">
        <v>3727</v>
      </c>
      <c r="U20" s="916"/>
      <c r="V20" s="916"/>
    </row>
    <row r="21" spans="1:22" ht="24" customHeight="1">
      <c r="A21" s="1061"/>
      <c r="B21" s="1723"/>
      <c r="C21" s="894"/>
      <c r="D21" s="889"/>
      <c r="E21" s="908"/>
      <c r="F21" s="891"/>
      <c r="G21" s="891"/>
      <c r="H21" s="1133" t="s">
        <v>3795</v>
      </c>
      <c r="I21" s="1730" t="s">
        <v>3799</v>
      </c>
      <c r="J21" s="1731"/>
      <c r="K21" s="951"/>
      <c r="L21" s="882"/>
      <c r="M21" s="882"/>
      <c r="N21" s="1122" t="s">
        <v>3847</v>
      </c>
      <c r="O21" s="1123" t="s">
        <v>3755</v>
      </c>
      <c r="P21" s="917">
        <v>34000</v>
      </c>
      <c r="Q21" s="1203" t="s">
        <v>3462</v>
      </c>
      <c r="R21" s="1203" t="s">
        <v>3813</v>
      </c>
      <c r="S21" s="1203" t="s">
        <v>3465</v>
      </c>
      <c r="T21" s="1129" t="s">
        <v>3846</v>
      </c>
    </row>
    <row r="22" spans="1:22" ht="24.6" customHeight="1">
      <c r="A22" s="1061"/>
      <c r="B22" s="1723"/>
      <c r="C22" s="896" t="s">
        <v>228</v>
      </c>
      <c r="D22" s="889"/>
      <c r="E22" s="911"/>
      <c r="F22" s="953" t="s">
        <v>3811</v>
      </c>
      <c r="G22" s="953" t="s">
        <v>3811</v>
      </c>
      <c r="H22" s="953" t="s">
        <v>3811</v>
      </c>
      <c r="I22" s="953" t="s">
        <v>3811</v>
      </c>
      <c r="J22" s="953" t="s">
        <v>3811</v>
      </c>
      <c r="K22" s="953"/>
      <c r="L22" s="882"/>
      <c r="M22" s="882"/>
      <c r="N22" s="915" t="s">
        <v>3843</v>
      </c>
      <c r="O22" s="1121" t="s">
        <v>3796</v>
      </c>
      <c r="P22" s="917">
        <v>34000</v>
      </c>
      <c r="Q22" s="1203" t="s">
        <v>3462</v>
      </c>
      <c r="R22" s="1203" t="s">
        <v>3813</v>
      </c>
      <c r="S22" s="1203" t="s">
        <v>3465</v>
      </c>
      <c r="T22" s="1127"/>
    </row>
    <row r="23" spans="1:22" ht="24.6" customHeight="1">
      <c r="A23" s="1061"/>
      <c r="B23" s="897"/>
      <c r="C23" s="882"/>
      <c r="D23" s="882"/>
      <c r="E23" s="898">
        <f>K17+1</f>
        <v>16</v>
      </c>
      <c r="F23" s="1071">
        <f t="shared" ref="F23:K23" si="2">E23+1</f>
        <v>17</v>
      </c>
      <c r="G23" s="1072">
        <f t="shared" si="2"/>
        <v>18</v>
      </c>
      <c r="H23" s="1073">
        <f t="shared" si="2"/>
        <v>19</v>
      </c>
      <c r="I23" s="1072">
        <f t="shared" si="2"/>
        <v>20</v>
      </c>
      <c r="J23" s="1073">
        <f t="shared" si="2"/>
        <v>21</v>
      </c>
      <c r="K23" s="1065">
        <f t="shared" si="2"/>
        <v>22</v>
      </c>
      <c r="L23" s="882"/>
      <c r="M23" s="1076"/>
      <c r="N23" s="1062" t="s">
        <v>3844</v>
      </c>
    </row>
    <row r="24" spans="1:22" ht="24.6" customHeight="1">
      <c r="A24" s="1061"/>
      <c r="B24" s="1723" t="s">
        <v>287</v>
      </c>
      <c r="C24" s="888" t="s">
        <v>9</v>
      </c>
      <c r="D24" s="889"/>
      <c r="E24" s="901"/>
      <c r="F24" s="1724" t="s">
        <v>336</v>
      </c>
      <c r="G24" s="1725"/>
      <c r="H24" s="1725"/>
      <c r="I24" s="1725"/>
      <c r="J24" s="1732"/>
      <c r="K24" s="948"/>
      <c r="L24" s="882"/>
    </row>
    <row r="25" spans="1:22" ht="24.6" customHeight="1">
      <c r="A25" s="1061"/>
      <c r="B25" s="1723"/>
      <c r="C25" s="888"/>
      <c r="D25" s="889"/>
      <c r="E25" s="901"/>
      <c r="F25" s="1077"/>
      <c r="G25" s="1078"/>
      <c r="H25" s="1079"/>
      <c r="I25" s="1116"/>
      <c r="J25" s="1079"/>
      <c r="K25" s="1079"/>
      <c r="L25" s="916"/>
    </row>
    <row r="26" spans="1:22" ht="24.6" customHeight="1">
      <c r="A26" s="1061"/>
      <c r="B26" s="1723"/>
      <c r="C26" s="894" t="s">
        <v>292</v>
      </c>
      <c r="D26" s="889"/>
      <c r="E26" s="901"/>
      <c r="F26" s="1134" t="s">
        <v>3792</v>
      </c>
      <c r="G26" s="1733" t="s">
        <v>3803</v>
      </c>
      <c r="H26" s="1734"/>
      <c r="I26" s="1118" t="s">
        <v>3785</v>
      </c>
      <c r="J26" s="1117"/>
      <c r="K26" s="1079"/>
      <c r="L26" s="916"/>
      <c r="M26" s="882"/>
    </row>
    <row r="27" spans="1:22" ht="24.6" customHeight="1">
      <c r="A27" s="1061"/>
      <c r="B27" s="1723"/>
      <c r="C27" s="894"/>
      <c r="D27" s="889"/>
      <c r="E27" s="901"/>
      <c r="F27" s="1077"/>
      <c r="G27" s="1078"/>
      <c r="H27" s="1079"/>
      <c r="I27" s="1116"/>
      <c r="J27" s="1126" t="s">
        <v>3786</v>
      </c>
      <c r="K27" s="1079"/>
      <c r="L27" s="916"/>
      <c r="M27" s="916"/>
    </row>
    <row r="28" spans="1:22" ht="24.6" customHeight="1">
      <c r="A28" s="1061"/>
      <c r="B28" s="1723"/>
      <c r="C28" s="896" t="s">
        <v>228</v>
      </c>
      <c r="D28" s="889"/>
      <c r="E28" s="905"/>
      <c r="F28" s="953" t="s">
        <v>3811</v>
      </c>
      <c r="G28" s="954"/>
      <c r="H28" s="1119"/>
      <c r="I28" s="906"/>
      <c r="J28" s="954"/>
      <c r="K28" s="956"/>
      <c r="L28" s="916"/>
    </row>
    <row r="29" spans="1:22" ht="24.6" customHeight="1">
      <c r="A29" s="1061"/>
      <c r="B29" s="882"/>
      <c r="C29" s="1080"/>
      <c r="D29" s="889"/>
      <c r="E29" s="912">
        <f>K23+1</f>
        <v>23</v>
      </c>
      <c r="F29" s="1081">
        <f>E29+1</f>
        <v>24</v>
      </c>
      <c r="G29" s="1082">
        <f>F29+1</f>
        <v>25</v>
      </c>
      <c r="H29" s="1081">
        <f>G29+1</f>
        <v>26</v>
      </c>
      <c r="I29" s="1082">
        <f>H29+1</f>
        <v>27</v>
      </c>
      <c r="J29" s="1081">
        <f>I29+1</f>
        <v>28</v>
      </c>
      <c r="K29" s="1083"/>
      <c r="L29" s="916"/>
      <c r="M29" s="916"/>
      <c r="N29" s="916"/>
      <c r="O29" s="882"/>
      <c r="P29" s="882"/>
      <c r="Q29" s="882"/>
      <c r="R29" s="882"/>
      <c r="S29" s="882"/>
      <c r="T29" s="916"/>
      <c r="U29" s="916"/>
      <c r="V29" s="916"/>
    </row>
    <row r="30" spans="1:22" ht="24.6" customHeight="1">
      <c r="A30" s="1061"/>
      <c r="B30" s="1723" t="s">
        <v>287</v>
      </c>
      <c r="C30" s="888" t="s">
        <v>9</v>
      </c>
      <c r="D30" s="889"/>
      <c r="E30" s="908"/>
      <c r="F30" s="1724" t="s">
        <v>336</v>
      </c>
      <c r="G30" s="1725"/>
      <c r="H30" s="1725"/>
      <c r="I30" s="1725"/>
      <c r="J30" s="1725"/>
      <c r="K30" s="893"/>
      <c r="L30" s="916"/>
      <c r="M30" s="916"/>
      <c r="N30" s="916"/>
      <c r="O30" s="882"/>
      <c r="P30" s="882"/>
      <c r="Q30" s="916"/>
      <c r="R30" s="882"/>
      <c r="S30" s="882"/>
      <c r="T30" s="916"/>
      <c r="U30" s="916"/>
      <c r="V30" s="916"/>
    </row>
    <row r="31" spans="1:22" ht="24.6" customHeight="1">
      <c r="A31" s="1061"/>
      <c r="B31" s="1723"/>
      <c r="C31" s="888"/>
      <c r="D31" s="889"/>
      <c r="E31" s="908"/>
      <c r="F31" s="909"/>
      <c r="G31" s="910"/>
      <c r="H31" s="909"/>
      <c r="I31" s="910"/>
      <c r="J31" s="909"/>
      <c r="K31" s="893"/>
      <c r="L31" s="916"/>
      <c r="M31" s="916"/>
      <c r="N31" s="1108"/>
      <c r="O31" s="882"/>
      <c r="P31" s="882"/>
      <c r="Q31" s="916"/>
      <c r="R31" s="916"/>
      <c r="S31" s="916"/>
      <c r="T31" s="916"/>
      <c r="U31" s="916"/>
      <c r="V31" s="916"/>
    </row>
    <row r="32" spans="1:22" ht="24.6" customHeight="1">
      <c r="A32" s="1061"/>
      <c r="B32" s="1723"/>
      <c r="C32" s="894" t="s">
        <v>292</v>
      </c>
      <c r="D32" s="889"/>
      <c r="E32" s="908"/>
      <c r="F32" s="1726" t="s">
        <v>3870</v>
      </c>
      <c r="G32" s="1727"/>
      <c r="H32" s="909"/>
      <c r="I32" s="1728" t="s">
        <v>3874</v>
      </c>
      <c r="J32" s="1729"/>
      <c r="K32" s="1083"/>
      <c r="L32" s="916"/>
      <c r="M32" s="916"/>
      <c r="N32" s="1108"/>
      <c r="O32" s="882"/>
      <c r="P32" s="916"/>
      <c r="Q32" s="916"/>
      <c r="R32" s="916"/>
      <c r="S32" s="916"/>
      <c r="T32" s="916"/>
      <c r="U32" s="916"/>
      <c r="V32" s="916"/>
    </row>
    <row r="33" spans="1:22" ht="24.6" customHeight="1">
      <c r="A33" s="1061"/>
      <c r="B33" s="1723"/>
      <c r="C33" s="894"/>
      <c r="D33" s="889"/>
      <c r="E33" s="908"/>
      <c r="F33" s="1139"/>
      <c r="G33" s="1726" t="s">
        <v>3820</v>
      </c>
      <c r="H33" s="1727"/>
      <c r="I33" s="1081"/>
      <c r="J33" s="909"/>
      <c r="K33" s="1140"/>
      <c r="L33" s="916"/>
      <c r="M33" s="916"/>
      <c r="N33" s="916"/>
      <c r="O33" s="916"/>
      <c r="P33" s="916"/>
      <c r="Q33" s="916"/>
      <c r="R33" s="916"/>
      <c r="S33" s="916"/>
      <c r="T33" s="916"/>
      <c r="U33" s="916"/>
      <c r="V33" s="916"/>
    </row>
    <row r="34" spans="1:22" ht="24.6" customHeight="1">
      <c r="A34" s="1061"/>
      <c r="B34" s="1723"/>
      <c r="C34" s="896" t="s">
        <v>228</v>
      </c>
      <c r="D34" s="889"/>
      <c r="E34" s="911"/>
      <c r="F34" s="952"/>
      <c r="G34" s="1137"/>
      <c r="H34" s="1135"/>
      <c r="I34" s="1135"/>
      <c r="J34" s="1135"/>
      <c r="K34" s="953"/>
      <c r="L34" s="916"/>
      <c r="M34" s="916"/>
      <c r="N34" s="916"/>
      <c r="O34" s="916"/>
      <c r="P34" s="916"/>
      <c r="Q34" s="916"/>
      <c r="R34" s="916"/>
      <c r="S34" s="916"/>
      <c r="T34" s="916"/>
      <c r="U34" s="916"/>
      <c r="V34" s="916"/>
    </row>
    <row r="35" spans="1:22" ht="24.6" customHeight="1">
      <c r="A35" s="1061"/>
      <c r="B35" s="882"/>
      <c r="C35" s="882"/>
      <c r="D35" s="882"/>
      <c r="E35" s="882"/>
      <c r="F35" s="882"/>
      <c r="G35" s="882"/>
      <c r="H35" s="882"/>
      <c r="I35" s="882"/>
      <c r="K35" s="882"/>
      <c r="L35" s="916"/>
      <c r="M35" s="916"/>
      <c r="O35" s="916"/>
      <c r="P35" s="916"/>
      <c r="Q35" s="916"/>
      <c r="R35" s="916"/>
      <c r="S35" s="916"/>
      <c r="T35" s="916"/>
      <c r="U35" s="916"/>
      <c r="V35" s="916"/>
    </row>
    <row r="36" spans="1:22" ht="24.6" customHeight="1">
      <c r="A36" s="1061"/>
      <c r="B36" s="882"/>
      <c r="C36" s="1084" t="s">
        <v>3744</v>
      </c>
      <c r="D36" s="1061"/>
      <c r="E36" s="1085" t="s">
        <v>3740</v>
      </c>
      <c r="F36" s="1086" t="s">
        <v>3743</v>
      </c>
      <c r="G36" s="1087" t="s">
        <v>3768</v>
      </c>
      <c r="K36" s="882"/>
      <c r="L36" s="916"/>
      <c r="M36" s="916"/>
      <c r="N36" s="1061"/>
      <c r="O36" s="1061"/>
      <c r="P36" s="1061"/>
      <c r="Q36" s="1061"/>
      <c r="R36" s="1061"/>
      <c r="S36" s="1061"/>
      <c r="T36" s="1061"/>
    </row>
    <row r="37" spans="1:22" ht="24" customHeight="1">
      <c r="A37" s="1061"/>
      <c r="B37" s="882"/>
      <c r="D37" s="1061"/>
      <c r="E37" s="1088" t="s">
        <v>3741</v>
      </c>
      <c r="F37" s="1120" t="s">
        <v>3742</v>
      </c>
      <c r="G37" s="1089" t="s">
        <v>336</v>
      </c>
      <c r="H37" s="882"/>
      <c r="I37" s="882" t="s">
        <v>3848</v>
      </c>
      <c r="J37" s="882"/>
      <c r="L37" s="916"/>
      <c r="N37" s="1061"/>
      <c r="O37" s="1061"/>
      <c r="P37" s="1061"/>
      <c r="Q37" s="1061"/>
      <c r="R37" s="1061"/>
      <c r="S37" s="1061"/>
      <c r="T37" s="1061"/>
    </row>
    <row r="38" spans="1:22" ht="24.6" customHeight="1">
      <c r="A38" s="1061"/>
      <c r="B38" s="882"/>
      <c r="L38" s="1061"/>
      <c r="M38" s="1061"/>
      <c r="N38" s="1061"/>
      <c r="O38" s="1061"/>
      <c r="P38" s="1061"/>
      <c r="Q38" s="1061"/>
      <c r="R38" s="1061"/>
      <c r="S38" s="1061"/>
    </row>
    <row r="39" spans="1:22" ht="24.6" customHeight="1">
      <c r="A39" s="1061"/>
      <c r="B39" s="882"/>
      <c r="L39" s="1061"/>
      <c r="M39" s="1061"/>
      <c r="N39" s="1061"/>
      <c r="O39" s="1061"/>
      <c r="P39" s="1061"/>
      <c r="Q39" s="1061"/>
      <c r="R39" s="1061"/>
      <c r="S39" s="1061"/>
    </row>
    <row r="40" spans="1:22" ht="24.6" customHeight="1">
      <c r="A40" s="1061"/>
      <c r="L40" s="1061"/>
      <c r="M40" s="1061"/>
    </row>
  </sheetData>
  <mergeCells count="23">
    <mergeCell ref="O2:P2"/>
    <mergeCell ref="Q2:R2"/>
    <mergeCell ref="E3:G3"/>
    <mergeCell ref="H3:K3"/>
    <mergeCell ref="O3:P3"/>
    <mergeCell ref="Q3:R3"/>
    <mergeCell ref="B6:B10"/>
    <mergeCell ref="B12:B16"/>
    <mergeCell ref="F12:G12"/>
    <mergeCell ref="I12:J12"/>
    <mergeCell ref="G13:H13"/>
    <mergeCell ref="I15:J15"/>
    <mergeCell ref="B18:B22"/>
    <mergeCell ref="F18:J18"/>
    <mergeCell ref="I21:J21"/>
    <mergeCell ref="B24:B28"/>
    <mergeCell ref="F24:J24"/>
    <mergeCell ref="G26:H26"/>
    <mergeCell ref="B30:B34"/>
    <mergeCell ref="F30:J30"/>
    <mergeCell ref="F32:G32"/>
    <mergeCell ref="I32:J32"/>
    <mergeCell ref="G33:H33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3">
    <pageSetUpPr fitToPage="1"/>
  </sheetPr>
  <dimension ref="A1:Z60"/>
  <sheetViews>
    <sheetView showGridLines="0" topLeftCell="C10" zoomScale="60" zoomScaleNormal="60" workbookViewId="0">
      <pane xSplit="2" topLeftCell="E1" activePane="topRight" state="frozen"/>
      <selection activeCell="C1" sqref="C1"/>
      <selection pane="topRight" activeCell="H15" sqref="H15:I15"/>
    </sheetView>
  </sheetViews>
  <sheetFormatPr defaultColWidth="8.88671875" defaultRowHeight="16.899999999999999"/>
  <cols>
    <col min="1" max="1" width="1.6640625" style="1062" customWidth="1"/>
    <col min="2" max="2" width="11.21875" style="1062" customWidth="1"/>
    <col min="3" max="3" width="15.77734375" style="1062" customWidth="1"/>
    <col min="4" max="4" width="0.88671875" style="1062" customWidth="1"/>
    <col min="5" max="8" width="25.77734375" style="1062" customWidth="1"/>
    <col min="9" max="9" width="26.77734375" style="1062" customWidth="1"/>
    <col min="10" max="11" width="25.77734375" style="1062" customWidth="1"/>
    <col min="12" max="12" width="2.109375" style="1062" customWidth="1"/>
    <col min="13" max="13" width="11.77734375" style="1062" customWidth="1"/>
    <col min="14" max="14" width="31" style="1062" customWidth="1"/>
    <col min="15" max="15" width="18.21875" style="1062" bestFit="1" customWidth="1"/>
    <col min="16" max="16" width="8.77734375" style="1062" bestFit="1" customWidth="1"/>
    <col min="17" max="17" width="8.21875" style="1062" bestFit="1" customWidth="1"/>
    <col min="18" max="18" width="15" style="1062" customWidth="1"/>
    <col min="19" max="19" width="15.77734375" style="1062" bestFit="1" customWidth="1"/>
    <col min="20" max="20" width="38.77734375" style="1061" customWidth="1"/>
    <col min="21" max="16384" width="8.88671875" style="1061"/>
  </cols>
  <sheetData>
    <row r="1" spans="1:26" ht="19.149999999999999">
      <c r="A1" s="1061"/>
      <c r="B1" s="1061"/>
      <c r="C1" s="882"/>
      <c r="D1" s="882"/>
      <c r="N1" s="889" t="s">
        <v>3296</v>
      </c>
      <c r="O1" s="889"/>
      <c r="P1" s="882"/>
      <c r="Q1" s="882"/>
      <c r="R1" s="882"/>
      <c r="S1" s="882"/>
    </row>
    <row r="2" spans="1:26" ht="19.149999999999999">
      <c r="A2" s="1061"/>
      <c r="B2" s="1061"/>
      <c r="C2" s="882"/>
      <c r="D2" s="882"/>
      <c r="E2" s="1063"/>
      <c r="F2" s="1063"/>
      <c r="G2" s="1063"/>
      <c r="H2" s="1063"/>
      <c r="I2" s="1063"/>
      <c r="J2" s="1063"/>
      <c r="K2" s="1063"/>
      <c r="N2" s="987" t="s">
        <v>3290</v>
      </c>
      <c r="O2" s="1704" t="s">
        <v>3291</v>
      </c>
      <c r="P2" s="1704"/>
      <c r="Q2" s="1704" t="s">
        <v>3292</v>
      </c>
      <c r="R2" s="1705"/>
      <c r="S2" s="882"/>
    </row>
    <row r="3" spans="1:26" ht="57">
      <c r="A3" s="1061"/>
      <c r="B3" s="1061"/>
      <c r="C3" s="882"/>
      <c r="D3" s="882"/>
      <c r="E3" s="1737">
        <v>45717</v>
      </c>
      <c r="F3" s="1737"/>
      <c r="G3" s="1737"/>
      <c r="H3" s="1746" t="s">
        <v>10</v>
      </c>
      <c r="I3" s="1746"/>
      <c r="J3" s="1746"/>
      <c r="K3" s="1746"/>
      <c r="N3" s="989">
        <f>SUMIF($Q$8:$Q$27,"F",$P$8:$P$27)</f>
        <v>272000</v>
      </c>
      <c r="O3" s="1715">
        <f>SUMIF($Q$7:$Q$17,"S",$P$7:$P$17)</f>
        <v>43200</v>
      </c>
      <c r="P3" s="1715"/>
      <c r="Q3" s="1706">
        <f>N3+O3</f>
        <v>315200</v>
      </c>
      <c r="R3" s="1707"/>
      <c r="S3" s="882"/>
    </row>
    <row r="4" spans="1:26" s="882" customFormat="1" ht="26.25" customHeight="1">
      <c r="E4" s="883" t="s">
        <v>0</v>
      </c>
      <c r="F4" s="884" t="s">
        <v>1</v>
      </c>
      <c r="G4" s="884" t="s">
        <v>2</v>
      </c>
      <c r="H4" s="884" t="s">
        <v>3</v>
      </c>
      <c r="I4" s="884" t="s">
        <v>4</v>
      </c>
      <c r="J4" s="884" t="s">
        <v>5</v>
      </c>
      <c r="K4" s="885" t="s">
        <v>6</v>
      </c>
      <c r="N4" s="914"/>
    </row>
    <row r="5" spans="1:26" s="882" customFormat="1" ht="24.6" customHeight="1">
      <c r="E5" s="886"/>
      <c r="F5" s="887"/>
      <c r="G5" s="887"/>
      <c r="H5" s="887"/>
      <c r="I5" s="887"/>
      <c r="J5" s="887"/>
      <c r="K5" s="1064">
        <v>1</v>
      </c>
    </row>
    <row r="6" spans="1:26" s="882" customFormat="1" ht="24.6" customHeight="1">
      <c r="B6" s="1723" t="s">
        <v>287</v>
      </c>
      <c r="C6" s="888" t="s">
        <v>9</v>
      </c>
      <c r="D6" s="889"/>
      <c r="E6" s="890"/>
      <c r="F6" s="891"/>
      <c r="G6" s="891"/>
      <c r="H6" s="891"/>
      <c r="I6" s="891"/>
      <c r="J6" s="891"/>
      <c r="K6" s="1090"/>
    </row>
    <row r="7" spans="1:26" s="882" customFormat="1" ht="24.6" customHeight="1">
      <c r="B7" s="1723"/>
      <c r="C7" s="888"/>
      <c r="D7" s="889"/>
      <c r="E7" s="890"/>
      <c r="F7" s="891"/>
      <c r="G7" s="891"/>
      <c r="H7" s="891"/>
      <c r="I7" s="891"/>
      <c r="J7" s="891"/>
      <c r="K7" s="1090"/>
      <c r="N7" s="889" t="s">
        <v>2916</v>
      </c>
    </row>
    <row r="8" spans="1:26" s="882" customFormat="1" ht="24.6" customHeight="1">
      <c r="B8" s="1723"/>
      <c r="C8" s="894" t="s">
        <v>292</v>
      </c>
      <c r="D8" s="889"/>
      <c r="E8" s="890"/>
      <c r="F8" s="891"/>
      <c r="G8" s="891"/>
      <c r="H8" s="891"/>
      <c r="I8" s="891"/>
      <c r="J8" s="891"/>
      <c r="K8" s="10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  <c r="U8" s="1127"/>
    </row>
    <row r="9" spans="1:26" s="882" customFormat="1" ht="24.6" customHeight="1">
      <c r="B9" s="1723"/>
      <c r="C9" s="894"/>
      <c r="D9" s="889"/>
      <c r="E9" s="890"/>
      <c r="F9" s="891"/>
      <c r="G9" s="891"/>
      <c r="H9" s="891"/>
      <c r="I9" s="891"/>
      <c r="J9" s="891"/>
      <c r="K9" s="1090"/>
      <c r="M9" s="1062"/>
      <c r="N9" s="1122" t="s">
        <v>3879</v>
      </c>
      <c r="O9" s="1123" t="s">
        <v>3880</v>
      </c>
      <c r="P9" s="917">
        <v>34000</v>
      </c>
      <c r="Q9" s="1146" t="s">
        <v>3462</v>
      </c>
      <c r="R9" s="1146" t="s">
        <v>3813</v>
      </c>
      <c r="S9" s="1146" t="s">
        <v>3813</v>
      </c>
      <c r="T9" s="1127" t="s">
        <v>3819</v>
      </c>
      <c r="U9" s="1127"/>
    </row>
    <row r="10" spans="1:26" s="882" customFormat="1" ht="24.6" customHeight="1">
      <c r="B10" s="1723"/>
      <c r="C10" s="896" t="s">
        <v>228</v>
      </c>
      <c r="D10" s="889"/>
      <c r="E10" s="890"/>
      <c r="F10" s="891"/>
      <c r="G10" s="891"/>
      <c r="H10" s="891"/>
      <c r="I10" s="891"/>
      <c r="J10" s="891"/>
      <c r="K10" s="913" t="s">
        <v>2619</v>
      </c>
      <c r="M10" s="1062"/>
      <c r="N10" s="1122" t="s">
        <v>4011</v>
      </c>
      <c r="O10" s="1123" t="s">
        <v>3881</v>
      </c>
      <c r="P10" s="917">
        <v>34000</v>
      </c>
      <c r="Q10" s="1146" t="s">
        <v>3462</v>
      </c>
      <c r="R10" s="1146" t="s">
        <v>3813</v>
      </c>
      <c r="S10" s="1146" t="s">
        <v>3813</v>
      </c>
      <c r="T10" s="1127" t="s">
        <v>3819</v>
      </c>
      <c r="U10" s="1127"/>
    </row>
    <row r="11" spans="1:26" s="882" customFormat="1" ht="24.6" customHeight="1">
      <c r="B11" s="897"/>
      <c r="E11" s="1091">
        <f>K5+1</f>
        <v>2</v>
      </c>
      <c r="F11" s="900">
        <f t="shared" ref="F11:K11" si="0">E11+1</f>
        <v>3</v>
      </c>
      <c r="G11" s="899">
        <f t="shared" si="0"/>
        <v>4</v>
      </c>
      <c r="H11" s="900">
        <f t="shared" si="0"/>
        <v>5</v>
      </c>
      <c r="I11" s="899">
        <f t="shared" si="0"/>
        <v>6</v>
      </c>
      <c r="J11" s="899">
        <f t="shared" si="0"/>
        <v>7</v>
      </c>
      <c r="K11" s="1075">
        <f t="shared" si="0"/>
        <v>8</v>
      </c>
      <c r="M11" s="1062"/>
      <c r="N11" s="1122" t="s">
        <v>4012</v>
      </c>
      <c r="O11" s="1123" t="s">
        <v>3882</v>
      </c>
      <c r="P11" s="917">
        <v>34000</v>
      </c>
      <c r="Q11" s="1146" t="s">
        <v>3462</v>
      </c>
      <c r="R11" s="1146" t="s">
        <v>3813</v>
      </c>
      <c r="S11" s="1146" t="s">
        <v>3813</v>
      </c>
      <c r="T11" s="1127" t="s">
        <v>3819</v>
      </c>
      <c r="U11" s="1127"/>
    </row>
    <row r="12" spans="1:26" s="882" customFormat="1" ht="24.6" customHeight="1">
      <c r="B12" s="1723" t="s">
        <v>287</v>
      </c>
      <c r="C12" s="888" t="s">
        <v>9</v>
      </c>
      <c r="D12" s="889"/>
      <c r="E12" s="902"/>
      <c r="F12" s="1724" t="s">
        <v>336</v>
      </c>
      <c r="G12" s="1725"/>
      <c r="H12" s="1725"/>
      <c r="I12" s="1725"/>
      <c r="J12" s="1725"/>
      <c r="K12" s="1092"/>
      <c r="N12" s="1122" t="s">
        <v>3883</v>
      </c>
      <c r="O12" s="1123" t="s">
        <v>3949</v>
      </c>
      <c r="P12" s="1109">
        <v>34000</v>
      </c>
      <c r="Q12" s="1146" t="s">
        <v>3462</v>
      </c>
      <c r="R12" s="1145" t="s">
        <v>3813</v>
      </c>
      <c r="S12" s="1146" t="s">
        <v>3813</v>
      </c>
      <c r="U12" s="84"/>
      <c r="V12" s="1061"/>
    </row>
    <row r="13" spans="1:26" s="882" customFormat="1" ht="24.6" customHeight="1">
      <c r="B13" s="1723"/>
      <c r="C13" s="888"/>
      <c r="D13" s="889"/>
      <c r="E13" s="902"/>
      <c r="F13" s="1093"/>
      <c r="G13" s="1094"/>
      <c r="H13" s="1094"/>
      <c r="I13" s="1094"/>
      <c r="K13" s="1092"/>
      <c r="N13" s="1122" t="s">
        <v>3935</v>
      </c>
      <c r="O13" s="1123" t="s">
        <v>3884</v>
      </c>
      <c r="P13" s="1109">
        <v>14400</v>
      </c>
      <c r="Q13" s="1146" t="s">
        <v>3463</v>
      </c>
      <c r="R13" s="1146" t="s">
        <v>3813</v>
      </c>
      <c r="S13" s="1146" t="s">
        <v>3813</v>
      </c>
      <c r="T13" s="1127" t="s">
        <v>3819</v>
      </c>
      <c r="U13" s="84"/>
      <c r="V13" s="1061"/>
    </row>
    <row r="14" spans="1:26" s="882" customFormat="1" ht="24.6" customHeight="1">
      <c r="B14" s="1723"/>
      <c r="C14" s="894" t="s">
        <v>292</v>
      </c>
      <c r="D14" s="889"/>
      <c r="E14" s="902"/>
      <c r="F14" s="1093"/>
      <c r="G14" s="909" t="s">
        <v>3923</v>
      </c>
      <c r="H14" s="1094"/>
      <c r="I14" s="1094"/>
      <c r="J14" s="1152" t="s">
        <v>3907</v>
      </c>
      <c r="K14" s="1092"/>
      <c r="M14" s="1062"/>
      <c r="N14" s="1122" t="s">
        <v>3885</v>
      </c>
      <c r="O14" s="1123" t="s">
        <v>3886</v>
      </c>
      <c r="P14" s="917">
        <v>34000</v>
      </c>
      <c r="Q14" s="1146" t="s">
        <v>3462</v>
      </c>
      <c r="R14" s="1160" t="s">
        <v>3465</v>
      </c>
      <c r="S14" s="1146" t="s">
        <v>3465</v>
      </c>
      <c r="T14" s="1129"/>
      <c r="U14" s="1127"/>
      <c r="X14" s="1061"/>
      <c r="Y14" s="1061"/>
      <c r="Z14" s="1061"/>
    </row>
    <row r="15" spans="1:26" ht="24.6" customHeight="1">
      <c r="A15" s="1061"/>
      <c r="B15" s="1723"/>
      <c r="C15" s="894"/>
      <c r="D15" s="889"/>
      <c r="E15" s="902"/>
      <c r="F15" s="1093"/>
      <c r="G15" s="1094"/>
      <c r="H15" s="1744" t="s">
        <v>3924</v>
      </c>
      <c r="I15" s="1745"/>
      <c r="J15" s="1094"/>
      <c r="K15" s="1092"/>
      <c r="L15" s="882"/>
      <c r="N15" s="1122" t="s">
        <v>3915</v>
      </c>
      <c r="O15" s="1123" t="s">
        <v>3890</v>
      </c>
      <c r="P15" s="917">
        <v>34000</v>
      </c>
      <c r="Q15" s="1146" t="s">
        <v>3462</v>
      </c>
      <c r="R15" s="1146" t="s">
        <v>3813</v>
      </c>
      <c r="S15" s="1160" t="s">
        <v>3813</v>
      </c>
      <c r="T15" s="1127" t="s">
        <v>3842</v>
      </c>
      <c r="U15" s="1127"/>
      <c r="V15" s="916"/>
      <c r="W15" s="882"/>
    </row>
    <row r="16" spans="1:26" ht="24.6" customHeight="1">
      <c r="A16" s="1061"/>
      <c r="B16" s="1723"/>
      <c r="C16" s="896" t="s">
        <v>228</v>
      </c>
      <c r="D16" s="889"/>
      <c r="E16" s="902"/>
      <c r="F16" s="913" t="s">
        <v>3770</v>
      </c>
      <c r="G16" s="1095"/>
      <c r="J16" s="1094"/>
      <c r="K16" s="1092"/>
      <c r="L16" s="882"/>
      <c r="N16" s="1122" t="s">
        <v>3891</v>
      </c>
      <c r="O16" s="1123" t="s">
        <v>3892</v>
      </c>
      <c r="P16" s="917">
        <v>26400</v>
      </c>
      <c r="Q16" s="1146" t="s">
        <v>3463</v>
      </c>
      <c r="R16" s="1146" t="s">
        <v>3813</v>
      </c>
      <c r="S16" s="1146" t="s">
        <v>3813</v>
      </c>
      <c r="T16" s="1127"/>
      <c r="U16" s="1127"/>
      <c r="V16" s="916"/>
    </row>
    <row r="17" spans="1:22" ht="24.6" customHeight="1">
      <c r="A17" s="1061"/>
      <c r="B17" s="897"/>
      <c r="C17" s="882"/>
      <c r="D17" s="882"/>
      <c r="E17" s="1096">
        <f>K11+1</f>
        <v>9</v>
      </c>
      <c r="F17" s="1097">
        <f t="shared" ref="F17:K17" si="1">E17+1</f>
        <v>10</v>
      </c>
      <c r="G17" s="1098">
        <f t="shared" si="1"/>
        <v>11</v>
      </c>
      <c r="H17" s="1099">
        <f t="shared" si="1"/>
        <v>12</v>
      </c>
      <c r="I17" s="1100">
        <f t="shared" si="1"/>
        <v>13</v>
      </c>
      <c r="J17" s="1100">
        <f t="shared" si="1"/>
        <v>14</v>
      </c>
      <c r="K17" s="1101">
        <f t="shared" si="1"/>
        <v>15</v>
      </c>
      <c r="L17" s="882"/>
      <c r="N17" s="1122" t="s">
        <v>3893</v>
      </c>
      <c r="O17" s="1123" t="s">
        <v>3894</v>
      </c>
      <c r="P17" s="917">
        <v>2400</v>
      </c>
      <c r="Q17" s="1146" t="s">
        <v>3463</v>
      </c>
      <c r="R17" s="1146" t="s">
        <v>3813</v>
      </c>
      <c r="S17" s="1195" t="s">
        <v>3813</v>
      </c>
      <c r="T17" s="882" t="s">
        <v>3925</v>
      </c>
      <c r="U17" s="1127"/>
    </row>
    <row r="18" spans="1:22" ht="24.6" customHeight="1">
      <c r="A18" s="1061"/>
      <c r="B18" s="1723" t="s">
        <v>287</v>
      </c>
      <c r="C18" s="888" t="s">
        <v>9</v>
      </c>
      <c r="D18" s="889"/>
      <c r="E18" s="909"/>
      <c r="F18" s="1724" t="s">
        <v>336</v>
      </c>
      <c r="G18" s="1725"/>
      <c r="H18" s="1725"/>
      <c r="I18" s="1725"/>
      <c r="J18" s="1725"/>
      <c r="K18" s="909"/>
      <c r="L18" s="882"/>
      <c r="N18" s="1122" t="s">
        <v>3895</v>
      </c>
      <c r="O18" s="1123" t="s">
        <v>3896</v>
      </c>
      <c r="P18" s="917">
        <v>34000</v>
      </c>
      <c r="Q18" s="1146" t="s">
        <v>3462</v>
      </c>
      <c r="R18" s="1146" t="s">
        <v>3813</v>
      </c>
      <c r="S18" s="1146" t="s">
        <v>3813</v>
      </c>
      <c r="T18" s="882"/>
      <c r="U18" s="916"/>
      <c r="V18" s="916"/>
    </row>
    <row r="19" spans="1:22" ht="24.6" customHeight="1">
      <c r="A19" s="1061"/>
      <c r="B19" s="1723"/>
      <c r="C19" s="888"/>
      <c r="D19" s="889"/>
      <c r="E19" s="909"/>
      <c r="F19" s="1102"/>
      <c r="G19" s="891"/>
      <c r="H19" s="909"/>
      <c r="I19" s="909"/>
      <c r="J19" s="909"/>
      <c r="K19" s="1103"/>
      <c r="L19" s="882"/>
      <c r="N19" s="1122" t="s">
        <v>3897</v>
      </c>
      <c r="O19" s="1123" t="s">
        <v>3898</v>
      </c>
      <c r="P19" s="917">
        <v>7207</v>
      </c>
      <c r="Q19" s="1146" t="s">
        <v>3463</v>
      </c>
      <c r="R19" s="1146" t="s">
        <v>3813</v>
      </c>
      <c r="S19" s="1146" t="s">
        <v>3813</v>
      </c>
      <c r="T19" s="916"/>
      <c r="U19" s="916"/>
      <c r="V19" s="916"/>
    </row>
    <row r="20" spans="1:22" ht="24.6" customHeight="1">
      <c r="A20" s="1061"/>
      <c r="B20" s="1723"/>
      <c r="C20" s="894" t="s">
        <v>292</v>
      </c>
      <c r="D20" s="889"/>
      <c r="E20" s="909"/>
      <c r="F20" s="1141" t="s">
        <v>3794</v>
      </c>
      <c r="G20" s="1151" t="s">
        <v>3798</v>
      </c>
      <c r="H20" s="909"/>
      <c r="I20" s="1149" t="s">
        <v>3790</v>
      </c>
      <c r="J20" s="909" t="s">
        <v>3923</v>
      </c>
      <c r="K20" s="1161"/>
      <c r="L20" s="882"/>
      <c r="N20" s="1122" t="s">
        <v>3899</v>
      </c>
      <c r="O20" s="1123" t="s">
        <v>3900</v>
      </c>
      <c r="P20" s="917">
        <v>2500</v>
      </c>
      <c r="Q20" s="1146" t="s">
        <v>3463</v>
      </c>
      <c r="R20" s="1146" t="s">
        <v>3813</v>
      </c>
      <c r="S20" s="1177" t="s">
        <v>3813</v>
      </c>
      <c r="T20" s="882" t="s">
        <v>3926</v>
      </c>
      <c r="U20" s="916"/>
      <c r="V20" s="916"/>
    </row>
    <row r="21" spans="1:22" ht="24" customHeight="1">
      <c r="A21" s="1061"/>
      <c r="B21" s="1723"/>
      <c r="C21" s="894"/>
      <c r="D21" s="889"/>
      <c r="E21" s="909"/>
      <c r="F21" s="891"/>
      <c r="G21" s="909"/>
      <c r="H21" s="1150" t="s">
        <v>3852</v>
      </c>
      <c r="I21" s="909"/>
      <c r="J21" s="909"/>
      <c r="K21" s="1103"/>
      <c r="L21" s="882"/>
      <c r="N21" s="1122" t="s">
        <v>3901</v>
      </c>
      <c r="O21" s="1123" t="s">
        <v>3902</v>
      </c>
      <c r="P21" s="917">
        <v>2500</v>
      </c>
      <c r="Q21" s="1136" t="s">
        <v>3463</v>
      </c>
      <c r="R21" s="1136" t="s">
        <v>3816</v>
      </c>
      <c r="S21" s="1177" t="s">
        <v>3813</v>
      </c>
      <c r="T21" s="882" t="s">
        <v>3927</v>
      </c>
    </row>
    <row r="22" spans="1:22" ht="24" customHeight="1">
      <c r="A22" s="1061"/>
      <c r="B22" s="1723"/>
      <c r="C22" s="896" t="s">
        <v>228</v>
      </c>
      <c r="D22" s="889"/>
      <c r="E22" s="909"/>
      <c r="F22" s="1102"/>
      <c r="G22" s="891"/>
      <c r="H22" s="909"/>
      <c r="I22" s="909"/>
      <c r="J22" s="909"/>
      <c r="K22" s="1103"/>
      <c r="L22" s="882"/>
      <c r="N22" s="1122" t="s">
        <v>3887</v>
      </c>
      <c r="O22" s="1123" t="s">
        <v>3888</v>
      </c>
      <c r="P22" s="917">
        <v>34000</v>
      </c>
      <c r="Q22" s="1146" t="s">
        <v>3462</v>
      </c>
      <c r="R22" s="1160" t="s">
        <v>3465</v>
      </c>
      <c r="S22" s="1146" t="s">
        <v>3465</v>
      </c>
      <c r="T22" s="1129"/>
      <c r="U22" s="1127"/>
    </row>
    <row r="23" spans="1:22" ht="23.45" customHeight="1">
      <c r="A23" s="1061"/>
      <c r="B23" s="897"/>
      <c r="C23" s="882"/>
      <c r="D23" s="882"/>
      <c r="E23" s="1091">
        <f>K17+1</f>
        <v>16</v>
      </c>
      <c r="F23" s="1074">
        <f t="shared" ref="F23:K23" si="2">E23+1</f>
        <v>17</v>
      </c>
      <c r="G23" s="1072">
        <f t="shared" si="2"/>
        <v>18</v>
      </c>
      <c r="H23" s="1074">
        <f t="shared" si="2"/>
        <v>19</v>
      </c>
      <c r="I23" s="1072">
        <f t="shared" si="2"/>
        <v>20</v>
      </c>
      <c r="J23" s="1072">
        <f t="shared" si="2"/>
        <v>21</v>
      </c>
      <c r="K23" s="1075">
        <f t="shared" si="2"/>
        <v>22</v>
      </c>
      <c r="L23" s="882"/>
      <c r="N23" s="1122" t="s">
        <v>3889</v>
      </c>
      <c r="O23" s="1123" t="s">
        <v>3917</v>
      </c>
      <c r="P23" s="1109">
        <v>31713</v>
      </c>
      <c r="Q23" s="1146" t="s">
        <v>3463</v>
      </c>
      <c r="R23" s="1160" t="s">
        <v>3465</v>
      </c>
      <c r="S23" s="1153" t="s">
        <v>3465</v>
      </c>
      <c r="T23" s="882" t="s">
        <v>3876</v>
      </c>
    </row>
    <row r="24" spans="1:22" ht="24.6" customHeight="1">
      <c r="A24" s="1061"/>
      <c r="B24" s="1723" t="s">
        <v>287</v>
      </c>
      <c r="C24" s="888" t="s">
        <v>9</v>
      </c>
      <c r="D24" s="889"/>
      <c r="E24" s="902"/>
      <c r="F24" s="1724" t="s">
        <v>336</v>
      </c>
      <c r="G24" s="1725"/>
      <c r="H24" s="1725"/>
      <c r="I24" s="1725"/>
      <c r="J24" s="1725"/>
      <c r="K24" s="1092"/>
      <c r="L24" s="882"/>
      <c r="N24" s="1122" t="s">
        <v>3912</v>
      </c>
      <c r="O24" s="1123" t="s">
        <v>3916</v>
      </c>
      <c r="P24" s="1109">
        <v>31713</v>
      </c>
      <c r="Q24" s="1146" t="s">
        <v>3463</v>
      </c>
      <c r="R24" s="1160" t="s">
        <v>3465</v>
      </c>
      <c r="S24" s="1146" t="s">
        <v>3465</v>
      </c>
      <c r="T24" s="882" t="s">
        <v>3928</v>
      </c>
      <c r="U24" s="1127"/>
      <c r="V24" s="916"/>
    </row>
    <row r="25" spans="1:22" ht="24.6" customHeight="1">
      <c r="A25" s="1061"/>
      <c r="B25" s="1723"/>
      <c r="C25" s="888"/>
      <c r="D25" s="889"/>
      <c r="E25" s="902"/>
      <c r="G25" s="1154"/>
      <c r="H25" s="1154"/>
      <c r="K25" s="1092"/>
      <c r="L25" s="882"/>
      <c r="N25" s="882" t="s">
        <v>3844</v>
      </c>
    </row>
    <row r="26" spans="1:22" ht="24.6" customHeight="1">
      <c r="A26" s="1061"/>
      <c r="B26" s="1723"/>
      <c r="C26" s="894" t="s">
        <v>292</v>
      </c>
      <c r="D26" s="889"/>
      <c r="E26" s="1159"/>
      <c r="F26" s="1155" t="s">
        <v>3854</v>
      </c>
      <c r="G26" s="1741" t="s">
        <v>3791</v>
      </c>
      <c r="H26" s="1727"/>
      <c r="I26" s="1742" t="s">
        <v>3788</v>
      </c>
      <c r="J26" s="1743"/>
      <c r="K26" s="1092"/>
      <c r="L26" s="882"/>
      <c r="U26" s="916"/>
    </row>
    <row r="27" spans="1:22" ht="24.6" customHeight="1">
      <c r="A27" s="1061"/>
      <c r="B27" s="1723"/>
      <c r="C27" s="894"/>
      <c r="D27" s="889"/>
      <c r="E27" s="949"/>
      <c r="F27" s="1156" t="s">
        <v>3914</v>
      </c>
      <c r="H27" s="1726" t="s">
        <v>3851</v>
      </c>
      <c r="I27" s="1740"/>
      <c r="J27" s="1148" t="s">
        <v>3871</v>
      </c>
      <c r="K27" s="1092"/>
      <c r="L27" s="916"/>
    </row>
    <row r="28" spans="1:22" ht="24.6" customHeight="1">
      <c r="A28" s="1061"/>
      <c r="B28" s="1723"/>
      <c r="C28" s="896" t="s">
        <v>228</v>
      </c>
      <c r="D28" s="889"/>
      <c r="E28" s="906"/>
      <c r="F28" s="1104"/>
      <c r="G28" s="1104"/>
      <c r="H28" s="882"/>
      <c r="I28" s="882"/>
      <c r="K28" s="1092"/>
      <c r="L28" s="916"/>
    </row>
    <row r="29" spans="1:22" ht="24.6" customHeight="1">
      <c r="A29" s="1061"/>
      <c r="B29" s="882"/>
      <c r="C29" s="1080"/>
      <c r="D29" s="889"/>
      <c r="E29" s="1105">
        <f>K23+1</f>
        <v>23</v>
      </c>
      <c r="F29" s="1106">
        <f t="shared" ref="F29:K29" si="3">E29+1</f>
        <v>24</v>
      </c>
      <c r="G29" s="1081">
        <f t="shared" si="3"/>
        <v>25</v>
      </c>
      <c r="H29" s="1067">
        <f t="shared" si="3"/>
        <v>26</v>
      </c>
      <c r="I29" s="1067">
        <f t="shared" si="3"/>
        <v>27</v>
      </c>
      <c r="J29" s="1081">
        <f t="shared" si="3"/>
        <v>28</v>
      </c>
      <c r="K29" s="1103">
        <f t="shared" si="3"/>
        <v>29</v>
      </c>
      <c r="L29" s="916"/>
    </row>
    <row r="30" spans="1:22" ht="24.6" customHeight="1">
      <c r="A30" s="1061"/>
      <c r="B30" s="1739" t="s">
        <v>3980</v>
      </c>
      <c r="C30" s="888" t="s">
        <v>9</v>
      </c>
      <c r="D30" s="889"/>
      <c r="E30" s="909"/>
      <c r="F30" s="1724" t="s">
        <v>336</v>
      </c>
      <c r="G30" s="1725"/>
      <c r="H30" s="1725"/>
      <c r="I30" s="1725"/>
      <c r="J30" s="1725"/>
      <c r="K30" s="909"/>
      <c r="L30" s="916"/>
      <c r="M30" s="916"/>
    </row>
    <row r="31" spans="1:22" ht="24.6" customHeight="1">
      <c r="A31" s="1061"/>
      <c r="B31" s="1723"/>
      <c r="C31" s="888"/>
      <c r="D31" s="889"/>
      <c r="E31" s="909"/>
      <c r="F31" s="892"/>
      <c r="G31" s="892"/>
      <c r="H31" s="909"/>
      <c r="I31" s="909"/>
      <c r="J31" s="909"/>
      <c r="K31" s="891"/>
      <c r="L31" s="916"/>
      <c r="M31" s="916"/>
    </row>
    <row r="32" spans="1:22" ht="24.6" customHeight="1">
      <c r="A32" s="1061"/>
      <c r="B32" s="1723"/>
      <c r="C32" s="894" t="s">
        <v>292</v>
      </c>
      <c r="D32" s="889"/>
      <c r="E32" s="1157"/>
      <c r="F32" s="1165" t="s">
        <v>3856</v>
      </c>
      <c r="G32" s="892"/>
      <c r="H32" s="1726" t="s">
        <v>3982</v>
      </c>
      <c r="I32" s="1740"/>
      <c r="J32" s="1727"/>
      <c r="K32" s="1103"/>
      <c r="L32" s="916"/>
      <c r="M32" s="916"/>
      <c r="R32" s="1128"/>
      <c r="S32" s="1129"/>
    </row>
    <row r="33" spans="1:19" ht="24.6" customHeight="1">
      <c r="A33" s="1061"/>
      <c r="B33" s="1723"/>
      <c r="C33" s="894"/>
      <c r="D33" s="889"/>
      <c r="E33" s="1157"/>
      <c r="F33" s="1742" t="s">
        <v>3867</v>
      </c>
      <c r="G33" s="1743"/>
      <c r="H33" s="909"/>
      <c r="I33" s="909"/>
      <c r="J33" s="1132" t="s">
        <v>3946</v>
      </c>
      <c r="K33" s="1103"/>
      <c r="L33" s="916"/>
      <c r="M33" s="916"/>
    </row>
    <row r="34" spans="1:19" ht="24.6" customHeight="1">
      <c r="A34" s="1061"/>
      <c r="B34" s="1723"/>
      <c r="C34" s="896" t="s">
        <v>228</v>
      </c>
      <c r="D34" s="889"/>
      <c r="E34" s="1157"/>
      <c r="G34" s="1158"/>
      <c r="H34" s="1158"/>
      <c r="I34" s="1158"/>
      <c r="J34" s="1158"/>
      <c r="K34" s="1103"/>
      <c r="L34" s="916"/>
      <c r="M34" s="916"/>
      <c r="N34" s="1108"/>
      <c r="O34" s="916"/>
      <c r="P34" s="916"/>
      <c r="Q34" s="916"/>
      <c r="R34" s="916"/>
      <c r="S34" s="916"/>
    </row>
    <row r="35" spans="1:19" ht="24.6" customHeight="1">
      <c r="A35" s="1061"/>
      <c r="B35" s="882"/>
      <c r="C35" s="882"/>
      <c r="D35" s="882"/>
      <c r="E35" s="1091">
        <f>K29+1</f>
        <v>30</v>
      </c>
      <c r="F35" s="1074">
        <f>E35+1</f>
        <v>31</v>
      </c>
      <c r="G35" s="1072"/>
      <c r="H35" s="1074"/>
      <c r="I35" s="1072"/>
      <c r="J35" s="1072"/>
      <c r="K35" s="1075"/>
      <c r="L35" s="916"/>
      <c r="M35" s="916"/>
      <c r="P35" s="916"/>
      <c r="Q35" s="916"/>
      <c r="R35" s="916"/>
      <c r="S35" s="916"/>
    </row>
    <row r="36" spans="1:19" ht="24.6" customHeight="1">
      <c r="A36" s="1061"/>
      <c r="B36" s="1723" t="s">
        <v>287</v>
      </c>
      <c r="C36" s="888" t="s">
        <v>9</v>
      </c>
      <c r="D36" s="889"/>
      <c r="E36" s="902"/>
      <c r="F36" s="1724" t="s">
        <v>336</v>
      </c>
      <c r="G36" s="1725"/>
      <c r="H36" s="1725"/>
      <c r="I36" s="1725"/>
      <c r="J36" s="1725"/>
      <c r="K36" s="1092"/>
      <c r="L36" s="916"/>
      <c r="M36" s="916"/>
      <c r="N36" s="916"/>
      <c r="O36" s="916"/>
      <c r="P36" s="916"/>
      <c r="Q36" s="916"/>
      <c r="R36" s="916"/>
      <c r="S36" s="916"/>
    </row>
    <row r="37" spans="1:19" ht="24.6" customHeight="1">
      <c r="A37" s="1061"/>
      <c r="B37" s="1723"/>
      <c r="C37" s="888"/>
      <c r="D37" s="889"/>
      <c r="E37" s="902"/>
      <c r="F37" s="1093"/>
      <c r="G37" s="1094"/>
      <c r="H37" s="1093"/>
      <c r="I37" s="1094"/>
      <c r="J37" s="1094"/>
      <c r="K37" s="1092"/>
      <c r="L37" s="916"/>
      <c r="M37" s="916"/>
      <c r="N37" s="916"/>
      <c r="O37" s="916"/>
      <c r="P37" s="916"/>
      <c r="Q37" s="916"/>
      <c r="R37" s="916"/>
      <c r="S37" s="916"/>
    </row>
    <row r="38" spans="1:19" ht="24" customHeight="1">
      <c r="A38" s="1061"/>
      <c r="B38" s="1723"/>
      <c r="C38" s="894" t="s">
        <v>292</v>
      </c>
      <c r="D38" s="889"/>
      <c r="E38" s="902"/>
      <c r="F38" s="1149" t="s">
        <v>3922</v>
      </c>
      <c r="G38" s="1094"/>
      <c r="H38" s="1093"/>
      <c r="I38" s="1094"/>
      <c r="J38" s="1094"/>
      <c r="K38" s="1092"/>
      <c r="L38" s="916"/>
      <c r="M38" s="916"/>
      <c r="O38" s="916"/>
      <c r="P38" s="916"/>
      <c r="Q38" s="916"/>
      <c r="R38" s="916"/>
      <c r="S38" s="916"/>
    </row>
    <row r="39" spans="1:19" ht="24.6" customHeight="1">
      <c r="A39" s="1061"/>
      <c r="B39" s="1723"/>
      <c r="C39" s="894"/>
      <c r="D39" s="889"/>
      <c r="E39" s="902"/>
      <c r="G39" s="1094"/>
      <c r="H39" s="1093"/>
      <c r="I39" s="1094"/>
      <c r="J39" s="1094"/>
      <c r="K39" s="1094"/>
      <c r="L39" s="916"/>
      <c r="M39" s="916"/>
      <c r="N39" s="916"/>
      <c r="O39" s="916"/>
      <c r="P39" s="916"/>
      <c r="Q39" s="916"/>
      <c r="R39" s="916"/>
      <c r="S39" s="916"/>
    </row>
    <row r="40" spans="1:19" ht="24.6" customHeight="1">
      <c r="A40" s="1061"/>
      <c r="B40" s="1723"/>
      <c r="C40" s="896" t="s">
        <v>228</v>
      </c>
      <c r="D40" s="889"/>
      <c r="E40" s="906"/>
      <c r="F40" s="1104"/>
      <c r="G40" s="1095"/>
      <c r="H40" s="1104"/>
      <c r="I40" s="1095"/>
      <c r="J40" s="1095"/>
      <c r="K40" s="1095"/>
      <c r="L40" s="916"/>
      <c r="M40" s="916"/>
      <c r="N40" s="916"/>
      <c r="O40" s="916"/>
      <c r="P40" s="916"/>
      <c r="Q40" s="916"/>
      <c r="R40" s="916"/>
      <c r="S40" s="916"/>
    </row>
    <row r="41" spans="1:19" ht="24.6" customHeight="1">
      <c r="A41" s="1061"/>
      <c r="B41" s="1146"/>
      <c r="C41" s="882"/>
      <c r="D41" s="882"/>
      <c r="E41" s="882"/>
      <c r="F41" s="882"/>
      <c r="G41" s="882"/>
      <c r="H41" s="882"/>
      <c r="I41" s="882"/>
      <c r="J41" s="882"/>
      <c r="K41" s="882"/>
      <c r="L41" s="916"/>
      <c r="M41" s="916"/>
      <c r="N41" s="916"/>
      <c r="O41" s="916"/>
      <c r="P41" s="916"/>
      <c r="Q41" s="916"/>
      <c r="R41" s="916"/>
      <c r="S41" s="916"/>
    </row>
    <row r="42" spans="1:19" ht="24.6" customHeight="1">
      <c r="A42" s="1061"/>
      <c r="B42" s="1061"/>
      <c r="C42" s="1084" t="s">
        <v>3744</v>
      </c>
      <c r="D42" s="1061"/>
      <c r="E42" s="1085" t="s">
        <v>3740</v>
      </c>
      <c r="F42" s="1086" t="s">
        <v>3743</v>
      </c>
      <c r="G42" s="1087" t="s">
        <v>3768</v>
      </c>
      <c r="L42" s="1061"/>
      <c r="M42" s="1061"/>
      <c r="N42" s="916"/>
      <c r="O42" s="1061"/>
      <c r="P42" s="1061"/>
      <c r="Q42" s="1061"/>
      <c r="R42" s="1061"/>
      <c r="S42" s="916"/>
    </row>
    <row r="43" spans="1:19" ht="24.6" customHeight="1">
      <c r="A43" s="1061"/>
      <c r="B43" s="882"/>
      <c r="D43" s="1061"/>
      <c r="E43" s="1088" t="s">
        <v>3741</v>
      </c>
      <c r="F43" s="1147" t="s">
        <v>3742</v>
      </c>
      <c r="G43" s="1089" t="s">
        <v>336</v>
      </c>
      <c r="L43" s="1061"/>
      <c r="M43" s="1061"/>
      <c r="N43" s="916"/>
      <c r="O43" s="1061"/>
      <c r="P43" s="1061"/>
      <c r="Q43" s="1061"/>
      <c r="R43" s="1061"/>
      <c r="S43" s="1061"/>
    </row>
    <row r="44" spans="1:19" ht="24.6" customHeight="1">
      <c r="A44" s="1061"/>
      <c r="B44" s="882"/>
      <c r="L44" s="1061"/>
      <c r="M44" s="1061"/>
      <c r="N44" s="1061"/>
      <c r="O44" s="1061"/>
      <c r="P44" s="1061"/>
      <c r="Q44" s="1061"/>
      <c r="R44" s="1061"/>
      <c r="S44" s="1061"/>
    </row>
    <row r="45" spans="1:19" ht="24.6" customHeight="1">
      <c r="A45" s="1061"/>
      <c r="B45" s="882"/>
      <c r="L45" s="1061"/>
      <c r="M45" s="1061"/>
      <c r="N45" s="1061"/>
      <c r="O45" s="1061"/>
      <c r="P45" s="1061"/>
      <c r="Q45" s="1061"/>
      <c r="R45" s="1061"/>
      <c r="S45" s="1061"/>
    </row>
    <row r="46" spans="1:19" ht="24.6" customHeight="1">
      <c r="A46" s="1061"/>
      <c r="B46" s="882"/>
      <c r="L46" s="1061"/>
      <c r="M46" s="1061"/>
      <c r="N46" s="1061"/>
      <c r="O46" s="1061"/>
      <c r="P46" s="1061"/>
      <c r="Q46" s="1061"/>
      <c r="R46" s="1061"/>
      <c r="S46" s="1061"/>
    </row>
    <row r="47" spans="1:19" ht="24.6" customHeight="1">
      <c r="A47" s="1061"/>
      <c r="B47" s="882"/>
      <c r="L47" s="1061"/>
      <c r="M47" s="1061"/>
      <c r="N47" s="1061"/>
      <c r="O47" s="1061"/>
      <c r="P47" s="1061"/>
      <c r="Q47" s="1061"/>
      <c r="R47" s="1061"/>
      <c r="S47" s="1061"/>
    </row>
    <row r="48" spans="1:19" ht="24.6" customHeight="1">
      <c r="A48" s="1061"/>
      <c r="B48" s="882"/>
      <c r="L48" s="1061"/>
      <c r="M48" s="1061"/>
      <c r="N48" s="1061"/>
      <c r="O48" s="1061"/>
      <c r="P48" s="1061"/>
      <c r="Q48" s="1061"/>
      <c r="R48" s="1061"/>
      <c r="S48" s="1061"/>
    </row>
    <row r="49" spans="1:19" ht="24.6" customHeight="1">
      <c r="A49" s="1061"/>
      <c r="B49" s="882"/>
      <c r="L49" s="1061"/>
      <c r="M49" s="1061"/>
      <c r="N49" s="1061"/>
      <c r="O49" s="1061"/>
      <c r="P49" s="1061"/>
      <c r="Q49" s="1061"/>
      <c r="R49" s="1061"/>
      <c r="S49" s="1061"/>
    </row>
    <row r="50" spans="1:19" ht="24.6" customHeight="1">
      <c r="A50" s="1061"/>
      <c r="B50" s="1146"/>
      <c r="L50" s="1061"/>
      <c r="M50" s="1061"/>
      <c r="N50" s="1061"/>
      <c r="O50" s="1061"/>
      <c r="P50" s="1061"/>
      <c r="Q50" s="1061"/>
      <c r="R50" s="1061"/>
      <c r="S50" s="1061"/>
    </row>
    <row r="51" spans="1:19" ht="24.6" customHeight="1">
      <c r="A51" s="1061"/>
      <c r="B51" s="1061"/>
      <c r="L51" s="1061"/>
      <c r="M51" s="1061"/>
      <c r="N51" s="1061"/>
      <c r="O51" s="1061"/>
      <c r="P51" s="1061"/>
      <c r="Q51" s="1061"/>
      <c r="R51" s="1061"/>
      <c r="S51" s="1061"/>
    </row>
    <row r="52" spans="1:19" ht="24.6" customHeight="1">
      <c r="A52" s="1061"/>
      <c r="B52" s="882"/>
      <c r="L52" s="1061"/>
      <c r="M52" s="1061"/>
      <c r="N52" s="1061"/>
      <c r="O52" s="1061"/>
      <c r="P52" s="1061"/>
      <c r="Q52" s="1061"/>
      <c r="R52" s="1061"/>
      <c r="S52" s="1061"/>
    </row>
    <row r="53" spans="1:19" ht="24.6" customHeight="1">
      <c r="A53" s="1061"/>
      <c r="B53" s="882"/>
      <c r="L53" s="1061"/>
      <c r="M53" s="1061"/>
      <c r="N53" s="1061"/>
      <c r="O53" s="1061"/>
      <c r="P53" s="1061"/>
      <c r="Q53" s="1061"/>
      <c r="R53" s="1061"/>
      <c r="S53" s="1061"/>
    </row>
    <row r="54" spans="1:19" ht="24.6" customHeight="1">
      <c r="A54" s="1061"/>
      <c r="B54" s="882"/>
      <c r="L54" s="1061"/>
      <c r="M54" s="1061"/>
      <c r="N54" s="1061"/>
      <c r="O54" s="1061"/>
      <c r="P54" s="1061"/>
      <c r="Q54" s="1061"/>
      <c r="S54" s="1061"/>
    </row>
    <row r="55" spans="1:19" ht="24.6" customHeight="1">
      <c r="A55" s="1061"/>
      <c r="B55" s="882"/>
      <c r="L55" s="1061"/>
      <c r="M55" s="1061"/>
      <c r="N55" s="1061"/>
      <c r="O55" s="1061"/>
      <c r="P55" s="1061"/>
      <c r="Q55" s="1061"/>
      <c r="S55" s="1061"/>
    </row>
    <row r="56" spans="1:19" ht="24" customHeight="1">
      <c r="A56" s="1061"/>
      <c r="B56" s="882"/>
      <c r="L56" s="1061"/>
      <c r="M56" s="1061"/>
      <c r="S56" s="1061"/>
    </row>
    <row r="57" spans="1:19" ht="24.6" customHeight="1">
      <c r="A57" s="1061"/>
      <c r="B57" s="882"/>
      <c r="L57" s="1061"/>
      <c r="M57" s="1061"/>
      <c r="S57" s="1061"/>
    </row>
    <row r="58" spans="1:19" ht="24.6" customHeight="1">
      <c r="A58" s="1061"/>
      <c r="B58" s="882"/>
      <c r="L58" s="1061"/>
      <c r="M58" s="1061"/>
      <c r="S58" s="1061"/>
    </row>
    <row r="59" spans="1:19" ht="24.6" customHeight="1">
      <c r="A59" s="1061"/>
      <c r="B59" s="1146"/>
      <c r="L59" s="1061"/>
      <c r="M59" s="1061"/>
      <c r="S59" s="1061"/>
    </row>
    <row r="60" spans="1:19">
      <c r="L60" s="1061"/>
      <c r="S60" s="1061"/>
    </row>
  </sheetData>
  <mergeCells count="23">
    <mergeCell ref="Q2:R2"/>
    <mergeCell ref="E3:G3"/>
    <mergeCell ref="H3:K3"/>
    <mergeCell ref="O3:P3"/>
    <mergeCell ref="Q3:R3"/>
    <mergeCell ref="B18:B22"/>
    <mergeCell ref="F18:J18"/>
    <mergeCell ref="O2:P2"/>
    <mergeCell ref="B6:B10"/>
    <mergeCell ref="B12:B16"/>
    <mergeCell ref="F12:J12"/>
    <mergeCell ref="H15:I15"/>
    <mergeCell ref="B36:B40"/>
    <mergeCell ref="F36:J36"/>
    <mergeCell ref="B24:B28"/>
    <mergeCell ref="F24:J24"/>
    <mergeCell ref="B30:B34"/>
    <mergeCell ref="F30:J30"/>
    <mergeCell ref="H27:I27"/>
    <mergeCell ref="G26:H26"/>
    <mergeCell ref="F33:G33"/>
    <mergeCell ref="I26:J26"/>
    <mergeCell ref="H32:J32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4">
    <pageSetUpPr fitToPage="1"/>
  </sheetPr>
  <dimension ref="A1:Z569"/>
  <sheetViews>
    <sheetView showGridLines="0" topLeftCell="C1" zoomScale="60" zoomScaleNormal="60" workbookViewId="0">
      <selection activeCell="O9" sqref="O9:O1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31.88671875" style="1175" customWidth="1"/>
    <col min="15" max="15" width="17.77734375" style="1175" bestFit="1" customWidth="1"/>
    <col min="16" max="16" width="9.109375" style="1176" bestFit="1" customWidth="1"/>
    <col min="17" max="17" width="14.77734375" style="1176" customWidth="1"/>
    <col min="18" max="18" width="18.21875" style="1176" customWidth="1"/>
    <col min="19" max="19" width="16" style="1176" bestFit="1" customWidth="1"/>
    <col min="20" max="20" width="46.77734375" style="1174" customWidth="1"/>
    <col min="21" max="21" width="11.33203125" style="84" bestFit="1" customWidth="1"/>
    <col min="22" max="16384" width="8.88671875" style="84"/>
  </cols>
  <sheetData>
    <row r="1" spans="1:26" ht="19.149999999999999">
      <c r="A1" s="84"/>
      <c r="B1" s="84"/>
      <c r="C1" s="5"/>
      <c r="D1" s="5"/>
      <c r="M1" s="5"/>
      <c r="N1" s="1166" t="s">
        <v>3296</v>
      </c>
      <c r="O1" s="1166"/>
      <c r="P1" s="821"/>
      <c r="Q1" s="821"/>
      <c r="R1" s="821"/>
      <c r="S1" s="821"/>
      <c r="T1" s="1167"/>
      <c r="U1" s="918"/>
    </row>
    <row r="2" spans="1:26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M2" s="5"/>
      <c r="N2" s="1168" t="s">
        <v>3290</v>
      </c>
      <c r="O2" s="1757" t="s">
        <v>3291</v>
      </c>
      <c r="P2" s="1757"/>
      <c r="Q2" s="1757" t="s">
        <v>3292</v>
      </c>
      <c r="R2" s="1758"/>
      <c r="S2" s="821"/>
      <c r="T2" s="1167"/>
      <c r="U2" s="918"/>
    </row>
    <row r="3" spans="1:26" ht="57">
      <c r="A3" s="84"/>
      <c r="B3" s="84"/>
      <c r="C3" s="5"/>
      <c r="D3" s="5"/>
      <c r="E3" s="1759">
        <v>45748</v>
      </c>
      <c r="F3" s="1759"/>
      <c r="G3" s="1759"/>
      <c r="H3" s="1760" t="s">
        <v>10</v>
      </c>
      <c r="I3" s="1717"/>
      <c r="J3" s="1717"/>
      <c r="K3" s="1717"/>
      <c r="M3" s="5"/>
      <c r="N3" s="1169">
        <f>SUMIF($Q$8:$Q$26,"F",$P$8:$P$26)</f>
        <v>340000</v>
      </c>
      <c r="O3" s="1761">
        <f>SUMIF($Q$7:$Q$29,"S",$P$7:$P$29)</f>
        <v>38245</v>
      </c>
      <c r="P3" s="1761"/>
      <c r="Q3" s="1762">
        <f>N3+O3</f>
        <v>378245</v>
      </c>
      <c r="R3" s="1763"/>
      <c r="S3" s="821"/>
      <c r="T3" s="1167"/>
      <c r="U3" s="918"/>
    </row>
    <row r="4" spans="1:26" s="5" customFormat="1" ht="26.25" customHeight="1">
      <c r="E4" s="863" t="s">
        <v>0</v>
      </c>
      <c r="F4" s="864" t="s">
        <v>1</v>
      </c>
      <c r="G4" s="864" t="s">
        <v>2</v>
      </c>
      <c r="H4" s="864" t="s">
        <v>3</v>
      </c>
      <c r="I4" s="864" t="s">
        <v>4</v>
      </c>
      <c r="J4" s="864" t="s">
        <v>5</v>
      </c>
      <c r="K4" s="865" t="s">
        <v>6</v>
      </c>
      <c r="N4" s="1170"/>
      <c r="O4" s="878"/>
      <c r="P4" s="821"/>
      <c r="Q4" s="821"/>
      <c r="R4" s="821"/>
      <c r="S4" s="821"/>
      <c r="T4" s="878"/>
    </row>
    <row r="5" spans="1:26" s="5" customFormat="1" ht="24.6" customHeight="1">
      <c r="E5" s="886"/>
      <c r="F5" s="887"/>
      <c r="G5" s="1205">
        <v>1</v>
      </c>
      <c r="H5" s="1205">
        <f>G5+1</f>
        <v>2</v>
      </c>
      <c r="I5" s="1205">
        <f>H5+1</f>
        <v>3</v>
      </c>
      <c r="J5" s="1205">
        <f>I5+1</f>
        <v>4</v>
      </c>
      <c r="K5" s="1064">
        <f>J5+1</f>
        <v>5</v>
      </c>
      <c r="N5" s="878"/>
      <c r="O5" s="878"/>
      <c r="P5" s="821"/>
      <c r="Q5" s="821"/>
      <c r="R5" s="821"/>
      <c r="S5" s="821"/>
      <c r="T5" s="878"/>
    </row>
    <row r="6" spans="1:26" s="5" customFormat="1" ht="24.6" customHeight="1">
      <c r="B6" s="1467" t="s">
        <v>287</v>
      </c>
      <c r="C6" s="879" t="s">
        <v>9</v>
      </c>
      <c r="D6" s="265"/>
      <c r="E6" s="890"/>
      <c r="F6" s="1724" t="s">
        <v>336</v>
      </c>
      <c r="G6" s="1725"/>
      <c r="H6" s="1725"/>
      <c r="I6" s="1725"/>
      <c r="J6" s="1725"/>
      <c r="K6" s="1090"/>
      <c r="N6" s="878"/>
      <c r="O6" s="878"/>
      <c r="P6" s="821"/>
      <c r="Q6" s="821"/>
      <c r="R6" s="821"/>
      <c r="S6" s="821"/>
      <c r="T6" s="878"/>
    </row>
    <row r="7" spans="1:26" s="5" customFormat="1" ht="24.6" customHeight="1">
      <c r="B7" s="1467"/>
      <c r="C7" s="879"/>
      <c r="D7" s="265"/>
      <c r="E7" s="890"/>
      <c r="F7" s="891"/>
      <c r="G7" s="891"/>
      <c r="H7" s="891"/>
      <c r="I7" s="891"/>
      <c r="J7" s="891"/>
      <c r="K7" s="1090"/>
      <c r="N7" s="1166" t="s">
        <v>2916</v>
      </c>
      <c r="O7" s="878"/>
      <c r="P7" s="821"/>
      <c r="Q7" s="821"/>
      <c r="R7" s="821"/>
      <c r="S7" s="821"/>
      <c r="T7" s="878"/>
    </row>
    <row r="8" spans="1:26" s="5" customFormat="1" ht="24.6" customHeight="1">
      <c r="B8" s="1467"/>
      <c r="C8" s="880" t="s">
        <v>292</v>
      </c>
      <c r="D8" s="265"/>
      <c r="E8" s="890"/>
      <c r="F8" s="891"/>
      <c r="G8" s="1149" t="s">
        <v>3918</v>
      </c>
      <c r="H8" s="891"/>
      <c r="I8" s="1753" t="s">
        <v>3789</v>
      </c>
      <c r="J8" s="1754"/>
      <c r="K8" s="1090"/>
      <c r="N8" s="1171" t="s">
        <v>2732</v>
      </c>
      <c r="O8" s="1171" t="s">
        <v>3516</v>
      </c>
      <c r="P8" s="1171" t="s">
        <v>3872</v>
      </c>
      <c r="Q8" s="1171" t="s">
        <v>3461</v>
      </c>
      <c r="R8" s="1172" t="s">
        <v>3839</v>
      </c>
      <c r="S8" s="1171" t="s">
        <v>3814</v>
      </c>
      <c r="T8" s="1173" t="s">
        <v>228</v>
      </c>
    </row>
    <row r="9" spans="1:26" s="5" customFormat="1" ht="24.6" customHeight="1">
      <c r="B9" s="1467"/>
      <c r="C9" s="880"/>
      <c r="D9" s="265"/>
      <c r="E9" s="890"/>
      <c r="F9" s="891"/>
      <c r="G9" s="1755" t="s">
        <v>3919</v>
      </c>
      <c r="H9" s="1756"/>
      <c r="I9" s="891"/>
      <c r="J9" s="891"/>
      <c r="K9" s="1090"/>
      <c r="N9" s="915" t="s">
        <v>4013</v>
      </c>
      <c r="O9" s="1121" t="s">
        <v>3920</v>
      </c>
      <c r="P9" s="917">
        <v>34000</v>
      </c>
      <c r="Q9" s="1203" t="s">
        <v>3462</v>
      </c>
      <c r="R9" s="1203" t="s">
        <v>3813</v>
      </c>
      <c r="S9" s="1203" t="s">
        <v>3813</v>
      </c>
      <c r="T9" s="1127"/>
    </row>
    <row r="10" spans="1:26" s="5" customFormat="1" ht="24.6" customHeight="1">
      <c r="B10" s="1467"/>
      <c r="C10" s="881" t="s">
        <v>228</v>
      </c>
      <c r="D10" s="265"/>
      <c r="E10" s="890"/>
      <c r="F10" s="891"/>
      <c r="G10" s="891"/>
      <c r="H10" s="891"/>
      <c r="I10" s="891"/>
      <c r="J10" s="891"/>
      <c r="K10" s="1090"/>
      <c r="N10" s="915" t="s">
        <v>3857</v>
      </c>
      <c r="O10" s="1121" t="s">
        <v>3921</v>
      </c>
      <c r="P10" s="917">
        <v>34000</v>
      </c>
      <c r="Q10" s="1203" t="s">
        <v>3462</v>
      </c>
      <c r="R10" s="1203" t="s">
        <v>3813</v>
      </c>
      <c r="S10" s="1203" t="s">
        <v>3813</v>
      </c>
      <c r="T10" s="1127"/>
      <c r="U10" s="882"/>
      <c r="V10" s="918"/>
      <c r="W10" s="918"/>
      <c r="X10" s="84"/>
    </row>
    <row r="11" spans="1:26" s="5" customFormat="1" ht="24.6" customHeight="1">
      <c r="B11" s="875"/>
      <c r="C11" s="878"/>
      <c r="D11" s="265"/>
      <c r="E11" s="1091">
        <f>K5+1</f>
        <v>6</v>
      </c>
      <c r="F11" s="1074">
        <f t="shared" ref="F11:K11" si="0">E11+1</f>
        <v>7</v>
      </c>
      <c r="G11" s="1072">
        <f t="shared" si="0"/>
        <v>8</v>
      </c>
      <c r="H11" s="1074">
        <f t="shared" si="0"/>
        <v>9</v>
      </c>
      <c r="I11" s="1072">
        <f t="shared" si="0"/>
        <v>10</v>
      </c>
      <c r="J11" s="1072">
        <f t="shared" si="0"/>
        <v>11</v>
      </c>
      <c r="K11" s="1075">
        <f t="shared" si="0"/>
        <v>12</v>
      </c>
      <c r="N11" s="915" t="s">
        <v>3895</v>
      </c>
      <c r="O11" s="1121" t="s">
        <v>4030</v>
      </c>
      <c r="P11" s="917">
        <v>34000</v>
      </c>
      <c r="Q11" s="1203" t="s">
        <v>3462</v>
      </c>
      <c r="R11" s="1203" t="s">
        <v>3813</v>
      </c>
      <c r="S11" s="1203" t="s">
        <v>3813</v>
      </c>
      <c r="T11" s="1061"/>
      <c r="U11" s="84"/>
      <c r="V11" s="84"/>
      <c r="W11" s="84"/>
      <c r="X11" s="84"/>
      <c r="Y11" s="84"/>
    </row>
    <row r="12" spans="1:26" s="5" customFormat="1" ht="24.6" customHeight="1">
      <c r="B12" s="1467" t="s">
        <v>287</v>
      </c>
      <c r="C12" s="879" t="s">
        <v>9</v>
      </c>
      <c r="D12" s="265"/>
      <c r="E12" s="902"/>
      <c r="F12" s="1712" t="s">
        <v>4031</v>
      </c>
      <c r="G12" s="1713"/>
      <c r="H12" s="1093"/>
      <c r="I12" s="1712" t="s">
        <v>3948</v>
      </c>
      <c r="J12" s="1713"/>
      <c r="K12" s="1092"/>
      <c r="N12" s="915" t="s">
        <v>3991</v>
      </c>
      <c r="O12" s="1121" t="s">
        <v>3992</v>
      </c>
      <c r="P12" s="1109">
        <v>3920</v>
      </c>
      <c r="Q12" s="1203" t="s">
        <v>3463</v>
      </c>
      <c r="R12" s="1203" t="s">
        <v>3813</v>
      </c>
      <c r="S12" s="1203" t="s">
        <v>3813</v>
      </c>
      <c r="T12" s="916" t="s">
        <v>3967</v>
      </c>
      <c r="V12" s="84"/>
      <c r="W12" s="84"/>
      <c r="X12" s="84"/>
      <c r="Y12" s="84"/>
      <c r="Z12" s="84"/>
    </row>
    <row r="13" spans="1:26" s="5" customFormat="1" ht="24.6" customHeight="1">
      <c r="B13" s="1467"/>
      <c r="C13" s="879"/>
      <c r="D13" s="5" t="s">
        <v>3941</v>
      </c>
      <c r="E13" s="902"/>
      <c r="F13" s="882"/>
      <c r="G13" s="1712" t="s">
        <v>3947</v>
      </c>
      <c r="H13" s="1713"/>
      <c r="I13" s="1094"/>
      <c r="J13" s="1712" t="s">
        <v>4129</v>
      </c>
      <c r="K13" s="1713"/>
      <c r="N13" s="915" t="s">
        <v>3993</v>
      </c>
      <c r="O13" s="1121" t="s">
        <v>3994</v>
      </c>
      <c r="P13" s="1109">
        <v>2996</v>
      </c>
      <c r="Q13" s="1203" t="s">
        <v>3463</v>
      </c>
      <c r="R13" s="1203" t="s">
        <v>3813</v>
      </c>
      <c r="S13" s="1203" t="s">
        <v>3319</v>
      </c>
      <c r="T13" s="916" t="s">
        <v>3307</v>
      </c>
      <c r="V13" s="84"/>
      <c r="W13" s="84"/>
      <c r="Y13" s="84"/>
      <c r="Z13" s="84"/>
    </row>
    <row r="14" spans="1:26" s="5" customFormat="1" ht="24.6" customHeight="1">
      <c r="B14" s="1467"/>
      <c r="C14" s="880" t="s">
        <v>292</v>
      </c>
      <c r="D14" s="265"/>
      <c r="E14" s="902"/>
      <c r="F14" s="1141" t="s">
        <v>3955</v>
      </c>
      <c r="G14" s="1164" t="s">
        <v>3930</v>
      </c>
      <c r="H14" s="882"/>
      <c r="I14" s="1094"/>
      <c r="J14" s="882"/>
      <c r="K14" s="1092"/>
      <c r="N14" s="915" t="s">
        <v>3986</v>
      </c>
      <c r="O14" s="1121" t="s">
        <v>3951</v>
      </c>
      <c r="P14" s="1109">
        <v>34000</v>
      </c>
      <c r="Q14" s="1203" t="s">
        <v>3462</v>
      </c>
      <c r="R14" s="1203" t="s">
        <v>3813</v>
      </c>
      <c r="S14" s="1203" t="s">
        <v>3813</v>
      </c>
      <c r="T14" s="916"/>
      <c r="V14" s="84"/>
      <c r="W14" s="84"/>
    </row>
    <row r="15" spans="1:26" ht="24.6" customHeight="1">
      <c r="A15" s="84"/>
      <c r="B15" s="1467"/>
      <c r="C15" s="880"/>
      <c r="D15" s="5"/>
      <c r="E15" s="902"/>
      <c r="F15" s="1062"/>
      <c r="G15" s="1163" t="s">
        <v>3960</v>
      </c>
      <c r="H15" s="1162" t="s">
        <v>3913</v>
      </c>
      <c r="I15" s="1162" t="s">
        <v>3913</v>
      </c>
      <c r="J15" s="1162" t="s">
        <v>3913</v>
      </c>
      <c r="K15" s="1092"/>
      <c r="L15" s="5"/>
      <c r="M15" s="5"/>
      <c r="N15" s="915" t="s">
        <v>3987</v>
      </c>
      <c r="O15" s="1121" t="s">
        <v>3952</v>
      </c>
      <c r="P15" s="1109">
        <v>34000</v>
      </c>
      <c r="Q15" s="1203" t="s">
        <v>3462</v>
      </c>
      <c r="R15" s="1203" t="s">
        <v>3813</v>
      </c>
      <c r="S15" s="1203" t="s">
        <v>3813</v>
      </c>
      <c r="T15" s="916"/>
      <c r="U15" s="882"/>
      <c r="X15" s="918"/>
      <c r="Z15" s="5"/>
    </row>
    <row r="16" spans="1:26" ht="24.6" customHeight="1">
      <c r="A16" s="84"/>
      <c r="B16" s="1467"/>
      <c r="C16" s="881" t="s">
        <v>228</v>
      </c>
      <c r="D16" s="265"/>
      <c r="E16" s="902"/>
      <c r="F16" s="1093"/>
      <c r="G16" s="1095"/>
      <c r="H16" s="882"/>
      <c r="I16" s="1095"/>
      <c r="J16" s="1094"/>
      <c r="K16" s="1092"/>
      <c r="L16" s="5"/>
      <c r="M16" s="5"/>
      <c r="N16" s="915" t="s">
        <v>3904</v>
      </c>
      <c r="O16" s="1142" t="s">
        <v>3905</v>
      </c>
      <c r="P16" s="1109">
        <v>20000</v>
      </c>
      <c r="Q16" s="1203" t="s">
        <v>3463</v>
      </c>
      <c r="R16" s="1203" t="s">
        <v>3813</v>
      </c>
      <c r="S16" s="1203" t="s">
        <v>3813</v>
      </c>
      <c r="T16" s="916" t="s">
        <v>3873</v>
      </c>
      <c r="V16" s="918"/>
      <c r="X16" s="918"/>
      <c r="Z16" s="5"/>
    </row>
    <row r="17" spans="1:25" ht="24.6" customHeight="1">
      <c r="A17" s="84"/>
      <c r="B17" s="875"/>
      <c r="C17" s="878"/>
      <c r="D17" s="265"/>
      <c r="E17" s="1096">
        <f>K11+1</f>
        <v>13</v>
      </c>
      <c r="F17" s="1097">
        <f t="shared" ref="F17:K17" si="1">E17+1</f>
        <v>14</v>
      </c>
      <c r="G17" s="1098">
        <f t="shared" si="1"/>
        <v>15</v>
      </c>
      <c r="H17" s="1099">
        <f t="shared" si="1"/>
        <v>16</v>
      </c>
      <c r="I17" s="1100">
        <f t="shared" si="1"/>
        <v>17</v>
      </c>
      <c r="J17" s="1100">
        <f t="shared" si="1"/>
        <v>18</v>
      </c>
      <c r="K17" s="1101">
        <f t="shared" si="1"/>
        <v>19</v>
      </c>
      <c r="L17" s="5"/>
      <c r="M17" s="5"/>
      <c r="N17" s="915" t="s">
        <v>3860</v>
      </c>
      <c r="O17" s="1121" t="s">
        <v>4296</v>
      </c>
      <c r="P17" s="1109">
        <v>2530</v>
      </c>
      <c r="Q17" s="1203" t="s">
        <v>3463</v>
      </c>
      <c r="R17" s="1203" t="s">
        <v>3813</v>
      </c>
      <c r="S17" s="1203" t="s">
        <v>3813</v>
      </c>
      <c r="T17" s="916"/>
      <c r="U17" s="1061"/>
      <c r="V17" s="918"/>
    </row>
    <row r="18" spans="1:25" ht="24.6" customHeight="1">
      <c r="A18" s="84"/>
      <c r="B18" s="1467" t="s">
        <v>287</v>
      </c>
      <c r="C18" s="879" t="s">
        <v>9</v>
      </c>
      <c r="D18" s="265"/>
      <c r="E18" s="909"/>
      <c r="F18" s="1712" t="s">
        <v>3973</v>
      </c>
      <c r="G18" s="1713"/>
      <c r="H18" s="892"/>
      <c r="I18" s="1712" t="s">
        <v>3976</v>
      </c>
      <c r="J18" s="1713"/>
      <c r="K18" s="1103"/>
      <c r="L18" s="5"/>
      <c r="M18" s="5"/>
      <c r="N18" s="915" t="s">
        <v>3861</v>
      </c>
      <c r="O18" s="1121" t="s">
        <v>3931</v>
      </c>
      <c r="P18" s="1109">
        <v>2499</v>
      </c>
      <c r="Q18" s="1203" t="s">
        <v>3463</v>
      </c>
      <c r="R18" s="1203" t="s">
        <v>3813</v>
      </c>
      <c r="S18" s="1203" t="s">
        <v>3813</v>
      </c>
      <c r="T18" s="882" t="s">
        <v>3934</v>
      </c>
      <c r="U18" s="5"/>
    </row>
    <row r="19" spans="1:25" ht="24.6" customHeight="1" thickBot="1">
      <c r="A19" s="84"/>
      <c r="B19" s="1467"/>
      <c r="C19" s="879"/>
      <c r="D19" s="265"/>
      <c r="E19" s="909"/>
      <c r="F19" s="1102"/>
      <c r="G19" s="1712" t="s">
        <v>3974</v>
      </c>
      <c r="H19" s="1713"/>
      <c r="I19" s="909"/>
      <c r="J19" s="1712" t="s">
        <v>3977</v>
      </c>
      <c r="K19" s="1713"/>
      <c r="L19" s="5"/>
      <c r="M19" s="5"/>
      <c r="N19" s="915" t="s">
        <v>3910</v>
      </c>
      <c r="O19" s="1142" t="s">
        <v>3911</v>
      </c>
      <c r="P19" s="1109">
        <v>2500</v>
      </c>
      <c r="Q19" s="1203" t="s">
        <v>3463</v>
      </c>
      <c r="R19" s="1203" t="s">
        <v>3813</v>
      </c>
      <c r="S19" s="1203" t="s">
        <v>3813</v>
      </c>
      <c r="T19" s="916"/>
      <c r="U19" s="5"/>
      <c r="V19" s="918"/>
      <c r="W19" s="918"/>
    </row>
    <row r="20" spans="1:25" ht="24.6" customHeight="1" thickBot="1">
      <c r="A20" s="84"/>
      <c r="B20" s="1467"/>
      <c r="C20" s="880" t="s">
        <v>292</v>
      </c>
      <c r="D20" s="265"/>
      <c r="E20" s="909"/>
      <c r="F20" s="1162" t="s">
        <v>3913</v>
      </c>
      <c r="G20" s="1162" t="s">
        <v>3913</v>
      </c>
      <c r="H20" s="1226"/>
      <c r="I20" s="1227" t="s">
        <v>3908</v>
      </c>
      <c r="J20" s="1165" t="s">
        <v>3903</v>
      </c>
      <c r="K20" s="909"/>
      <c r="L20" s="5"/>
      <c r="M20" s="5"/>
      <c r="N20" s="915" t="s">
        <v>3909</v>
      </c>
      <c r="O20" s="1142" t="s">
        <v>4214</v>
      </c>
      <c r="P20" s="1109">
        <v>2800</v>
      </c>
      <c r="Q20" s="1203" t="s">
        <v>3463</v>
      </c>
      <c r="R20" s="1203" t="s">
        <v>3813</v>
      </c>
      <c r="S20" s="1203" t="s">
        <v>3813</v>
      </c>
      <c r="T20" s="1127" t="s">
        <v>3929</v>
      </c>
      <c r="U20" s="5"/>
      <c r="V20" s="918"/>
      <c r="W20" s="918"/>
    </row>
    <row r="21" spans="1:25" ht="24.6" customHeight="1">
      <c r="A21" s="84"/>
      <c r="B21" s="1467"/>
      <c r="C21" s="880"/>
      <c r="D21" s="265"/>
      <c r="E21" s="909"/>
      <c r="F21" s="1102"/>
      <c r="G21" s="1102"/>
      <c r="H21" s="1141" t="s">
        <v>3975</v>
      </c>
      <c r="I21" s="1163" t="s">
        <v>3961</v>
      </c>
      <c r="J21" s="1163" t="s">
        <v>3906</v>
      </c>
      <c r="K21" s="909"/>
      <c r="L21" s="5"/>
      <c r="M21" s="5"/>
      <c r="N21" s="915" t="s">
        <v>3877</v>
      </c>
      <c r="O21" s="1142" t="s">
        <v>3878</v>
      </c>
      <c r="P21" s="1231">
        <v>1000</v>
      </c>
      <c r="Q21" s="1203" t="s">
        <v>3463</v>
      </c>
      <c r="R21" s="1203" t="s">
        <v>3813</v>
      </c>
      <c r="S21" s="1203" t="s">
        <v>3813</v>
      </c>
      <c r="T21" s="1129"/>
      <c r="U21" s="1127"/>
      <c r="V21" s="918"/>
      <c r="X21" s="918"/>
    </row>
    <row r="22" spans="1:25" ht="24" customHeight="1">
      <c r="A22" s="84"/>
      <c r="B22" s="1467"/>
      <c r="C22" s="881" t="s">
        <v>228</v>
      </c>
      <c r="D22" s="265"/>
      <c r="E22" s="909"/>
      <c r="F22" s="1102"/>
      <c r="G22" s="891"/>
      <c r="H22" s="892"/>
      <c r="I22" s="1102"/>
      <c r="J22" s="1062"/>
      <c r="K22" s="1103"/>
      <c r="L22" s="5"/>
      <c r="M22" s="5"/>
      <c r="N22" s="915" t="s">
        <v>3938</v>
      </c>
      <c r="O22" s="1121" t="s">
        <v>3939</v>
      </c>
      <c r="P22" s="917">
        <v>34000</v>
      </c>
      <c r="Q22" s="1203" t="s">
        <v>3462</v>
      </c>
      <c r="R22" s="1203" t="s">
        <v>3465</v>
      </c>
      <c r="S22" s="1203" t="s">
        <v>3465</v>
      </c>
      <c r="T22" s="1129"/>
      <c r="U22" s="1128"/>
      <c r="V22" s="918"/>
      <c r="X22" s="918"/>
    </row>
    <row r="23" spans="1:25" ht="24" customHeight="1">
      <c r="A23" s="1178"/>
      <c r="B23" s="875"/>
      <c r="C23" s="878"/>
      <c r="D23" s="265"/>
      <c r="E23" s="1091">
        <f>K17+1</f>
        <v>20</v>
      </c>
      <c r="F23" s="1074">
        <f t="shared" ref="F23:K23" si="2">E23+1</f>
        <v>21</v>
      </c>
      <c r="G23" s="1072">
        <f t="shared" si="2"/>
        <v>22</v>
      </c>
      <c r="H23" s="1074">
        <f t="shared" si="2"/>
        <v>23</v>
      </c>
      <c r="I23" s="1072">
        <f t="shared" si="2"/>
        <v>24</v>
      </c>
      <c r="J23" s="1072">
        <f t="shared" si="2"/>
        <v>25</v>
      </c>
      <c r="K23" s="1075">
        <f t="shared" si="2"/>
        <v>26</v>
      </c>
      <c r="L23" s="5"/>
      <c r="M23" s="5"/>
      <c r="N23" s="915" t="s">
        <v>3859</v>
      </c>
      <c r="O23" s="1121" t="s">
        <v>3767</v>
      </c>
      <c r="P23" s="1109">
        <v>34000</v>
      </c>
      <c r="Q23" s="1203" t="s">
        <v>3462</v>
      </c>
      <c r="R23" s="1203" t="s">
        <v>3465</v>
      </c>
      <c r="S23" s="1203" t="s">
        <v>3465</v>
      </c>
      <c r="T23" s="882"/>
    </row>
    <row r="24" spans="1:25" ht="24.6" customHeight="1">
      <c r="A24" s="84"/>
      <c r="B24" s="1467" t="s">
        <v>287</v>
      </c>
      <c r="C24" s="879" t="s">
        <v>9</v>
      </c>
      <c r="D24" s="265"/>
      <c r="E24" s="902"/>
      <c r="F24" s="1712" t="s">
        <v>3978</v>
      </c>
      <c r="G24" s="1713"/>
      <c r="H24" s="1093"/>
      <c r="I24" s="1712" t="s">
        <v>3979</v>
      </c>
      <c r="J24" s="1713"/>
      <c r="K24" s="1092"/>
      <c r="L24" s="5"/>
      <c r="M24" s="5"/>
      <c r="N24" s="915" t="s">
        <v>3863</v>
      </c>
      <c r="O24" s="1121" t="s">
        <v>3940</v>
      </c>
      <c r="P24" s="1109">
        <v>34000</v>
      </c>
      <c r="Q24" s="1203" t="s">
        <v>3462</v>
      </c>
      <c r="R24" s="1203" t="s">
        <v>3465</v>
      </c>
      <c r="S24" s="1203" t="s">
        <v>3465</v>
      </c>
      <c r="T24" s="1127"/>
      <c r="W24" s="1061"/>
      <c r="Y24" s="1061"/>
    </row>
    <row r="25" spans="1:25" ht="24.6" customHeight="1">
      <c r="A25" s="84"/>
      <c r="B25" s="1467"/>
      <c r="C25" s="879"/>
      <c r="D25" s="5"/>
      <c r="E25" s="902"/>
      <c r="F25" s="1062"/>
      <c r="G25" s="1747" t="s">
        <v>4153</v>
      </c>
      <c r="H25" s="1748"/>
      <c r="I25" s="1062"/>
      <c r="J25" s="1712" t="s">
        <v>4023</v>
      </c>
      <c r="K25" s="1713"/>
      <c r="L25" s="5"/>
      <c r="M25" s="926"/>
      <c r="N25" s="915" t="s">
        <v>3971</v>
      </c>
      <c r="O25" s="1142" t="s">
        <v>3970</v>
      </c>
      <c r="P25" s="917">
        <v>34000</v>
      </c>
      <c r="Q25" s="1203" t="s">
        <v>3462</v>
      </c>
      <c r="R25" s="1203" t="s">
        <v>3465</v>
      </c>
      <c r="S25" s="1203" t="s">
        <v>3465</v>
      </c>
      <c r="T25" s="916"/>
    </row>
    <row r="26" spans="1:25" ht="24.6" customHeight="1">
      <c r="A26" s="84"/>
      <c r="B26" s="1467"/>
      <c r="C26" s="880" t="s">
        <v>292</v>
      </c>
      <c r="D26" s="265"/>
      <c r="E26" s="902"/>
      <c r="F26" s="1749" t="s">
        <v>3954</v>
      </c>
      <c r="G26" s="1750"/>
      <c r="H26" s="1749" t="s">
        <v>3953</v>
      </c>
      <c r="I26" s="1750"/>
      <c r="J26" s="1228" t="s">
        <v>4020</v>
      </c>
      <c r="K26" s="1092"/>
      <c r="L26" s="5"/>
      <c r="M26" s="5"/>
      <c r="N26" s="915" t="s">
        <v>3866</v>
      </c>
      <c r="O26" s="1121" t="s">
        <v>3723</v>
      </c>
      <c r="P26" s="1109">
        <v>34000</v>
      </c>
      <c r="Q26" s="1203" t="s">
        <v>3462</v>
      </c>
      <c r="R26" s="1203" t="s">
        <v>3465</v>
      </c>
      <c r="S26" s="1203" t="s">
        <v>3465</v>
      </c>
      <c r="T26" s="916"/>
      <c r="X26" s="1061"/>
    </row>
    <row r="27" spans="1:25" ht="24.6" customHeight="1">
      <c r="A27" s="84"/>
      <c r="B27" s="1467"/>
      <c r="C27" s="880"/>
      <c r="D27" s="265"/>
      <c r="E27" s="902"/>
      <c r="F27" s="1062"/>
      <c r="G27" s="1751" t="s">
        <v>3845</v>
      </c>
      <c r="H27" s="1752"/>
      <c r="I27" s="1062"/>
      <c r="J27" s="1228" t="s">
        <v>4032</v>
      </c>
      <c r="K27" s="1092"/>
      <c r="L27" s="918"/>
      <c r="M27" s="918"/>
      <c r="N27" s="1062"/>
      <c r="O27" s="1062"/>
      <c r="P27" s="1232"/>
      <c r="Q27" s="1232"/>
      <c r="R27" s="1232"/>
      <c r="S27" s="1232"/>
      <c r="T27" s="1061"/>
    </row>
    <row r="28" spans="1:25" ht="24.6" customHeight="1">
      <c r="A28" s="84"/>
      <c r="B28" s="1467"/>
      <c r="C28" s="881" t="s">
        <v>228</v>
      </c>
      <c r="D28" s="265"/>
      <c r="E28" s="906"/>
      <c r="F28" s="1062"/>
      <c r="G28" s="1062"/>
      <c r="H28" s="1062"/>
      <c r="I28" s="1062"/>
      <c r="J28" s="1092"/>
      <c r="K28" s="1208"/>
      <c r="L28" s="918"/>
      <c r="M28" s="918"/>
    </row>
    <row r="29" spans="1:25" ht="24.6" customHeight="1">
      <c r="A29" s="84"/>
      <c r="B29" s="5"/>
      <c r="C29" s="930"/>
      <c r="D29" s="265"/>
      <c r="E29" s="1105">
        <f>K23+1</f>
        <v>27</v>
      </c>
      <c r="F29" s="1097">
        <f t="shared" ref="F29:H29" si="3">E29+1</f>
        <v>28</v>
      </c>
      <c r="G29" s="1099">
        <f t="shared" si="3"/>
        <v>29</v>
      </c>
      <c r="H29" s="1099">
        <f t="shared" si="3"/>
        <v>30</v>
      </c>
      <c r="I29" s="1205">
        <v>1</v>
      </c>
      <c r="J29" s="1205">
        <v>2</v>
      </c>
      <c r="K29" s="1064">
        <v>3</v>
      </c>
      <c r="L29" s="918"/>
      <c r="M29" s="918"/>
    </row>
    <row r="30" spans="1:25" ht="24.6" customHeight="1">
      <c r="A30" s="84"/>
      <c r="B30" s="1467" t="s">
        <v>287</v>
      </c>
      <c r="C30" s="879" t="s">
        <v>9</v>
      </c>
      <c r="D30" s="265"/>
      <c r="E30" s="909"/>
      <c r="F30" s="1712" t="s">
        <v>3981</v>
      </c>
      <c r="G30" s="1713"/>
      <c r="H30" s="909"/>
      <c r="I30" s="909"/>
      <c r="J30" s="909"/>
      <c r="K30" s="891"/>
      <c r="L30" s="918"/>
      <c r="W30" s="918"/>
      <c r="X30" s="918"/>
    </row>
    <row r="31" spans="1:25" ht="24.6" customHeight="1">
      <c r="A31" s="84"/>
      <c r="B31" s="1467"/>
      <c r="C31" s="879"/>
      <c r="D31" s="265"/>
      <c r="E31" s="909"/>
      <c r="F31" s="909"/>
      <c r="G31" s="1712" t="s">
        <v>4029</v>
      </c>
      <c r="H31" s="1713"/>
      <c r="I31" s="891"/>
      <c r="J31" s="909"/>
      <c r="K31" s="909"/>
      <c r="L31" s="918"/>
    </row>
    <row r="32" spans="1:25" ht="24.6" customHeight="1">
      <c r="A32" s="84"/>
      <c r="B32" s="1467"/>
      <c r="C32" s="880" t="s">
        <v>292</v>
      </c>
      <c r="D32" s="265"/>
      <c r="E32" s="909"/>
      <c r="F32" s="1126" t="s">
        <v>3964</v>
      </c>
      <c r="G32" s="1062"/>
      <c r="H32" s="1229" t="s">
        <v>4028</v>
      </c>
      <c r="I32" s="891"/>
      <c r="J32" s="909"/>
      <c r="K32" s="891"/>
      <c r="L32" s="918"/>
      <c r="M32" s="918"/>
    </row>
    <row r="33" spans="1:13" ht="24.6" customHeight="1">
      <c r="A33" s="1179">
        <v>45762</v>
      </c>
      <c r="B33" s="1467"/>
      <c r="C33" s="880"/>
      <c r="D33" s="265"/>
      <c r="E33" s="909"/>
      <c r="F33" s="909"/>
      <c r="G33" s="1230" t="s">
        <v>3972</v>
      </c>
      <c r="H33" s="1229" t="s">
        <v>4027</v>
      </c>
      <c r="I33" s="891"/>
      <c r="J33" s="909"/>
      <c r="K33" s="891"/>
      <c r="L33" s="918"/>
      <c r="M33" s="918"/>
    </row>
    <row r="34" spans="1:13" ht="24.6" customHeight="1">
      <c r="A34" s="84"/>
      <c r="B34" s="1467"/>
      <c r="C34" s="881" t="s">
        <v>228</v>
      </c>
      <c r="D34" s="5"/>
      <c r="E34" s="1135"/>
      <c r="F34" s="909"/>
      <c r="G34" s="909"/>
      <c r="H34" s="1223"/>
      <c r="I34" s="1135"/>
      <c r="J34" s="1135"/>
      <c r="K34" s="1211"/>
      <c r="L34" s="918"/>
      <c r="M34" s="918"/>
    </row>
    <row r="35" spans="1:13" ht="24.6" customHeight="1">
      <c r="A35" s="84"/>
      <c r="B35" s="1183"/>
      <c r="C35" s="862"/>
      <c r="D35" s="265"/>
      <c r="E35" s="5"/>
      <c r="F35" s="5"/>
      <c r="G35" s="5"/>
      <c r="I35" s="5"/>
      <c r="J35" s="5"/>
      <c r="K35" s="5"/>
      <c r="L35" s="918"/>
      <c r="M35" s="918"/>
    </row>
    <row r="36" spans="1:13" ht="24.6" customHeight="1">
      <c r="A36" s="84"/>
      <c r="B36" s="84"/>
      <c r="C36" s="962" t="s">
        <v>3744</v>
      </c>
      <c r="D36" s="84"/>
      <c r="E36" s="931" t="s">
        <v>3740</v>
      </c>
      <c r="F36" s="933" t="s">
        <v>3743</v>
      </c>
      <c r="G36" s="1185" t="s">
        <v>3768</v>
      </c>
      <c r="K36" s="5"/>
      <c r="L36" s="918"/>
      <c r="M36" s="918"/>
    </row>
    <row r="37" spans="1:13" ht="24.6" customHeight="1">
      <c r="A37" s="84"/>
      <c r="B37" s="5"/>
      <c r="D37" s="84"/>
      <c r="E37" s="932" t="s">
        <v>3741</v>
      </c>
      <c r="F37" s="1184" t="s">
        <v>3742</v>
      </c>
      <c r="G37" s="972" t="s">
        <v>336</v>
      </c>
      <c r="M37" s="918"/>
    </row>
    <row r="38" spans="1:13" ht="24.6" customHeight="1">
      <c r="A38" s="84"/>
      <c r="B38" s="5"/>
      <c r="C38" s="862"/>
      <c r="D38" s="265"/>
      <c r="M38" s="84"/>
    </row>
    <row r="39" spans="1:13" ht="24.6" customHeight="1">
      <c r="A39" s="84"/>
      <c r="B39" s="5"/>
      <c r="C39" s="862"/>
      <c r="D39" s="265"/>
      <c r="M39" s="84"/>
    </row>
    <row r="40" spans="1:13" ht="24.6" customHeight="1">
      <c r="A40" s="84"/>
      <c r="B40" s="5"/>
      <c r="C40" s="862"/>
      <c r="D40" s="265"/>
      <c r="L40" s="84"/>
      <c r="M40" s="84"/>
    </row>
    <row r="41" spans="1:13" ht="24.6" customHeight="1">
      <c r="A41" s="84"/>
      <c r="B41" s="5"/>
      <c r="C41" s="862"/>
      <c r="D41" s="265"/>
      <c r="L41" s="84"/>
      <c r="M41" s="84"/>
    </row>
    <row r="42" spans="1:13" ht="24.6" customHeight="1">
      <c r="A42" s="84"/>
      <c r="B42" s="5"/>
      <c r="C42" s="862"/>
      <c r="D42" s="265"/>
      <c r="L42" s="84"/>
      <c r="M42" s="84"/>
    </row>
    <row r="43" spans="1:13" ht="24.6" customHeight="1">
      <c r="A43" s="84"/>
      <c r="B43" s="5"/>
      <c r="C43" s="862"/>
      <c r="D43" s="265"/>
      <c r="L43" s="84"/>
      <c r="M43" s="84"/>
    </row>
    <row r="44" spans="1:13" ht="24.6" customHeight="1">
      <c r="A44" s="84"/>
      <c r="B44" s="1183"/>
      <c r="C44" s="862"/>
      <c r="D44" s="265"/>
      <c r="L44" s="84"/>
      <c r="M44" s="84"/>
    </row>
    <row r="564" spans="21:22">
      <c r="U564" s="1179">
        <v>45756</v>
      </c>
    </row>
    <row r="569" spans="21:22">
      <c r="V569" s="1181" t="s">
        <v>3962</v>
      </c>
    </row>
  </sheetData>
  <mergeCells count="31">
    <mergeCell ref="O2:P2"/>
    <mergeCell ref="Q2:R2"/>
    <mergeCell ref="E3:G3"/>
    <mergeCell ref="H3:K3"/>
    <mergeCell ref="O3:P3"/>
    <mergeCell ref="Q3:R3"/>
    <mergeCell ref="B6:B10"/>
    <mergeCell ref="F6:J6"/>
    <mergeCell ref="I8:J8"/>
    <mergeCell ref="G9:H9"/>
    <mergeCell ref="B12:B16"/>
    <mergeCell ref="F12:G12"/>
    <mergeCell ref="I12:J12"/>
    <mergeCell ref="G13:H13"/>
    <mergeCell ref="J13:K13"/>
    <mergeCell ref="B30:B34"/>
    <mergeCell ref="J25:K25"/>
    <mergeCell ref="F30:G30"/>
    <mergeCell ref="G31:H31"/>
    <mergeCell ref="B18:B22"/>
    <mergeCell ref="G19:H19"/>
    <mergeCell ref="F18:G18"/>
    <mergeCell ref="J19:K19"/>
    <mergeCell ref="B24:B28"/>
    <mergeCell ref="G25:H25"/>
    <mergeCell ref="F24:G24"/>
    <mergeCell ref="I24:J24"/>
    <mergeCell ref="F26:G26"/>
    <mergeCell ref="H26:I26"/>
    <mergeCell ref="G27:H27"/>
    <mergeCell ref="I18:J18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5">
    <pageSetUpPr fitToPage="1"/>
  </sheetPr>
  <dimension ref="A1:Z48"/>
  <sheetViews>
    <sheetView showGridLines="0" topLeftCell="E7" zoomScale="70" zoomScaleNormal="70" zoomScaleSheetLayoutView="70" workbookViewId="0">
      <selection activeCell="N9" sqref="N9:N11"/>
    </sheetView>
  </sheetViews>
  <sheetFormatPr defaultColWidth="8.88671875" defaultRowHeight="16.899999999999999" outlineLevelCol="1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customWidth="1" outlineLevel="1"/>
    <col min="15" max="15" width="17.77734375" style="90" customWidth="1" outlineLevel="1"/>
    <col min="16" max="16" width="9.21875" style="90" customWidth="1" outlineLevel="1"/>
    <col min="17" max="17" width="14.77734375" style="90" customWidth="1" outlineLevel="1"/>
    <col min="18" max="18" width="16.5546875" style="90" customWidth="1" outlineLevel="1"/>
    <col min="19" max="19" width="16" style="90" customWidth="1" outlineLevel="1"/>
    <col min="20" max="20" width="51.44140625" style="84" customWidth="1" outlineLevel="1"/>
    <col min="21" max="16384" width="8.88671875" style="84"/>
  </cols>
  <sheetData>
    <row r="1" spans="1:26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6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6" ht="57">
      <c r="A3" s="84"/>
      <c r="B3" s="84"/>
      <c r="C3" s="5"/>
      <c r="D3" s="5"/>
      <c r="E3" s="1759">
        <v>45778</v>
      </c>
      <c r="F3" s="1759"/>
      <c r="G3" s="1759"/>
      <c r="H3" s="1760" t="s">
        <v>10</v>
      </c>
      <c r="I3" s="1717"/>
      <c r="J3" s="1717"/>
      <c r="K3" s="1717"/>
      <c r="N3" s="989">
        <f>SUMIF($Q$8:$Q$25,"F",$P$8:$P$25)</f>
        <v>272000</v>
      </c>
      <c r="O3" s="1715">
        <f>SUMIF($Q$9:$Q$33,"S",$P$9:$P$33)</f>
        <v>74100</v>
      </c>
      <c r="P3" s="1715"/>
      <c r="Q3" s="1706">
        <f>N3+O3</f>
        <v>346100</v>
      </c>
      <c r="R3" s="1707"/>
    </row>
    <row r="4" spans="1:26" s="5" customFormat="1" ht="26.25" customHeight="1">
      <c r="E4" s="863" t="s">
        <v>0</v>
      </c>
      <c r="F4" s="864" t="s">
        <v>1</v>
      </c>
      <c r="G4" s="864" t="s">
        <v>2</v>
      </c>
      <c r="H4" s="864" t="s">
        <v>3</v>
      </c>
      <c r="I4" s="864" t="s">
        <v>4</v>
      </c>
      <c r="J4" s="864" t="s">
        <v>5</v>
      </c>
      <c r="K4" s="865" t="s">
        <v>6</v>
      </c>
      <c r="M4" s="90"/>
      <c r="P4" s="5">
        <f>T5</f>
        <v>0</v>
      </c>
      <c r="S4" s="90"/>
    </row>
    <row r="5" spans="1:26" s="5" customFormat="1" ht="24.6" customHeight="1">
      <c r="E5" s="886"/>
      <c r="F5" s="887"/>
      <c r="G5" s="887"/>
      <c r="H5" s="887"/>
      <c r="I5" s="1205">
        <f>H5+1</f>
        <v>1</v>
      </c>
      <c r="J5" s="1205">
        <f>I5+1</f>
        <v>2</v>
      </c>
      <c r="K5" s="1064">
        <f>J5+1</f>
        <v>3</v>
      </c>
      <c r="L5" s="90"/>
      <c r="M5" s="90"/>
      <c r="S5" s="90"/>
    </row>
    <row r="6" spans="1:26" s="5" customFormat="1" ht="24.6" customHeight="1">
      <c r="B6" s="1467" t="s">
        <v>287</v>
      </c>
      <c r="C6" s="879" t="s">
        <v>9</v>
      </c>
      <c r="D6" s="265"/>
      <c r="E6" s="890"/>
      <c r="F6" s="891"/>
      <c r="G6" s="891"/>
      <c r="H6" s="891"/>
      <c r="I6" s="1712" t="s">
        <v>4025</v>
      </c>
      <c r="J6" s="1713"/>
      <c r="K6" s="891"/>
      <c r="L6" s="90"/>
      <c r="M6" s="90"/>
      <c r="S6" s="90"/>
    </row>
    <row r="7" spans="1:26" s="5" customFormat="1" ht="24.6" customHeight="1">
      <c r="B7" s="1467"/>
      <c r="C7" s="879"/>
      <c r="D7" s="265"/>
      <c r="E7" s="890"/>
      <c r="F7" s="891"/>
      <c r="G7" s="891"/>
      <c r="H7" s="891"/>
      <c r="I7" s="891"/>
      <c r="J7" s="1712" t="s">
        <v>4047</v>
      </c>
      <c r="K7" s="1713"/>
      <c r="L7" s="90"/>
      <c r="M7" s="90"/>
      <c r="N7" s="683" t="s">
        <v>2916</v>
      </c>
      <c r="S7" s="90"/>
    </row>
    <row r="8" spans="1:26" s="5" customFormat="1" ht="24.6" customHeight="1">
      <c r="B8" s="1467"/>
      <c r="C8" s="880" t="s">
        <v>292</v>
      </c>
      <c r="D8" s="265"/>
      <c r="E8" s="890"/>
      <c r="F8" s="891"/>
      <c r="G8" s="891"/>
      <c r="H8" s="891"/>
      <c r="I8" s="1767" t="s">
        <v>4119</v>
      </c>
      <c r="J8" s="1768"/>
      <c r="K8" s="891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6" s="5" customFormat="1" ht="24.6" customHeight="1">
      <c r="B9" s="1467"/>
      <c r="C9" s="880"/>
      <c r="D9" s="265"/>
      <c r="E9" s="890"/>
      <c r="F9" s="891"/>
      <c r="G9" s="891"/>
      <c r="H9" s="891"/>
      <c r="I9" s="1182" t="s">
        <v>3958</v>
      </c>
      <c r="J9" s="891"/>
      <c r="K9" s="891"/>
      <c r="L9" s="90"/>
      <c r="M9" s="90"/>
      <c r="N9" s="1151" t="s">
        <v>4115</v>
      </c>
      <c r="O9" s="1204" t="s">
        <v>4003</v>
      </c>
      <c r="P9" s="1109">
        <v>34000</v>
      </c>
      <c r="Q9" s="1203" t="s">
        <v>3462</v>
      </c>
      <c r="R9" s="1187" t="s">
        <v>3813</v>
      </c>
      <c r="S9" s="1187" t="s">
        <v>3813</v>
      </c>
      <c r="T9" s="882"/>
      <c r="U9" s="1189"/>
    </row>
    <row r="10" spans="1:26" s="5" customFormat="1" ht="24.6" customHeight="1">
      <c r="B10" s="1467"/>
      <c r="C10" s="881" t="s">
        <v>228</v>
      </c>
      <c r="D10" s="265"/>
      <c r="E10" s="890"/>
      <c r="F10" s="891"/>
      <c r="G10" s="891"/>
      <c r="H10" s="891"/>
      <c r="I10" s="1206" t="s">
        <v>331</v>
      </c>
      <c r="J10" s="891"/>
      <c r="K10" s="891"/>
      <c r="L10" s="90"/>
      <c r="M10" s="90"/>
      <c r="N10" s="1151" t="s">
        <v>4116</v>
      </c>
      <c r="O10" s="1204" t="s">
        <v>4004</v>
      </c>
      <c r="P10" s="1109">
        <v>34000</v>
      </c>
      <c r="Q10" s="1203" t="s">
        <v>3462</v>
      </c>
      <c r="R10" s="1187" t="s">
        <v>3813</v>
      </c>
      <c r="S10" s="1187" t="s">
        <v>3813</v>
      </c>
      <c r="T10" s="882"/>
      <c r="U10" s="90"/>
    </row>
    <row r="11" spans="1:26" s="5" customFormat="1" ht="24.6" customHeight="1">
      <c r="B11" s="875"/>
      <c r="E11" s="1091">
        <f>K5+1</f>
        <v>4</v>
      </c>
      <c r="F11" s="900">
        <f t="shared" ref="F11:K11" si="0">E11+1</f>
        <v>5</v>
      </c>
      <c r="G11" s="899">
        <f t="shared" si="0"/>
        <v>6</v>
      </c>
      <c r="H11" s="900">
        <f t="shared" si="0"/>
        <v>7</v>
      </c>
      <c r="I11" s="899">
        <f t="shared" si="0"/>
        <v>8</v>
      </c>
      <c r="J11" s="899">
        <f t="shared" si="0"/>
        <v>9</v>
      </c>
      <c r="K11" s="1075">
        <f t="shared" si="0"/>
        <v>10</v>
      </c>
      <c r="L11" s="90"/>
      <c r="M11" s="90"/>
      <c r="N11" s="1151" t="s">
        <v>4113</v>
      </c>
      <c r="O11" s="1239" t="s">
        <v>3984</v>
      </c>
      <c r="P11" s="1109">
        <v>34000</v>
      </c>
      <c r="Q11" s="1238" t="s">
        <v>3462</v>
      </c>
      <c r="R11" s="1238" t="s">
        <v>3813</v>
      </c>
      <c r="S11" s="1238" t="s">
        <v>3813</v>
      </c>
      <c r="T11" s="882"/>
      <c r="U11" s="90"/>
    </row>
    <row r="12" spans="1:26" s="5" customFormat="1" ht="24.6" customHeight="1">
      <c r="B12" s="1467" t="s">
        <v>287</v>
      </c>
      <c r="C12" s="879" t="s">
        <v>9</v>
      </c>
      <c r="D12" s="265"/>
      <c r="E12" s="902"/>
      <c r="F12" s="882"/>
      <c r="G12" s="1092"/>
      <c r="H12" s="1712" t="s">
        <v>3990</v>
      </c>
      <c r="I12" s="1713"/>
      <c r="J12" s="1092"/>
      <c r="K12" s="1092"/>
      <c r="L12" s="90"/>
      <c r="M12" s="90"/>
      <c r="N12" s="1151" t="s">
        <v>3937</v>
      </c>
      <c r="O12" s="1204" t="s">
        <v>4043</v>
      </c>
      <c r="P12" s="917">
        <v>34000</v>
      </c>
      <c r="Q12" s="1203" t="s">
        <v>3462</v>
      </c>
      <c r="R12" s="1187" t="s">
        <v>3813</v>
      </c>
      <c r="S12" s="1187" t="s">
        <v>3813</v>
      </c>
      <c r="T12" s="916" t="s">
        <v>3933</v>
      </c>
      <c r="U12" s="1189"/>
      <c r="V12" s="918"/>
      <c r="W12" s="918"/>
      <c r="X12" s="918"/>
      <c r="Y12" s="918"/>
    </row>
    <row r="13" spans="1:26" s="5" customFormat="1" ht="24.6" customHeight="1">
      <c r="B13" s="1467"/>
      <c r="C13" s="879"/>
      <c r="D13" s="265"/>
      <c r="E13" s="902"/>
      <c r="F13" s="1093"/>
      <c r="G13" s="1092"/>
      <c r="H13" s="882"/>
      <c r="I13" s="1712" t="s">
        <v>4042</v>
      </c>
      <c r="J13" s="1713"/>
      <c r="K13" s="1092"/>
      <c r="L13" s="90"/>
      <c r="M13" s="90"/>
      <c r="N13" s="1151" t="s">
        <v>3864</v>
      </c>
      <c r="O13" s="1204" t="s">
        <v>3956</v>
      </c>
      <c r="P13" s="1109">
        <v>34000</v>
      </c>
      <c r="Q13" s="1203" t="s">
        <v>3462</v>
      </c>
      <c r="R13" s="1187" t="s">
        <v>3813</v>
      </c>
      <c r="S13" s="1187" t="s">
        <v>3813</v>
      </c>
      <c r="T13" s="882"/>
      <c r="U13" s="1189"/>
      <c r="V13" s="918"/>
      <c r="W13" s="918"/>
      <c r="X13" s="918"/>
    </row>
    <row r="14" spans="1:26" ht="24.6" customHeight="1">
      <c r="A14" s="84"/>
      <c r="B14" s="1467"/>
      <c r="C14" s="880" t="s">
        <v>292</v>
      </c>
      <c r="D14" s="265"/>
      <c r="E14" s="902"/>
      <c r="F14" s="1062"/>
      <c r="G14" s="1092"/>
      <c r="H14" s="1207" t="s">
        <v>4114</v>
      </c>
      <c r="I14" s="1102"/>
      <c r="J14" s="1180" t="s">
        <v>4036</v>
      </c>
      <c r="K14" s="1092"/>
      <c r="N14" s="1151" t="s">
        <v>4005</v>
      </c>
      <c r="O14" s="1204" t="s">
        <v>4006</v>
      </c>
      <c r="P14" s="1109">
        <v>34000</v>
      </c>
      <c r="Q14" s="1203" t="s">
        <v>3462</v>
      </c>
      <c r="R14" s="1187" t="s">
        <v>3813</v>
      </c>
      <c r="S14" s="1187" t="s">
        <v>3813</v>
      </c>
      <c r="T14" s="916"/>
      <c r="U14" s="1189"/>
      <c r="V14" s="918"/>
      <c r="W14" s="918"/>
      <c r="X14" s="918"/>
      <c r="Y14" s="918"/>
    </row>
    <row r="15" spans="1:26" ht="24.6" customHeight="1">
      <c r="A15" s="84"/>
      <c r="B15" s="1467"/>
      <c r="C15" s="880"/>
      <c r="D15" s="265"/>
      <c r="E15" s="902"/>
      <c r="F15" s="1093"/>
      <c r="G15" s="1092"/>
      <c r="H15" s="1062"/>
      <c r="I15" s="1182" t="s">
        <v>3957</v>
      </c>
      <c r="J15" s="1062"/>
      <c r="K15" s="1092"/>
      <c r="N15" s="1151" t="s">
        <v>3868</v>
      </c>
      <c r="O15" s="1204" t="s">
        <v>3959</v>
      </c>
      <c r="P15" s="1233">
        <v>10000</v>
      </c>
      <c r="Q15" s="1187" t="s">
        <v>3463</v>
      </c>
      <c r="R15" s="1187" t="s">
        <v>3813</v>
      </c>
      <c r="S15" s="1187" t="s">
        <v>3813</v>
      </c>
      <c r="T15" s="1234" t="s">
        <v>3865</v>
      </c>
      <c r="U15" s="1190"/>
      <c r="V15" s="5"/>
      <c r="W15" s="5"/>
      <c r="X15" s="5"/>
      <c r="Y15" s="918"/>
      <c r="Z15" s="5"/>
    </row>
    <row r="16" spans="1:26" ht="24.6" customHeight="1">
      <c r="A16" s="84"/>
      <c r="B16" s="1467"/>
      <c r="C16" s="881" t="s">
        <v>228</v>
      </c>
      <c r="D16" s="265"/>
      <c r="E16" s="902"/>
      <c r="F16" s="1206" t="s">
        <v>3769</v>
      </c>
      <c r="G16" s="1206" t="s">
        <v>3771</v>
      </c>
      <c r="H16" s="1062"/>
      <c r="I16" s="1062"/>
      <c r="J16" s="1062"/>
      <c r="K16" s="1092"/>
      <c r="N16" s="1151" t="s">
        <v>3875</v>
      </c>
      <c r="O16" s="1204" t="s">
        <v>3983</v>
      </c>
      <c r="P16" s="1233">
        <v>12000</v>
      </c>
      <c r="Q16" s="1187" t="s">
        <v>3463</v>
      </c>
      <c r="R16" s="1187" t="s">
        <v>3813</v>
      </c>
      <c r="S16" s="1187" t="s">
        <v>3813</v>
      </c>
      <c r="T16" s="1234" t="s">
        <v>3988</v>
      </c>
      <c r="U16" s="1190"/>
      <c r="V16" s="918"/>
      <c r="W16" s="918"/>
      <c r="X16" s="918"/>
      <c r="Y16" s="918"/>
    </row>
    <row r="17" spans="1:26" ht="24.6" customHeight="1">
      <c r="A17" s="84"/>
      <c r="B17" s="875"/>
      <c r="C17" s="5"/>
      <c r="D17" s="5"/>
      <c r="E17" s="1096">
        <f>K11+1</f>
        <v>11</v>
      </c>
      <c r="F17" s="1097">
        <f t="shared" ref="F17:K17" si="1">E17+1</f>
        <v>12</v>
      </c>
      <c r="G17" s="1098">
        <f t="shared" si="1"/>
        <v>13</v>
      </c>
      <c r="H17" s="1099">
        <f t="shared" si="1"/>
        <v>14</v>
      </c>
      <c r="I17" s="1100">
        <f t="shared" si="1"/>
        <v>15</v>
      </c>
      <c r="J17" s="1100">
        <f t="shared" si="1"/>
        <v>16</v>
      </c>
      <c r="K17" s="1101">
        <f t="shared" si="1"/>
        <v>17</v>
      </c>
      <c r="N17" s="1151" t="s">
        <v>4007</v>
      </c>
      <c r="O17" s="1204" t="s">
        <v>4329</v>
      </c>
      <c r="P17" s="1201">
        <v>2500</v>
      </c>
      <c r="Q17" s="897" t="s">
        <v>3463</v>
      </c>
      <c r="R17" s="1187" t="s">
        <v>3813</v>
      </c>
      <c r="S17" s="1187" t="s">
        <v>3813</v>
      </c>
      <c r="T17" s="916" t="s">
        <v>4055</v>
      </c>
      <c r="U17" s="90"/>
      <c r="W17" s="918"/>
      <c r="X17" s="918"/>
      <c r="Y17" s="918"/>
    </row>
    <row r="18" spans="1:26" ht="24.6" customHeight="1">
      <c r="A18" s="84"/>
      <c r="B18" s="1467" t="s">
        <v>287</v>
      </c>
      <c r="C18" s="879" t="s">
        <v>9</v>
      </c>
      <c r="D18" s="265"/>
      <c r="E18" s="909"/>
      <c r="F18" s="1712" t="s">
        <v>4026</v>
      </c>
      <c r="G18" s="1713"/>
      <c r="H18" s="892"/>
      <c r="I18" s="1712" t="s">
        <v>4053</v>
      </c>
      <c r="J18" s="1713"/>
      <c r="K18" s="1103"/>
      <c r="N18" s="1151" t="s">
        <v>4008</v>
      </c>
      <c r="O18" s="1204" t="s">
        <v>3966</v>
      </c>
      <c r="P18" s="1109">
        <v>6000</v>
      </c>
      <c r="Q18" s="1203" t="s">
        <v>3463</v>
      </c>
      <c r="R18" s="1187" t="s">
        <v>3813</v>
      </c>
      <c r="S18" s="1187" t="s">
        <v>3813</v>
      </c>
      <c r="T18" s="916"/>
      <c r="U18" s="1189"/>
      <c r="V18" s="918"/>
      <c r="W18" s="918"/>
      <c r="X18" s="918"/>
      <c r="Y18" s="5"/>
      <c r="Z18" s="5"/>
    </row>
    <row r="19" spans="1:26" ht="24" customHeight="1">
      <c r="A19" s="84"/>
      <c r="B19" s="1467"/>
      <c r="C19" s="879"/>
      <c r="D19" s="265"/>
      <c r="E19" s="909"/>
      <c r="F19" s="1102"/>
      <c r="G19" s="1712" t="s">
        <v>4044</v>
      </c>
      <c r="H19" s="1713"/>
      <c r="I19" s="1102"/>
      <c r="J19" s="1712" t="s">
        <v>4033</v>
      </c>
      <c r="K19" s="1713"/>
      <c r="N19" s="1151" t="s">
        <v>4009</v>
      </c>
      <c r="O19" s="1204" t="s">
        <v>4190</v>
      </c>
      <c r="P19" s="1201">
        <v>9600</v>
      </c>
      <c r="Q19" s="897" t="s">
        <v>3463</v>
      </c>
      <c r="R19" s="1187" t="s">
        <v>3813</v>
      </c>
      <c r="S19" s="1187" t="s">
        <v>3813</v>
      </c>
      <c r="T19" s="916"/>
      <c r="U19" s="1189"/>
      <c r="X19" s="918"/>
      <c r="Y19" s="918"/>
    </row>
    <row r="20" spans="1:26" ht="24" customHeight="1">
      <c r="A20" s="84"/>
      <c r="B20" s="1467"/>
      <c r="C20" s="880" t="s">
        <v>292</v>
      </c>
      <c r="D20" s="265"/>
      <c r="E20" s="909"/>
      <c r="F20" s="1182" t="s">
        <v>4024</v>
      </c>
      <c r="G20" s="1765" t="s">
        <v>3995</v>
      </c>
      <c r="H20" s="1766"/>
      <c r="I20" s="1103"/>
      <c r="J20" s="1235" t="s">
        <v>4123</v>
      </c>
      <c r="K20" s="1103"/>
      <c r="N20" s="1151" t="s">
        <v>3968</v>
      </c>
      <c r="O20" s="1204" t="s">
        <v>3985</v>
      </c>
      <c r="P20" s="917">
        <v>34000</v>
      </c>
      <c r="Q20" s="1203" t="s">
        <v>3462</v>
      </c>
      <c r="R20" s="1203" t="s">
        <v>3465</v>
      </c>
      <c r="S20" s="1203" t="s">
        <v>3465</v>
      </c>
      <c r="T20" s="1061"/>
      <c r="W20" s="5"/>
      <c r="X20" s="5"/>
      <c r="Y20" s="5"/>
      <c r="Z20" s="5"/>
    </row>
    <row r="21" spans="1:26" ht="24.6" customHeight="1">
      <c r="A21" s="84"/>
      <c r="B21" s="1467"/>
      <c r="C21" s="880"/>
      <c r="D21" s="265"/>
      <c r="E21" s="909"/>
      <c r="F21" s="1765" t="s">
        <v>4059</v>
      </c>
      <c r="G21" s="1766"/>
      <c r="H21" s="1102"/>
      <c r="I21" s="1216" t="s">
        <v>4002</v>
      </c>
      <c r="J21" s="1103"/>
      <c r="K21" s="1103"/>
      <c r="N21" s="1151" t="s">
        <v>3862</v>
      </c>
      <c r="O21" s="1204" t="s">
        <v>4019</v>
      </c>
      <c r="P21" s="917">
        <v>34000</v>
      </c>
      <c r="Q21" s="1203" t="s">
        <v>3462</v>
      </c>
      <c r="R21" s="1203" t="s">
        <v>3465</v>
      </c>
      <c r="S21" s="1203" t="s">
        <v>3465</v>
      </c>
      <c r="T21" s="882"/>
      <c r="U21" s="1189"/>
      <c r="V21" s="918"/>
      <c r="W21" s="918"/>
      <c r="X21" s="918"/>
      <c r="Y21" s="918"/>
    </row>
    <row r="22" spans="1:26" ht="24.6" customHeight="1">
      <c r="A22" s="84"/>
      <c r="B22" s="1467"/>
      <c r="C22" s="881" t="s">
        <v>228</v>
      </c>
      <c r="D22" s="265"/>
      <c r="E22" s="909"/>
      <c r="F22" s="1103"/>
      <c r="G22" s="1102"/>
      <c r="H22" s="1102"/>
      <c r="I22" s="1103"/>
      <c r="J22" s="1102"/>
      <c r="K22" s="1103"/>
      <c r="M22" s="84"/>
      <c r="N22" s="1151" t="s">
        <v>4063</v>
      </c>
      <c r="O22" s="1239" t="s">
        <v>4064</v>
      </c>
      <c r="P22" s="1109">
        <v>34000</v>
      </c>
      <c r="Q22" s="1238" t="s">
        <v>3463</v>
      </c>
      <c r="R22" s="1238" t="s">
        <v>3465</v>
      </c>
      <c r="S22" s="1238" t="s">
        <v>3465</v>
      </c>
      <c r="T22" s="916" t="s">
        <v>3969</v>
      </c>
      <c r="U22" s="1189"/>
      <c r="V22" s="918"/>
      <c r="W22" s="918"/>
      <c r="X22" s="918"/>
      <c r="Y22" s="918"/>
    </row>
    <row r="23" spans="1:26" ht="24.6" customHeight="1">
      <c r="A23" s="84"/>
      <c r="B23" s="875"/>
      <c r="C23" s="5"/>
      <c r="D23" s="5"/>
      <c r="E23" s="1091">
        <f>K17+1</f>
        <v>18</v>
      </c>
      <c r="F23" s="1074">
        <f t="shared" ref="F23:K23" si="2">E23+1</f>
        <v>19</v>
      </c>
      <c r="G23" s="1072">
        <f t="shared" si="2"/>
        <v>20</v>
      </c>
      <c r="H23" s="1074">
        <f t="shared" si="2"/>
        <v>21</v>
      </c>
      <c r="I23" s="1072">
        <f>H23+1</f>
        <v>22</v>
      </c>
      <c r="J23" s="1072">
        <f t="shared" si="2"/>
        <v>23</v>
      </c>
      <c r="K23" s="1075">
        <f t="shared" si="2"/>
        <v>24</v>
      </c>
      <c r="M23" s="84"/>
      <c r="Y23" s="918"/>
    </row>
    <row r="24" spans="1:26" ht="24.6" customHeight="1">
      <c r="A24" s="84"/>
      <c r="B24" s="1467" t="s">
        <v>287</v>
      </c>
      <c r="C24" s="879" t="s">
        <v>9</v>
      </c>
      <c r="D24" s="265"/>
      <c r="E24" s="902"/>
      <c r="F24" s="1712" t="s">
        <v>4068</v>
      </c>
      <c r="G24" s="1713"/>
      <c r="H24" s="1093"/>
      <c r="I24" s="1712" t="s">
        <v>4162</v>
      </c>
      <c r="J24" s="1713"/>
      <c r="K24" s="1092"/>
      <c r="L24" s="84"/>
      <c r="N24" s="882" t="s">
        <v>3844</v>
      </c>
      <c r="U24" s="916"/>
      <c r="V24" s="918"/>
      <c r="W24" s="918"/>
      <c r="X24" s="918"/>
      <c r="Y24" s="918"/>
    </row>
    <row r="25" spans="1:26" ht="24.6" customHeight="1">
      <c r="A25" s="84"/>
      <c r="B25" s="1467"/>
      <c r="C25" s="879"/>
      <c r="D25" s="265"/>
      <c r="E25" s="902"/>
      <c r="F25" s="1093"/>
      <c r="G25" s="1712" t="s">
        <v>4161</v>
      </c>
      <c r="H25" s="1713"/>
      <c r="I25" s="1094"/>
      <c r="J25" s="1712" t="s">
        <v>4318</v>
      </c>
      <c r="K25" s="1713"/>
      <c r="L25" s="84"/>
      <c r="O25" s="5"/>
      <c r="P25" s="5"/>
      <c r="Q25" s="5"/>
      <c r="R25" s="5"/>
      <c r="S25" s="5"/>
      <c r="T25" s="918"/>
      <c r="V25" s="918"/>
      <c r="W25" s="918"/>
      <c r="X25" s="918"/>
      <c r="Y25" s="918"/>
    </row>
    <row r="26" spans="1:26" ht="24.6" customHeight="1">
      <c r="A26" s="84"/>
      <c r="B26" s="1467"/>
      <c r="C26" s="880" t="s">
        <v>292</v>
      </c>
      <c r="D26" s="265"/>
      <c r="E26" s="902"/>
      <c r="F26" s="1182" t="s">
        <v>3965</v>
      </c>
      <c r="I26" s="1235" t="s">
        <v>4118</v>
      </c>
      <c r="K26" s="902"/>
      <c r="L26" s="84"/>
      <c r="M26" s="84"/>
      <c r="W26" s="918"/>
      <c r="X26" s="918"/>
      <c r="Y26" s="918"/>
    </row>
    <row r="27" spans="1:26" ht="24.6" customHeight="1">
      <c r="A27" s="84"/>
      <c r="B27" s="1467"/>
      <c r="C27" s="880"/>
      <c r="D27" s="265"/>
      <c r="E27" s="902"/>
      <c r="G27" s="1764" t="s">
        <v>4117</v>
      </c>
      <c r="H27" s="1764"/>
      <c r="J27" s="1220" t="s">
        <v>4017</v>
      </c>
      <c r="K27" s="902"/>
      <c r="L27" s="84"/>
      <c r="M27" s="84"/>
      <c r="U27" s="918"/>
      <c r="V27" s="918"/>
      <c r="W27" s="918"/>
      <c r="X27" s="918"/>
      <c r="Y27" s="918"/>
    </row>
    <row r="28" spans="1:26" ht="24.6" customHeight="1">
      <c r="A28" s="84"/>
      <c r="B28" s="1467"/>
      <c r="C28" s="881" t="s">
        <v>228</v>
      </c>
      <c r="D28" s="265"/>
      <c r="E28" s="906"/>
      <c r="F28" s="906"/>
      <c r="G28" s="906"/>
      <c r="H28" s="906"/>
      <c r="I28" s="906"/>
      <c r="J28" s="906"/>
      <c r="K28" s="1208"/>
      <c r="L28" s="84"/>
      <c r="M28" s="84"/>
      <c r="U28" s="918"/>
      <c r="V28" s="918"/>
      <c r="W28" s="918"/>
      <c r="X28" s="918"/>
      <c r="Y28" s="918"/>
    </row>
    <row r="29" spans="1:26" ht="24.6" customHeight="1">
      <c r="A29" s="84"/>
      <c r="B29" s="5"/>
      <c r="C29" s="269"/>
      <c r="D29" s="265"/>
      <c r="E29" s="1105">
        <f>K23+1</f>
        <v>25</v>
      </c>
      <c r="F29" s="1106">
        <f t="shared" ref="F29:K29" si="3">E29+1</f>
        <v>26</v>
      </c>
      <c r="G29" s="1098">
        <f t="shared" si="3"/>
        <v>27</v>
      </c>
      <c r="H29" s="1209">
        <f t="shared" si="3"/>
        <v>28</v>
      </c>
      <c r="I29" s="1081">
        <f t="shared" si="3"/>
        <v>29</v>
      </c>
      <c r="J29" s="1081">
        <f t="shared" si="3"/>
        <v>30</v>
      </c>
      <c r="K29" s="1103">
        <f t="shared" si="3"/>
        <v>31</v>
      </c>
      <c r="L29" s="84"/>
      <c r="M29" s="84"/>
      <c r="U29" s="918"/>
      <c r="V29" s="918"/>
      <c r="W29" s="918"/>
      <c r="X29" s="918"/>
      <c r="Y29" s="918"/>
    </row>
    <row r="30" spans="1:26" ht="24.6" customHeight="1">
      <c r="A30" s="84"/>
      <c r="B30" s="1467" t="s">
        <v>287</v>
      </c>
      <c r="C30" s="879" t="s">
        <v>9</v>
      </c>
      <c r="D30" s="265"/>
      <c r="E30" s="909"/>
      <c r="F30" s="1712" t="s">
        <v>4316</v>
      </c>
      <c r="G30" s="1713"/>
      <c r="H30" s="892"/>
      <c r="I30" s="1712" t="s">
        <v>4321</v>
      </c>
      <c r="J30" s="1713"/>
      <c r="K30" s="1103"/>
      <c r="L30" s="84"/>
      <c r="M30" s="84"/>
    </row>
    <row r="31" spans="1:26" ht="24.6" customHeight="1">
      <c r="A31" s="84"/>
      <c r="B31" s="1467"/>
      <c r="C31" s="879"/>
      <c r="D31" s="265"/>
      <c r="E31" s="909"/>
      <c r="F31" s="1102"/>
      <c r="G31" s="1712" t="s">
        <v>4317</v>
      </c>
      <c r="H31" s="1713"/>
      <c r="I31" s="909"/>
      <c r="J31" s="1712" t="s">
        <v>4322</v>
      </c>
      <c r="K31" s="1713"/>
      <c r="L31" s="84"/>
      <c r="M31" s="84"/>
      <c r="Q31" s="969"/>
      <c r="R31" s="967"/>
      <c r="S31" s="1143"/>
      <c r="T31" s="970"/>
    </row>
    <row r="32" spans="1:26" ht="24.6" customHeight="1">
      <c r="A32" s="84"/>
      <c r="B32" s="1467"/>
      <c r="C32" s="880" t="s">
        <v>292</v>
      </c>
      <c r="D32" s="265"/>
      <c r="E32" s="909"/>
      <c r="F32" s="1724" t="s">
        <v>3932</v>
      </c>
      <c r="G32" s="1725"/>
      <c r="H32" s="1725"/>
      <c r="I32" s="1725"/>
      <c r="J32" s="1725"/>
      <c r="K32" s="909"/>
      <c r="L32" s="84"/>
      <c r="M32" s="84"/>
      <c r="U32" s="5"/>
      <c r="V32" s="5"/>
      <c r="W32" s="5"/>
      <c r="X32" s="5"/>
      <c r="Y32" s="5"/>
    </row>
    <row r="33" spans="1:13" ht="24.6" customHeight="1">
      <c r="A33" s="84"/>
      <c r="B33" s="1467"/>
      <c r="C33" s="880"/>
      <c r="D33" s="265"/>
      <c r="E33" s="909"/>
      <c r="F33" s="909"/>
      <c r="G33" s="909"/>
      <c r="H33" s="909"/>
      <c r="I33" s="909"/>
      <c r="J33" s="909"/>
      <c r="K33" s="909"/>
      <c r="L33" s="84"/>
      <c r="M33" s="84"/>
    </row>
    <row r="34" spans="1:13" ht="24.6" customHeight="1">
      <c r="A34" s="84"/>
      <c r="B34" s="1467"/>
      <c r="C34" s="881" t="s">
        <v>228</v>
      </c>
      <c r="D34" s="265"/>
      <c r="E34" s="1135"/>
      <c r="F34" s="1210"/>
      <c r="G34" s="1135"/>
      <c r="H34" s="1135"/>
      <c r="I34" s="1135"/>
      <c r="J34" s="1135"/>
      <c r="K34" s="1211"/>
      <c r="L34" s="84"/>
      <c r="M34" s="84"/>
    </row>
    <row r="35" spans="1:13" ht="24.6" customHeight="1">
      <c r="A35" s="84"/>
      <c r="B35" s="5"/>
      <c r="L35" s="84"/>
      <c r="M35" s="84"/>
    </row>
    <row r="36" spans="1:13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199" t="s">
        <v>3768</v>
      </c>
      <c r="L36" s="84"/>
      <c r="M36" s="84"/>
    </row>
    <row r="37" spans="1:13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</row>
    <row r="38" spans="1:13" ht="24.6" customHeight="1">
      <c r="A38" s="84"/>
      <c r="B38" s="5"/>
      <c r="L38" s="84"/>
      <c r="M38" s="84"/>
    </row>
    <row r="39" spans="1:13" ht="24.6" customHeight="1">
      <c r="A39" s="84"/>
      <c r="B39" s="1198"/>
    </row>
    <row r="40" spans="1:13" ht="24.6" customHeight="1">
      <c r="A40" s="84"/>
      <c r="B40" s="84"/>
      <c r="L40" s="84"/>
      <c r="M40" s="84"/>
    </row>
    <row r="41" spans="1:13" ht="24.6" customHeight="1">
      <c r="A41" s="84"/>
      <c r="B41" s="5"/>
      <c r="L41" s="84"/>
      <c r="M41" s="84"/>
    </row>
    <row r="42" spans="1:13" ht="24.6" customHeight="1">
      <c r="A42" s="84"/>
      <c r="B42" s="5"/>
      <c r="L42" s="84"/>
      <c r="M42" s="84"/>
    </row>
    <row r="43" spans="1:13" ht="24.6" customHeight="1">
      <c r="A43" s="84"/>
      <c r="B43" s="5"/>
      <c r="L43" s="84"/>
      <c r="M43" s="84"/>
    </row>
    <row r="44" spans="1:13" ht="24.6" customHeight="1">
      <c r="A44" s="84"/>
      <c r="B44" s="5"/>
      <c r="L44" s="84"/>
      <c r="M44" s="84"/>
    </row>
    <row r="45" spans="1:13" ht="24.6" customHeight="1">
      <c r="A45" s="84"/>
      <c r="B45" s="5"/>
      <c r="L45" s="84"/>
      <c r="M45" s="84"/>
    </row>
    <row r="46" spans="1:13" ht="24.6" customHeight="1">
      <c r="A46" s="84"/>
      <c r="B46" s="5"/>
      <c r="L46" s="84"/>
      <c r="M46" s="84"/>
    </row>
    <row r="47" spans="1:13" ht="24.6" customHeight="1">
      <c r="A47" s="84"/>
      <c r="B47" s="5"/>
      <c r="L47" s="84"/>
      <c r="M47" s="84"/>
    </row>
    <row r="48" spans="1:13" ht="24.6" customHeight="1">
      <c r="A48" s="84"/>
      <c r="B48" s="1198"/>
      <c r="L48" s="84"/>
      <c r="M48" s="84"/>
    </row>
  </sheetData>
  <mergeCells count="32">
    <mergeCell ref="O2:P2"/>
    <mergeCell ref="Q2:R2"/>
    <mergeCell ref="E3:G3"/>
    <mergeCell ref="H3:K3"/>
    <mergeCell ref="O3:P3"/>
    <mergeCell ref="Q3:R3"/>
    <mergeCell ref="I6:J6"/>
    <mergeCell ref="J7:K7"/>
    <mergeCell ref="I8:J8"/>
    <mergeCell ref="B12:B16"/>
    <mergeCell ref="H12:I12"/>
    <mergeCell ref="I13:J13"/>
    <mergeCell ref="B18:B22"/>
    <mergeCell ref="F18:G18"/>
    <mergeCell ref="B24:B28"/>
    <mergeCell ref="F24:G24"/>
    <mergeCell ref="B6:B10"/>
    <mergeCell ref="I18:J18"/>
    <mergeCell ref="G19:H19"/>
    <mergeCell ref="J19:K19"/>
    <mergeCell ref="F21:G21"/>
    <mergeCell ref="G20:H20"/>
    <mergeCell ref="I24:J24"/>
    <mergeCell ref="G25:H25"/>
    <mergeCell ref="J25:K25"/>
    <mergeCell ref="B30:B34"/>
    <mergeCell ref="F30:G30"/>
    <mergeCell ref="I30:J30"/>
    <mergeCell ref="G31:H31"/>
    <mergeCell ref="J31:K31"/>
    <mergeCell ref="F32:J32"/>
    <mergeCell ref="G27:H27"/>
  </mergeCells>
  <phoneticPr fontId="6" type="noConversion"/>
  <pageMargins left="0.7" right="0.7" top="0.75" bottom="0.75" header="0.3" footer="0.3"/>
  <pageSetup paperSize="9" scale="28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X1248"/>
  <sheetViews>
    <sheetView showGridLines="0" topLeftCell="G1" zoomScale="70" zoomScaleNormal="70" zoomScaleSheetLayoutView="55" workbookViewId="0">
      <selection activeCell="N9" sqref="N9:N13"/>
    </sheetView>
  </sheetViews>
  <sheetFormatPr defaultColWidth="8.88671875" defaultRowHeight="16.899999999999999" outlineLevelCol="1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customWidth="1" outlineLevel="1"/>
    <col min="15" max="15" width="17.77734375" style="90" customWidth="1" outlineLevel="1"/>
    <col min="16" max="16" width="10.44140625" style="90" customWidth="1" outlineLevel="1"/>
    <col min="17" max="17" width="14.77734375" style="90" customWidth="1" outlineLevel="1"/>
    <col min="18" max="18" width="16.5546875" style="90" customWidth="1" outlineLevel="1"/>
    <col min="19" max="19" width="15.77734375" style="90" customWidth="1" outlineLevel="1"/>
    <col min="20" max="20" width="15.77734375" style="84" customWidth="1" outlineLevel="1"/>
    <col min="21" max="21" width="8.88671875" style="84" customWidth="1" outlineLevel="1"/>
    <col min="22" max="16384" width="8.88671875" style="84"/>
  </cols>
  <sheetData>
    <row r="1" spans="1:26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6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6" ht="57">
      <c r="A3" s="84"/>
      <c r="B3" s="84"/>
      <c r="C3" s="5"/>
      <c r="D3" s="5"/>
      <c r="E3" s="1759">
        <v>45809</v>
      </c>
      <c r="F3" s="1759"/>
      <c r="G3" s="1759"/>
      <c r="H3" s="1760" t="s">
        <v>10</v>
      </c>
      <c r="I3" s="1717"/>
      <c r="J3" s="1717"/>
      <c r="K3" s="1717"/>
      <c r="N3" s="989">
        <f>SUMIF($Q$8:$Q$25,"F",$P$8:$P$25)</f>
        <v>204000</v>
      </c>
      <c r="O3" s="1715">
        <f>SUMIF($Q$9:$Q$30,"S",$P$9:$P$30)</f>
        <v>166201</v>
      </c>
      <c r="P3" s="1715"/>
      <c r="Q3" s="1706">
        <f>N3+O3</f>
        <v>370201</v>
      </c>
      <c r="R3" s="1707"/>
    </row>
    <row r="4" spans="1:26" s="5" customFormat="1" ht="26.25" customHeight="1">
      <c r="E4" s="863" t="s">
        <v>0</v>
      </c>
      <c r="F4" s="864" t="s">
        <v>1</v>
      </c>
      <c r="G4" s="864" t="s">
        <v>2</v>
      </c>
      <c r="H4" s="864" t="s">
        <v>3</v>
      </c>
      <c r="I4" s="864" t="s">
        <v>4</v>
      </c>
      <c r="J4" s="864" t="s">
        <v>5</v>
      </c>
      <c r="K4" s="865" t="s">
        <v>6</v>
      </c>
      <c r="M4" s="90"/>
      <c r="N4" s="264"/>
      <c r="S4" s="90"/>
    </row>
    <row r="5" spans="1:26" s="5" customFormat="1" ht="24.6" customHeight="1">
      <c r="E5" s="886">
        <v>1</v>
      </c>
      <c r="F5" s="1205">
        <f t="shared" ref="F5:K5" si="0">E5+1</f>
        <v>2</v>
      </c>
      <c r="G5" s="1205">
        <f t="shared" si="0"/>
        <v>3</v>
      </c>
      <c r="H5" s="1205">
        <f t="shared" si="0"/>
        <v>4</v>
      </c>
      <c r="I5" s="1205">
        <f t="shared" si="0"/>
        <v>5</v>
      </c>
      <c r="J5" s="1205">
        <f t="shared" si="0"/>
        <v>6</v>
      </c>
      <c r="K5" s="1212">
        <f t="shared" si="0"/>
        <v>7</v>
      </c>
      <c r="L5" s="90"/>
      <c r="P5" s="1236"/>
      <c r="S5" s="90"/>
    </row>
    <row r="6" spans="1:26" s="5" customFormat="1" ht="24.6" customHeight="1">
      <c r="B6" s="1467" t="s">
        <v>287</v>
      </c>
      <c r="C6" s="879" t="s">
        <v>9</v>
      </c>
      <c r="D6" s="265"/>
      <c r="E6" s="890"/>
      <c r="F6" s="1712" t="s">
        <v>4315</v>
      </c>
      <c r="G6" s="1713"/>
      <c r="H6" s="1098"/>
      <c r="I6" s="1090"/>
      <c r="J6" s="1098"/>
      <c r="K6" s="1213"/>
      <c r="L6" s="90"/>
      <c r="M6" s="90"/>
    </row>
    <row r="7" spans="1:26" s="5" customFormat="1" ht="24.6" customHeight="1">
      <c r="B7" s="1467"/>
      <c r="C7" s="879"/>
      <c r="D7" s="265"/>
      <c r="E7" s="890"/>
      <c r="F7" s="890"/>
      <c r="G7" s="890"/>
      <c r="H7" s="1712" t="s">
        <v>4319</v>
      </c>
      <c r="I7" s="1713"/>
      <c r="J7" s="891"/>
      <c r="K7" s="1213"/>
      <c r="L7" s="90"/>
      <c r="M7" s="90"/>
      <c r="N7" s="683" t="s">
        <v>2916</v>
      </c>
      <c r="S7" s="90"/>
    </row>
    <row r="8" spans="1:26" s="5" customFormat="1" ht="24.6" customHeight="1">
      <c r="B8" s="1467"/>
      <c r="C8" s="880" t="s">
        <v>292</v>
      </c>
      <c r="D8" s="265"/>
      <c r="E8" s="890"/>
      <c r="F8" s="891"/>
      <c r="G8" s="891"/>
      <c r="H8" s="891"/>
      <c r="I8" s="1182" t="s">
        <v>4130</v>
      </c>
      <c r="J8" s="891"/>
      <c r="K8" s="1213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6" s="5" customFormat="1" ht="24.6" customHeight="1">
      <c r="B9" s="1467"/>
      <c r="C9" s="880"/>
      <c r="D9" s="265"/>
      <c r="E9" s="890"/>
      <c r="F9" s="891"/>
      <c r="G9" s="891"/>
      <c r="H9" s="891"/>
      <c r="I9" s="1182" t="s">
        <v>4037</v>
      </c>
      <c r="J9" s="891"/>
      <c r="K9" s="1213"/>
      <c r="L9" s="90"/>
      <c r="M9" s="90"/>
      <c r="N9" s="1151" t="s">
        <v>4112</v>
      </c>
      <c r="O9" s="1252" t="s">
        <v>4191</v>
      </c>
      <c r="P9" s="1109">
        <v>34000</v>
      </c>
      <c r="Q9" s="1251" t="s">
        <v>3462</v>
      </c>
      <c r="R9" s="1187" t="s">
        <v>3813</v>
      </c>
      <c r="S9" s="1187" t="s">
        <v>3813</v>
      </c>
      <c r="T9" s="882" t="s">
        <v>4058</v>
      </c>
      <c r="U9" s="84"/>
      <c r="V9" s="916"/>
      <c r="W9" s="1167"/>
      <c r="X9" s="1167"/>
      <c r="Y9" s="84"/>
      <c r="Z9" s="84"/>
    </row>
    <row r="10" spans="1:26" s="5" customFormat="1" ht="24.6" customHeight="1">
      <c r="B10" s="1467"/>
      <c r="C10" s="881" t="s">
        <v>228</v>
      </c>
      <c r="D10" s="265"/>
      <c r="E10" s="890"/>
      <c r="F10" s="891"/>
      <c r="G10" s="1206" t="s">
        <v>3963</v>
      </c>
      <c r="H10" s="891"/>
      <c r="I10" s="891"/>
      <c r="J10" s="1206" t="s">
        <v>91</v>
      </c>
      <c r="K10" s="1213"/>
      <c r="L10" s="90"/>
      <c r="M10" s="90"/>
      <c r="N10" s="1151" t="s">
        <v>3858</v>
      </c>
      <c r="O10" s="1252" t="s">
        <v>4192</v>
      </c>
      <c r="P10" s="1109">
        <v>34000</v>
      </c>
      <c r="Q10" s="1251" t="s">
        <v>3463</v>
      </c>
      <c r="R10" s="1251" t="s">
        <v>3813</v>
      </c>
      <c r="S10" s="1251" t="s">
        <v>3813</v>
      </c>
      <c r="T10" s="916" t="s">
        <v>4149</v>
      </c>
      <c r="U10" s="916"/>
      <c r="V10" s="916"/>
      <c r="W10" s="1167"/>
      <c r="X10" s="1167"/>
      <c r="Y10" s="84"/>
      <c r="Z10" s="84"/>
    </row>
    <row r="11" spans="1:26" ht="24.6" customHeight="1">
      <c r="A11" s="84"/>
      <c r="B11" s="875"/>
      <c r="C11" s="5"/>
      <c r="D11" s="5"/>
      <c r="E11" s="1091">
        <f>K5+1</f>
        <v>8</v>
      </c>
      <c r="F11" s="900">
        <f t="shared" ref="F11:K11" si="1">E11+1</f>
        <v>9</v>
      </c>
      <c r="G11" s="899">
        <f t="shared" si="1"/>
        <v>10</v>
      </c>
      <c r="H11" s="900">
        <f t="shared" si="1"/>
        <v>11</v>
      </c>
      <c r="I11" s="899">
        <f t="shared" si="1"/>
        <v>12</v>
      </c>
      <c r="J11" s="899">
        <f t="shared" si="1"/>
        <v>13</v>
      </c>
      <c r="K11" s="1215">
        <f t="shared" si="1"/>
        <v>14</v>
      </c>
      <c r="N11" s="1151" t="s">
        <v>3869</v>
      </c>
      <c r="O11" s="1252" t="s">
        <v>4193</v>
      </c>
      <c r="P11" s="1109">
        <v>34000</v>
      </c>
      <c r="Q11" s="1251" t="s">
        <v>3462</v>
      </c>
      <c r="R11" s="1251" t="s">
        <v>3813</v>
      </c>
      <c r="S11" s="1251" t="s">
        <v>3813</v>
      </c>
      <c r="T11" s="916"/>
      <c r="U11" s="916"/>
      <c r="V11" s="916"/>
      <c r="W11" s="1167"/>
      <c r="X11" s="1167"/>
    </row>
    <row r="12" spans="1:26" ht="24.6" customHeight="1">
      <c r="A12" s="84"/>
      <c r="B12" s="1467" t="s">
        <v>287</v>
      </c>
      <c r="C12" s="879" t="s">
        <v>9</v>
      </c>
      <c r="D12" s="265"/>
      <c r="E12" s="902"/>
      <c r="F12" s="1712" t="s">
        <v>4102</v>
      </c>
      <c r="G12" s="1713"/>
      <c r="H12" s="1093"/>
      <c r="I12" s="1094"/>
      <c r="J12" s="1712" t="s">
        <v>4104</v>
      </c>
      <c r="K12" s="1769"/>
      <c r="N12" s="1151" t="s">
        <v>4074</v>
      </c>
      <c r="O12" s="1252" t="s">
        <v>4075</v>
      </c>
      <c r="P12" s="1109">
        <v>34000</v>
      </c>
      <c r="Q12" s="1251" t="s">
        <v>3462</v>
      </c>
      <c r="R12" s="1251" t="s">
        <v>3813</v>
      </c>
      <c r="S12" s="1251" t="s">
        <v>3813</v>
      </c>
      <c r="T12" s="916"/>
      <c r="U12" s="916"/>
      <c r="V12" s="916"/>
      <c r="W12" s="1167"/>
      <c r="X12" s="1167"/>
    </row>
    <row r="13" spans="1:26" ht="24.6" customHeight="1">
      <c r="A13" s="84"/>
      <c r="B13" s="1467"/>
      <c r="C13" s="879"/>
      <c r="D13" s="265"/>
      <c r="E13" s="902"/>
      <c r="H13" s="1712" t="s">
        <v>4103</v>
      </c>
      <c r="I13" s="1713"/>
      <c r="J13" s="1066"/>
      <c r="K13" s="1217"/>
      <c r="N13" s="1151" t="s">
        <v>4078</v>
      </c>
      <c r="O13" s="1252" t="s">
        <v>4079</v>
      </c>
      <c r="P13" s="1109">
        <v>34000</v>
      </c>
      <c r="Q13" s="1251" t="s">
        <v>3462</v>
      </c>
      <c r="R13" s="1251" t="s">
        <v>3813</v>
      </c>
      <c r="S13" s="1264" t="s">
        <v>3813</v>
      </c>
      <c r="T13" s="916" t="s">
        <v>4157</v>
      </c>
      <c r="U13" s="916"/>
      <c r="V13" s="916"/>
      <c r="W13" s="1167"/>
      <c r="X13" s="1167"/>
    </row>
    <row r="14" spans="1:26" ht="24.6" customHeight="1">
      <c r="A14" s="84"/>
      <c r="B14" s="1467"/>
      <c r="C14" s="880" t="s">
        <v>292</v>
      </c>
      <c r="D14" s="265"/>
      <c r="E14" s="902"/>
      <c r="F14" s="1182" t="s">
        <v>4060</v>
      </c>
      <c r="G14" s="1765" t="s">
        <v>4142</v>
      </c>
      <c r="H14" s="1772"/>
      <c r="I14" s="1220" t="s">
        <v>4148</v>
      </c>
      <c r="J14" s="1220" t="s">
        <v>4049</v>
      </c>
      <c r="K14" s="1217"/>
      <c r="N14" s="1151" t="s">
        <v>4000</v>
      </c>
      <c r="O14" s="1252" t="s">
        <v>4080</v>
      </c>
      <c r="P14" s="1109">
        <v>6000</v>
      </c>
      <c r="Q14" s="1251" t="s">
        <v>3463</v>
      </c>
      <c r="R14" s="1251" t="s">
        <v>3813</v>
      </c>
      <c r="S14" s="1264" t="s">
        <v>3813</v>
      </c>
      <c r="T14" s="916"/>
      <c r="U14" s="916"/>
      <c r="V14" s="916"/>
      <c r="W14" s="1167"/>
      <c r="X14" s="1167"/>
    </row>
    <row r="15" spans="1:26" ht="24.6" customHeight="1">
      <c r="A15" s="84"/>
      <c r="B15" s="1467"/>
      <c r="C15" s="880"/>
      <c r="D15" s="265"/>
      <c r="E15" s="902"/>
      <c r="F15" s="1182" t="s">
        <v>4037</v>
      </c>
      <c r="I15" s="1220" t="s">
        <v>4147</v>
      </c>
      <c r="K15" s="1217"/>
      <c r="N15" s="1151" t="s">
        <v>4081</v>
      </c>
      <c r="O15" s="1252" t="s">
        <v>4082</v>
      </c>
      <c r="P15" s="1109">
        <v>12000</v>
      </c>
      <c r="Q15" s="1251" t="s">
        <v>3463</v>
      </c>
      <c r="R15" s="1251" t="s">
        <v>3813</v>
      </c>
      <c r="S15" s="1264" t="s">
        <v>3813</v>
      </c>
      <c r="T15" s="916"/>
      <c r="U15" s="916"/>
      <c r="V15" s="916"/>
      <c r="W15" s="1167"/>
      <c r="X15" s="1167"/>
    </row>
    <row r="16" spans="1:26" ht="24.6" customHeight="1">
      <c r="A16" s="84"/>
      <c r="B16" s="1467"/>
      <c r="C16" s="881" t="s">
        <v>228</v>
      </c>
      <c r="D16" s="265"/>
      <c r="E16" s="902"/>
      <c r="K16" s="1217"/>
      <c r="N16" s="1151" t="s">
        <v>4083</v>
      </c>
      <c r="O16" s="1252" t="s">
        <v>4084</v>
      </c>
      <c r="P16" s="1109">
        <v>34000</v>
      </c>
      <c r="Q16" s="1251" t="s">
        <v>3462</v>
      </c>
      <c r="R16" s="1251" t="s">
        <v>3813</v>
      </c>
      <c r="S16" s="1259" t="s">
        <v>3813</v>
      </c>
      <c r="T16" s="916"/>
      <c r="U16" s="916"/>
      <c r="V16" s="916"/>
      <c r="W16" s="1167"/>
      <c r="X16" s="1167"/>
    </row>
    <row r="17" spans="1:24" ht="24.6" customHeight="1">
      <c r="A17" s="84"/>
      <c r="B17" s="875"/>
      <c r="C17" s="5"/>
      <c r="D17" s="5"/>
      <c r="E17" s="1096">
        <f>K11+1</f>
        <v>15</v>
      </c>
      <c r="F17" s="1097">
        <f t="shared" ref="F17:K17" si="2">E17+1</f>
        <v>16</v>
      </c>
      <c r="G17" s="1099">
        <f t="shared" si="2"/>
        <v>17</v>
      </c>
      <c r="H17" s="1099">
        <f t="shared" si="2"/>
        <v>18</v>
      </c>
      <c r="I17" s="1100">
        <f t="shared" si="2"/>
        <v>19</v>
      </c>
      <c r="J17" s="1100">
        <f t="shared" si="2"/>
        <v>20</v>
      </c>
      <c r="K17" s="1218">
        <f t="shared" si="2"/>
        <v>21</v>
      </c>
      <c r="M17" s="203"/>
      <c r="N17" s="1151" t="s">
        <v>4085</v>
      </c>
      <c r="O17" s="1252" t="s">
        <v>4048</v>
      </c>
      <c r="P17" s="1109">
        <v>28800</v>
      </c>
      <c r="Q17" s="1251" t="s">
        <v>3463</v>
      </c>
      <c r="R17" s="1251" t="s">
        <v>3813</v>
      </c>
      <c r="S17" s="1257" t="s">
        <v>3813</v>
      </c>
      <c r="T17" s="916"/>
      <c r="U17" s="916"/>
      <c r="V17" s="916"/>
      <c r="W17" s="1167"/>
    </row>
    <row r="18" spans="1:24" ht="24.6" customHeight="1">
      <c r="A18" s="84"/>
      <c r="B18" s="1467" t="s">
        <v>287</v>
      </c>
      <c r="C18" s="879" t="s">
        <v>9</v>
      </c>
      <c r="D18" s="265"/>
      <c r="E18" s="909"/>
      <c r="F18" s="1773" t="s">
        <v>4208</v>
      </c>
      <c r="G18" s="1774"/>
      <c r="H18" s="892"/>
      <c r="I18" s="1712" t="s">
        <v>4144</v>
      </c>
      <c r="J18" s="1713"/>
      <c r="K18" s="1219"/>
      <c r="M18" s="203"/>
      <c r="N18" s="1151" t="s">
        <v>4086</v>
      </c>
      <c r="O18" s="1252" t="s">
        <v>4330</v>
      </c>
      <c r="P18" s="1109">
        <v>22073</v>
      </c>
      <c r="Q18" s="1251" t="s">
        <v>3463</v>
      </c>
      <c r="R18" s="1251" t="s">
        <v>3813</v>
      </c>
      <c r="S18" s="1257" t="s">
        <v>3813</v>
      </c>
      <c r="T18" s="882" t="s">
        <v>4122</v>
      </c>
      <c r="U18" s="916"/>
      <c r="V18" s="916"/>
      <c r="W18" s="1167"/>
      <c r="X18" s="1167"/>
    </row>
    <row r="19" spans="1:24" ht="24.6" customHeight="1">
      <c r="A19" s="84"/>
      <c r="B19" s="1467"/>
      <c r="C19" s="879"/>
      <c r="D19" s="265"/>
      <c r="E19" s="909"/>
      <c r="F19" s="909"/>
      <c r="G19" s="1712" t="s">
        <v>4125</v>
      </c>
      <c r="H19" s="1769"/>
      <c r="I19" s="909"/>
      <c r="J19" s="1712" t="s">
        <v>4320</v>
      </c>
      <c r="K19" s="1713"/>
      <c r="L19" s="84"/>
      <c r="M19" s="203"/>
      <c r="N19" s="1151" t="s">
        <v>3942</v>
      </c>
      <c r="O19" s="1252" t="s">
        <v>4035</v>
      </c>
      <c r="P19" s="1109">
        <v>2335</v>
      </c>
      <c r="Q19" s="1251" t="s">
        <v>3463</v>
      </c>
      <c r="R19" s="1251" t="s">
        <v>3813</v>
      </c>
      <c r="S19" s="1251" t="s">
        <v>3813</v>
      </c>
      <c r="T19" s="1127" t="s">
        <v>3943</v>
      </c>
      <c r="U19" s="916"/>
      <c r="V19" s="916"/>
      <c r="W19" s="1167"/>
      <c r="X19" s="1167"/>
    </row>
    <row r="20" spans="1:24" ht="24.6" customHeight="1">
      <c r="A20" s="84"/>
      <c r="B20" s="1467"/>
      <c r="C20" s="880" t="s">
        <v>292</v>
      </c>
      <c r="D20" s="265"/>
      <c r="E20" s="909"/>
      <c r="F20" s="1182" t="s">
        <v>4128</v>
      </c>
      <c r="G20" s="909"/>
      <c r="H20" s="909"/>
      <c r="I20" s="1214" t="s">
        <v>4018</v>
      </c>
      <c r="J20" s="1220" t="s">
        <v>4143</v>
      </c>
      <c r="K20" s="1219"/>
      <c r="L20" s="84"/>
      <c r="M20" s="84"/>
      <c r="N20" s="1151" t="s">
        <v>4061</v>
      </c>
      <c r="O20" s="1252" t="s">
        <v>4197</v>
      </c>
      <c r="P20" s="1109">
        <v>10000</v>
      </c>
      <c r="Q20" s="1251" t="s">
        <v>3463</v>
      </c>
      <c r="R20" s="1251" t="s">
        <v>3813</v>
      </c>
      <c r="S20" s="1257" t="s">
        <v>3813</v>
      </c>
      <c r="T20" s="916" t="s">
        <v>4164</v>
      </c>
      <c r="U20" s="916"/>
      <c r="V20" s="916"/>
      <c r="X20" s="1167"/>
    </row>
    <row r="21" spans="1:24" ht="24.6" customHeight="1">
      <c r="A21" s="84"/>
      <c r="B21" s="1467"/>
      <c r="C21" s="880"/>
      <c r="D21" s="265"/>
      <c r="E21" s="909"/>
      <c r="F21" s="909"/>
      <c r="G21" s="1770" t="s">
        <v>4500</v>
      </c>
      <c r="H21" s="1771"/>
      <c r="I21" s="909"/>
      <c r="J21" s="1216" t="s">
        <v>4111</v>
      </c>
      <c r="K21" s="1219"/>
      <c r="L21" s="84"/>
      <c r="M21" s="84"/>
      <c r="N21" s="1151" t="s">
        <v>4062</v>
      </c>
      <c r="O21" s="1252" t="s">
        <v>4198</v>
      </c>
      <c r="P21" s="1109">
        <v>7200</v>
      </c>
      <c r="Q21" s="1251" t="s">
        <v>3463</v>
      </c>
      <c r="R21" s="1251" t="s">
        <v>3319</v>
      </c>
      <c r="S21" s="1251" t="s">
        <v>3813</v>
      </c>
      <c r="T21" s="916" t="s">
        <v>4041</v>
      </c>
      <c r="U21" s="916"/>
      <c r="V21" s="916"/>
      <c r="W21" s="1167"/>
      <c r="X21" s="1167"/>
    </row>
    <row r="22" spans="1:24" ht="24.6" customHeight="1">
      <c r="A22" s="84"/>
      <c r="B22" s="1467"/>
      <c r="C22" s="881" t="s">
        <v>228</v>
      </c>
      <c r="D22" s="265"/>
      <c r="E22" s="909"/>
      <c r="F22" s="909"/>
      <c r="G22" s="909"/>
      <c r="H22" s="909"/>
      <c r="I22" s="909"/>
      <c r="J22" s="909"/>
      <c r="K22" s="1219"/>
      <c r="L22" s="84"/>
      <c r="M22" s="84"/>
      <c r="N22" s="1151" t="s">
        <v>3989</v>
      </c>
      <c r="O22" s="1252" t="s">
        <v>4140</v>
      </c>
      <c r="P22" s="917">
        <v>3515</v>
      </c>
      <c r="Q22" s="897" t="s">
        <v>3463</v>
      </c>
      <c r="R22" s="1251" t="s">
        <v>3813</v>
      </c>
      <c r="S22" s="1251" t="s">
        <v>3813</v>
      </c>
      <c r="T22" s="916" t="s">
        <v>3996</v>
      </c>
      <c r="U22" s="916"/>
      <c r="V22" s="916"/>
      <c r="W22" s="1167"/>
      <c r="X22" s="1167"/>
    </row>
    <row r="23" spans="1:24" ht="24.6" customHeight="1">
      <c r="A23" s="84"/>
      <c r="B23" s="875"/>
      <c r="C23" s="5"/>
      <c r="D23" s="5"/>
      <c r="E23" s="1091">
        <f>K17+1</f>
        <v>22</v>
      </c>
      <c r="F23" s="1074">
        <f t="shared" ref="F23:K23" si="3">E23+1</f>
        <v>23</v>
      </c>
      <c r="G23" s="1072">
        <f t="shared" si="3"/>
        <v>24</v>
      </c>
      <c r="H23" s="1074">
        <f t="shared" si="3"/>
        <v>25</v>
      </c>
      <c r="I23" s="1072">
        <f t="shared" si="3"/>
        <v>26</v>
      </c>
      <c r="J23" s="1072">
        <f t="shared" si="3"/>
        <v>27</v>
      </c>
      <c r="K23" s="1215">
        <f t="shared" si="3"/>
        <v>28</v>
      </c>
      <c r="L23" s="84"/>
      <c r="M23" s="84"/>
      <c r="N23" s="1151" t="s">
        <v>3989</v>
      </c>
      <c r="O23" s="1252" t="s">
        <v>4141</v>
      </c>
      <c r="P23" s="1109">
        <v>34278</v>
      </c>
      <c r="Q23" s="897" t="s">
        <v>3463</v>
      </c>
      <c r="R23" s="1187" t="s">
        <v>3813</v>
      </c>
      <c r="S23" s="1187" t="s">
        <v>3813</v>
      </c>
      <c r="T23" s="916" t="s">
        <v>3996</v>
      </c>
      <c r="V23" s="916"/>
      <c r="W23" s="1167"/>
      <c r="X23" s="1167"/>
    </row>
    <row r="24" spans="1:24" ht="24.6" customHeight="1">
      <c r="A24" s="84"/>
      <c r="B24" s="1467" t="s">
        <v>287</v>
      </c>
      <c r="C24" s="879" t="s">
        <v>9</v>
      </c>
      <c r="D24" s="265"/>
      <c r="E24" s="902"/>
      <c r="F24" s="1773" t="s">
        <v>4169</v>
      </c>
      <c r="G24" s="1775"/>
      <c r="H24" s="1093"/>
      <c r="I24" s="1773" t="s">
        <v>4152</v>
      </c>
      <c r="J24" s="1775"/>
      <c r="K24" s="1217"/>
      <c r="L24" s="84"/>
      <c r="M24" s="84"/>
      <c r="N24" s="1151" t="s">
        <v>4008</v>
      </c>
      <c r="O24" s="1252" t="s">
        <v>4067</v>
      </c>
      <c r="P24" s="1240">
        <v>6000</v>
      </c>
      <c r="Q24" s="1109" t="s">
        <v>3463</v>
      </c>
      <c r="R24" s="1251" t="s">
        <v>3813</v>
      </c>
      <c r="S24" s="1251" t="s">
        <v>3813</v>
      </c>
      <c r="T24" s="1251"/>
      <c r="V24" s="916"/>
      <c r="W24" s="1167"/>
      <c r="X24" s="1167"/>
    </row>
    <row r="25" spans="1:24" ht="24.6" customHeight="1">
      <c r="A25" s="84"/>
      <c r="B25" s="1467"/>
      <c r="C25" s="879"/>
      <c r="D25" s="265"/>
      <c r="E25" s="902"/>
      <c r="F25" s="1066"/>
      <c r="G25" s="1712" t="s">
        <v>4154</v>
      </c>
      <c r="H25" s="1713"/>
      <c r="I25" s="1094"/>
      <c r="J25" s="1773" t="s">
        <v>4146</v>
      </c>
      <c r="K25" s="1775"/>
      <c r="L25" s="84"/>
      <c r="M25" s="84"/>
      <c r="N25" s="1151" t="s">
        <v>4065</v>
      </c>
      <c r="O25" s="1252" t="s">
        <v>4066</v>
      </c>
      <c r="P25" s="1201">
        <v>34000</v>
      </c>
      <c r="Q25" s="1202" t="s">
        <v>3462</v>
      </c>
      <c r="R25" s="1251" t="s">
        <v>3465</v>
      </c>
      <c r="S25" s="1251" t="s">
        <v>3465</v>
      </c>
      <c r="U25" s="916"/>
      <c r="X25" s="1167"/>
    </row>
    <row r="26" spans="1:24" ht="24.6" customHeight="1">
      <c r="A26" s="84"/>
      <c r="B26" s="1467"/>
      <c r="C26" s="880" t="s">
        <v>292</v>
      </c>
      <c r="D26" s="265"/>
      <c r="E26" s="902"/>
      <c r="F26" s="1765" t="s">
        <v>4170</v>
      </c>
      <c r="G26" s="1766"/>
      <c r="H26" s="1220" t="s">
        <v>4010</v>
      </c>
      <c r="J26" s="1265" t="s">
        <v>4034</v>
      </c>
      <c r="K26" s="1262"/>
      <c r="L26" s="84"/>
      <c r="M26" s="84"/>
      <c r="N26" s="882" t="s">
        <v>3844</v>
      </c>
      <c r="W26" s="1200"/>
      <c r="X26" s="1167"/>
    </row>
    <row r="27" spans="1:24" ht="24.6" customHeight="1">
      <c r="A27" s="84"/>
      <c r="B27" s="1467"/>
      <c r="C27" s="880"/>
      <c r="D27" s="265"/>
      <c r="E27" s="902"/>
      <c r="G27" s="1765" t="s">
        <v>4183</v>
      </c>
      <c r="H27" s="1766"/>
      <c r="I27" s="1216" t="s">
        <v>4038</v>
      </c>
      <c r="K27" s="1261"/>
      <c r="L27" s="84"/>
      <c r="M27" s="84"/>
    </row>
    <row r="28" spans="1:24" ht="24" customHeight="1">
      <c r="A28" s="84"/>
      <c r="B28" s="1467"/>
      <c r="C28" s="881" t="s">
        <v>228</v>
      </c>
      <c r="D28" s="265"/>
      <c r="E28" s="906"/>
      <c r="F28" s="906"/>
      <c r="G28" s="906"/>
      <c r="H28" s="906"/>
      <c r="I28" s="906"/>
      <c r="J28" s="906"/>
      <c r="K28" s="906"/>
      <c r="L28" s="84"/>
      <c r="M28" s="84"/>
      <c r="O28" s="882"/>
      <c r="P28" s="882"/>
      <c r="Q28" s="882"/>
      <c r="R28" s="882"/>
      <c r="S28" s="882"/>
      <c r="T28" s="916"/>
      <c r="U28" s="916"/>
      <c r="V28" s="916"/>
      <c r="W28" s="918"/>
    </row>
    <row r="29" spans="1:24" ht="24.6" customHeight="1">
      <c r="A29" s="84"/>
      <c r="B29" s="5"/>
      <c r="C29" s="269"/>
      <c r="D29" s="265"/>
      <c r="E29" s="1105">
        <f>K23+1</f>
        <v>29</v>
      </c>
      <c r="F29" s="1106">
        <f>E29+1</f>
        <v>30</v>
      </c>
      <c r="G29" s="1221"/>
      <c r="H29" s="1100"/>
      <c r="I29" s="1100"/>
      <c r="J29" s="1100"/>
      <c r="K29" s="1219"/>
      <c r="L29" s="84"/>
      <c r="M29" s="84"/>
    </row>
    <row r="30" spans="1:24" ht="24.6" customHeight="1">
      <c r="A30" s="84"/>
      <c r="B30" s="1467" t="s">
        <v>287</v>
      </c>
      <c r="C30" s="879" t="s">
        <v>9</v>
      </c>
      <c r="D30" s="265"/>
      <c r="E30" s="909"/>
      <c r="F30" s="1773" t="s">
        <v>4483</v>
      </c>
      <c r="G30" s="1775"/>
      <c r="H30" s="909"/>
      <c r="I30" s="909"/>
      <c r="J30" s="909"/>
      <c r="K30" s="1219"/>
      <c r="L30" s="84"/>
      <c r="M30" s="84"/>
      <c r="O30" s="882"/>
      <c r="P30" s="882"/>
      <c r="Q30" s="882"/>
      <c r="R30" s="882"/>
      <c r="S30" s="882"/>
      <c r="T30" s="916"/>
      <c r="U30" s="916"/>
      <c r="V30" s="916"/>
    </row>
    <row r="31" spans="1:24" ht="24.6" customHeight="1">
      <c r="A31" s="84"/>
      <c r="B31" s="1467"/>
      <c r="C31" s="879"/>
      <c r="D31" s="265"/>
      <c r="E31" s="909"/>
      <c r="F31" s="1102"/>
      <c r="G31" s="891"/>
      <c r="H31" s="892"/>
      <c r="I31" s="909"/>
      <c r="J31" s="909"/>
      <c r="K31" s="1219"/>
      <c r="L31" s="84"/>
    </row>
    <row r="32" spans="1:24" ht="24.6" customHeight="1">
      <c r="A32" s="84"/>
      <c r="B32" s="1467"/>
      <c r="C32" s="880" t="s">
        <v>292</v>
      </c>
      <c r="D32" s="265"/>
      <c r="E32" s="909"/>
      <c r="F32" s="1216" t="s">
        <v>4156</v>
      </c>
      <c r="G32" s="892"/>
      <c r="H32" s="892"/>
      <c r="I32" s="909"/>
      <c r="J32" s="909"/>
      <c r="K32" s="1219"/>
      <c r="L32" s="84"/>
      <c r="M32" s="84"/>
    </row>
    <row r="33" spans="1:19" ht="24.6" customHeight="1">
      <c r="A33" s="84"/>
      <c r="B33" s="1467"/>
      <c r="C33" s="880"/>
      <c r="D33" s="265"/>
      <c r="E33" s="909"/>
      <c r="F33" s="892"/>
      <c r="G33" s="891"/>
      <c r="H33" s="892"/>
      <c r="I33" s="909"/>
      <c r="J33" s="909"/>
      <c r="K33" s="1219"/>
      <c r="L33" s="84"/>
      <c r="M33" s="84"/>
    </row>
    <row r="34" spans="1:19" ht="24.6" customHeight="1">
      <c r="A34" s="84"/>
      <c r="B34" s="1467"/>
      <c r="C34" s="881" t="s">
        <v>228</v>
      </c>
      <c r="D34" s="265"/>
      <c r="E34" s="1135"/>
      <c r="F34" s="1210"/>
      <c r="G34" s="1222"/>
      <c r="H34" s="1223"/>
      <c r="I34" s="1135"/>
      <c r="J34" s="1135"/>
      <c r="K34" s="1224"/>
      <c r="L34" s="84"/>
      <c r="M34" s="84"/>
    </row>
    <row r="35" spans="1:19">
      <c r="O35" s="918"/>
      <c r="P35" s="918"/>
      <c r="Q35" s="918"/>
      <c r="R35" s="918"/>
      <c r="S35" s="84"/>
    </row>
    <row r="36" spans="1:19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253" t="s">
        <v>3768</v>
      </c>
      <c r="M36" s="84"/>
    </row>
    <row r="37" spans="1:19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M37" s="84"/>
    </row>
    <row r="38" spans="1:19" ht="24.6" customHeight="1">
      <c r="A38" s="84"/>
      <c r="B38" s="5"/>
      <c r="M38" s="84"/>
    </row>
    <row r="54" spans="6:6">
      <c r="F54" s="90">
        <v>8150</v>
      </c>
    </row>
    <row r="147" spans="76:76" ht="57">
      <c r="BX147" s="1244" t="s">
        <v>4087</v>
      </c>
    </row>
    <row r="579" spans="41:41">
      <c r="AO579" s="1249" t="s">
        <v>4166</v>
      </c>
    </row>
    <row r="1248" spans="39:39">
      <c r="AM1248" s="1249" t="s">
        <v>4110</v>
      </c>
    </row>
  </sheetData>
  <mergeCells count="29">
    <mergeCell ref="B18:B22"/>
    <mergeCell ref="F18:G18"/>
    <mergeCell ref="I18:J18"/>
    <mergeCell ref="B30:B34"/>
    <mergeCell ref="B24:B28"/>
    <mergeCell ref="F24:G24"/>
    <mergeCell ref="I24:J24"/>
    <mergeCell ref="G25:H25"/>
    <mergeCell ref="J25:K25"/>
    <mergeCell ref="G19:H19"/>
    <mergeCell ref="J19:K19"/>
    <mergeCell ref="F30:G30"/>
    <mergeCell ref="G27:H27"/>
    <mergeCell ref="B6:B10"/>
    <mergeCell ref="F6:G6"/>
    <mergeCell ref="H7:I7"/>
    <mergeCell ref="B12:B16"/>
    <mergeCell ref="F12:G12"/>
    <mergeCell ref="G14:H14"/>
    <mergeCell ref="H13:I13"/>
    <mergeCell ref="J12:K12"/>
    <mergeCell ref="F26:G26"/>
    <mergeCell ref="O2:P2"/>
    <mergeCell ref="G21:H21"/>
    <mergeCell ref="Q2:R2"/>
    <mergeCell ref="E3:G3"/>
    <mergeCell ref="H3:K3"/>
    <mergeCell ref="O3:P3"/>
    <mergeCell ref="Q3:R3"/>
  </mergeCells>
  <phoneticPr fontId="6" type="noConversion"/>
  <pageMargins left="0.70866141732283461" right="0.70866141732283461" top="0.74803149606299213" bottom="0.74803149606299213" header="0.31496062992125984" footer="0.31496062992125984"/>
  <pageSetup paperSize="8" scale="10" orientation="landscape" r:id="rId1"/>
  <rowBreaks count="1" manualBreakCount="1">
    <brk id="39" max="18" man="1"/>
  </rowBreaks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7">
    <pageSetUpPr fitToPage="1"/>
  </sheetPr>
  <dimension ref="A1:BL1274"/>
  <sheetViews>
    <sheetView showGridLines="0" zoomScale="70" zoomScaleNormal="70" workbookViewId="0">
      <selection activeCell="F28" sqref="F28"/>
    </sheetView>
  </sheetViews>
  <sheetFormatPr defaultColWidth="8.88671875" defaultRowHeight="16.899999999999999" outlineLevelCol="1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38.5546875" style="90" customWidth="1" outlineLevel="1"/>
    <col min="15" max="15" width="17.77734375" style="90" customWidth="1" outlineLevel="1"/>
    <col min="16" max="16" width="9.21875" style="90" customWidth="1" outlineLevel="1"/>
    <col min="17" max="17" width="14.77734375" style="90" customWidth="1" outlineLevel="1"/>
    <col min="18" max="18" width="16.5546875" style="90" customWidth="1" outlineLevel="1"/>
    <col min="19" max="19" width="16" style="90" customWidth="1" outlineLevel="1"/>
    <col min="20" max="20" width="51.21875" style="84" customWidth="1" outlineLevel="1"/>
    <col min="21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45839</v>
      </c>
      <c r="F3" s="1759"/>
      <c r="G3" s="1759"/>
      <c r="H3" s="1760" t="s">
        <v>10</v>
      </c>
      <c r="I3" s="1717"/>
      <c r="J3" s="1717"/>
      <c r="K3" s="1717"/>
      <c r="N3" s="989">
        <f>SUMIF($Q$8:$Q$31,"F",$P$8:$P$31)</f>
        <v>306000</v>
      </c>
      <c r="O3" s="1715">
        <f>SUMIF($Q$7:$Q$30,"S",$P$7:$P$30)</f>
        <v>100503</v>
      </c>
      <c r="P3" s="1715"/>
      <c r="Q3" s="1706">
        <f>N3+O3</f>
        <v>406503</v>
      </c>
      <c r="R3" s="1707"/>
    </row>
    <row r="4" spans="1:22" s="5" customFormat="1" ht="26.25" customHeight="1">
      <c r="E4" s="863" t="s">
        <v>0</v>
      </c>
      <c r="F4" s="864" t="s">
        <v>1</v>
      </c>
      <c r="G4" s="864" t="s">
        <v>2</v>
      </c>
      <c r="H4" s="864" t="s">
        <v>3</v>
      </c>
      <c r="I4" s="864" t="s">
        <v>4</v>
      </c>
      <c r="J4" s="864" t="s">
        <v>5</v>
      </c>
      <c r="K4" s="865" t="s">
        <v>6</v>
      </c>
      <c r="M4" s="90"/>
      <c r="N4" s="264"/>
      <c r="S4" s="90"/>
    </row>
    <row r="5" spans="1:22" s="5" customFormat="1" ht="24.6" customHeight="1">
      <c r="E5" s="866"/>
      <c r="F5" s="971"/>
      <c r="G5" s="971">
        <v>1</v>
      </c>
      <c r="H5" s="971">
        <f t="shared" ref="H5:K5" si="0">G5+1</f>
        <v>2</v>
      </c>
      <c r="I5" s="971">
        <f t="shared" si="0"/>
        <v>3</v>
      </c>
      <c r="J5" s="971">
        <f t="shared" si="0"/>
        <v>4</v>
      </c>
      <c r="K5" s="919">
        <f t="shared" si="0"/>
        <v>5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957"/>
      <c r="G6" s="957"/>
      <c r="H6" s="957"/>
      <c r="I6" s="1778" t="s">
        <v>4165</v>
      </c>
      <c r="J6" s="1779"/>
      <c r="K6" s="867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7"/>
      <c r="G7" s="1784" t="s">
        <v>4209</v>
      </c>
      <c r="H7" s="1785"/>
      <c r="I7" s="867"/>
      <c r="J7" s="1778" t="s">
        <v>4160</v>
      </c>
      <c r="K7" s="1779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3772</v>
      </c>
      <c r="D8" s="265"/>
      <c r="E8" s="1292" t="s">
        <v>4259</v>
      </c>
      <c r="F8" s="867"/>
      <c r="G8" s="1782" t="s">
        <v>4039</v>
      </c>
      <c r="H8" s="1766"/>
      <c r="I8" s="867"/>
      <c r="J8" s="1197" t="s">
        <v>3997</v>
      </c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  <c r="U8" s="90"/>
    </row>
    <row r="9" spans="1:22" s="5" customFormat="1" ht="24.6" customHeight="1">
      <c r="B9" s="1467"/>
      <c r="C9" s="880"/>
      <c r="D9" s="265"/>
      <c r="E9" s="867"/>
      <c r="F9" s="867"/>
      <c r="G9" s="1214" t="s">
        <v>4156</v>
      </c>
      <c r="H9" s="867"/>
      <c r="I9" s="1241" t="s">
        <v>4201</v>
      </c>
      <c r="J9" s="957"/>
      <c r="K9" s="957"/>
      <c r="L9" s="90"/>
      <c r="M9" s="1286"/>
      <c r="N9" s="1151" t="s">
        <v>4076</v>
      </c>
      <c r="O9" s="1252" t="s">
        <v>4077</v>
      </c>
      <c r="P9" s="1109">
        <v>34000</v>
      </c>
      <c r="Q9" s="1251" t="s">
        <v>3462</v>
      </c>
      <c r="R9" s="1251" t="s">
        <v>3813</v>
      </c>
      <c r="S9" s="1251" t="s">
        <v>3813</v>
      </c>
      <c r="T9" s="916"/>
      <c r="U9" s="90"/>
      <c r="V9" s="1129"/>
    </row>
    <row r="10" spans="1:22" s="5" customFormat="1" ht="24.6" customHeight="1">
      <c r="B10" s="1467"/>
      <c r="C10" s="881" t="s">
        <v>3773</v>
      </c>
      <c r="D10" s="265"/>
      <c r="E10" s="867"/>
      <c r="F10" s="868"/>
      <c r="G10" s="957"/>
      <c r="H10" s="1220" t="s">
        <v>4046</v>
      </c>
      <c r="I10" s="867"/>
      <c r="J10" s="957"/>
      <c r="K10" s="957"/>
      <c r="L10" s="90"/>
      <c r="M10" s="1286"/>
      <c r="N10" s="1151" t="s">
        <v>4014</v>
      </c>
      <c r="O10" s="1204" t="s">
        <v>4057</v>
      </c>
      <c r="P10" s="1193">
        <v>12000</v>
      </c>
      <c r="Q10" s="1193" t="s">
        <v>3780</v>
      </c>
      <c r="R10" s="1188" t="s">
        <v>4098</v>
      </c>
      <c r="S10" s="1264" t="s">
        <v>3813</v>
      </c>
      <c r="T10" s="780"/>
      <c r="U10" s="90"/>
    </row>
    <row r="11" spans="1:22" ht="24.6" customHeight="1">
      <c r="A11" s="84"/>
      <c r="B11" s="875"/>
      <c r="C11" s="5"/>
      <c r="D11" s="5"/>
      <c r="E11" s="935">
        <f>K5+1</f>
        <v>6</v>
      </c>
      <c r="F11" s="877">
        <f t="shared" ref="F11:J11" si="1">E11+1</f>
        <v>7</v>
      </c>
      <c r="G11" s="876">
        <f t="shared" si="1"/>
        <v>8</v>
      </c>
      <c r="H11" s="877">
        <f t="shared" si="1"/>
        <v>9</v>
      </c>
      <c r="I11" s="876">
        <f t="shared" si="1"/>
        <v>10</v>
      </c>
      <c r="J11" s="876">
        <f t="shared" si="1"/>
        <v>11</v>
      </c>
      <c r="K11" s="925">
        <f>J11+1</f>
        <v>12</v>
      </c>
      <c r="M11" s="1286"/>
      <c r="N11" s="1151" t="s">
        <v>4001</v>
      </c>
      <c r="O11" s="1204" t="s">
        <v>4070</v>
      </c>
      <c r="P11" s="1193">
        <v>11508</v>
      </c>
      <c r="Q11" s="1193" t="s">
        <v>3780</v>
      </c>
      <c r="R11" s="1245" t="s">
        <v>4098</v>
      </c>
      <c r="S11" s="1264" t="s">
        <v>3813</v>
      </c>
      <c r="T11" s="1192"/>
    </row>
    <row r="12" spans="1:22" ht="24.6" customHeight="1">
      <c r="A12" s="84"/>
      <c r="B12" s="1467" t="s">
        <v>287</v>
      </c>
      <c r="C12" s="879" t="s">
        <v>3774</v>
      </c>
      <c r="D12" s="265"/>
      <c r="E12" s="869"/>
      <c r="F12" s="1778" t="s">
        <v>4177</v>
      </c>
      <c r="G12" s="1779"/>
      <c r="H12" s="936"/>
      <c r="I12" s="1778" t="s">
        <v>4181</v>
      </c>
      <c r="J12" s="1779"/>
      <c r="K12" s="958"/>
      <c r="M12" s="1282"/>
      <c r="N12" s="1151" t="s">
        <v>4050</v>
      </c>
      <c r="O12" s="1204" t="s">
        <v>4194</v>
      </c>
      <c r="P12" s="1193">
        <v>3492</v>
      </c>
      <c r="Q12" s="1193" t="s">
        <v>4015</v>
      </c>
      <c r="R12" s="1245" t="s">
        <v>4098</v>
      </c>
      <c r="S12" s="1264" t="s">
        <v>3813</v>
      </c>
      <c r="T12" s="1191"/>
      <c r="U12" s="90"/>
    </row>
    <row r="13" spans="1:22" ht="24.6" customHeight="1">
      <c r="A13" s="84"/>
      <c r="B13" s="1467"/>
      <c r="C13" s="879"/>
      <c r="D13" s="265"/>
      <c r="E13" s="869"/>
      <c r="G13" s="1778" t="s">
        <v>4180</v>
      </c>
      <c r="H13" s="1779"/>
      <c r="I13" s="5"/>
      <c r="J13" s="1778" t="s">
        <v>4182</v>
      </c>
      <c r="K13" s="1779"/>
      <c r="M13" s="1282"/>
      <c r="N13" s="1151" t="s">
        <v>4051</v>
      </c>
      <c r="O13" s="1204" t="s">
        <v>4071</v>
      </c>
      <c r="P13" s="1193">
        <v>34000</v>
      </c>
      <c r="Q13" s="968" t="s">
        <v>3462</v>
      </c>
      <c r="R13" s="1245" t="s">
        <v>4098</v>
      </c>
      <c r="S13" s="1264" t="s">
        <v>3813</v>
      </c>
      <c r="T13" s="1191"/>
    </row>
    <row r="14" spans="1:22" ht="24.6" customHeight="1">
      <c r="A14" s="84"/>
      <c r="B14" s="1467"/>
      <c r="C14" s="880" t="s">
        <v>3775</v>
      </c>
      <c r="D14" s="265"/>
      <c r="E14" s="869"/>
      <c r="F14" s="1241" t="s">
        <v>4200</v>
      </c>
      <c r="G14" s="1260" t="s">
        <v>4145</v>
      </c>
      <c r="I14" s="1780" t="s">
        <v>4101</v>
      </c>
      <c r="J14" s="1781"/>
      <c r="K14" s="958"/>
      <c r="M14" s="1282"/>
      <c r="N14" s="1151" t="s">
        <v>4052</v>
      </c>
      <c r="O14" s="1204" t="s">
        <v>4072</v>
      </c>
      <c r="P14" s="1193">
        <v>6000</v>
      </c>
      <c r="Q14" s="1193" t="s">
        <v>3463</v>
      </c>
      <c r="R14" s="1245" t="s">
        <v>4098</v>
      </c>
      <c r="S14" s="1280" t="s">
        <v>3813</v>
      </c>
      <c r="T14" s="1191"/>
      <c r="U14" s="90"/>
    </row>
    <row r="15" spans="1:22" ht="24.6" customHeight="1">
      <c r="A15" s="84"/>
      <c r="B15" s="1467"/>
      <c r="C15" s="880"/>
      <c r="D15" s="265"/>
      <c r="E15" s="869"/>
      <c r="G15" s="1241" t="s">
        <v>4069</v>
      </c>
      <c r="H15" s="1776" t="s">
        <v>4127</v>
      </c>
      <c r="I15" s="1777"/>
      <c r="K15" s="958"/>
      <c r="M15" s="1282"/>
      <c r="N15" s="1151" t="s">
        <v>4093</v>
      </c>
      <c r="O15" s="1246" t="s">
        <v>4195</v>
      </c>
      <c r="P15" s="1193">
        <v>6000</v>
      </c>
      <c r="Q15" s="1193" t="s">
        <v>3463</v>
      </c>
      <c r="R15" s="1245" t="s">
        <v>4098</v>
      </c>
      <c r="S15" s="1280" t="s">
        <v>3813</v>
      </c>
      <c r="T15" s="1191"/>
    </row>
    <row r="16" spans="1:22" ht="24.6" customHeight="1">
      <c r="A16" s="84"/>
      <c r="B16" s="1467"/>
      <c r="C16" s="881" t="s">
        <v>3773</v>
      </c>
      <c r="D16" s="265"/>
      <c r="E16" s="869"/>
      <c r="F16" s="936"/>
      <c r="H16" s="1276"/>
      <c r="I16" s="1276"/>
      <c r="J16" s="1276"/>
      <c r="K16" s="1275"/>
      <c r="M16" s="1282"/>
      <c r="N16" s="1151" t="s">
        <v>4094</v>
      </c>
      <c r="O16" s="1246" t="s">
        <v>4126</v>
      </c>
      <c r="P16" s="1193">
        <v>34000</v>
      </c>
      <c r="Q16" s="968" t="s">
        <v>3998</v>
      </c>
      <c r="R16" s="1245" t="s">
        <v>4098</v>
      </c>
      <c r="S16" s="1255" t="s">
        <v>4098</v>
      </c>
      <c r="T16" s="918"/>
    </row>
    <row r="17" spans="1:24" ht="24.6" customHeight="1">
      <c r="A17" s="84"/>
      <c r="B17" s="875"/>
      <c r="C17" s="5"/>
      <c r="D17" s="5"/>
      <c r="E17" s="939">
        <f>K11+1</f>
        <v>13</v>
      </c>
      <c r="F17" s="1272">
        <f t="shared" ref="F17:K17" si="2">E17+1</f>
        <v>14</v>
      </c>
      <c r="G17" s="1273">
        <f t="shared" si="2"/>
        <v>15</v>
      </c>
      <c r="H17" s="1274">
        <f t="shared" si="2"/>
        <v>16</v>
      </c>
      <c r="I17" s="943">
        <f t="shared" si="2"/>
        <v>17</v>
      </c>
      <c r="J17" s="943">
        <f t="shared" si="2"/>
        <v>18</v>
      </c>
      <c r="K17" s="959">
        <f t="shared" si="2"/>
        <v>19</v>
      </c>
      <c r="M17" s="1287"/>
      <c r="N17" s="1151" t="s">
        <v>4099</v>
      </c>
      <c r="O17" s="1246" t="s">
        <v>4151</v>
      </c>
      <c r="P17" s="1193">
        <v>34000</v>
      </c>
      <c r="Q17" s="968" t="s">
        <v>3462</v>
      </c>
      <c r="R17" s="1245" t="s">
        <v>4098</v>
      </c>
      <c r="S17" s="1255" t="s">
        <v>4098</v>
      </c>
      <c r="T17" s="84" t="s">
        <v>4021</v>
      </c>
    </row>
    <row r="18" spans="1:24" ht="24.6" customHeight="1">
      <c r="A18" s="84"/>
      <c r="B18" s="1467" t="s">
        <v>287</v>
      </c>
      <c r="C18" s="879" t="s">
        <v>9</v>
      </c>
      <c r="D18" s="265"/>
      <c r="E18" s="871"/>
      <c r="F18" s="1778" t="s">
        <v>4207</v>
      </c>
      <c r="G18" s="1779"/>
      <c r="H18" s="871"/>
      <c r="I18" s="1778" t="s">
        <v>4219</v>
      </c>
      <c r="J18" s="1779"/>
      <c r="K18" s="871"/>
      <c r="M18" s="1282"/>
      <c r="N18" s="1151" t="s">
        <v>4095</v>
      </c>
      <c r="O18" s="1246" t="s">
        <v>4096</v>
      </c>
      <c r="P18" s="1193">
        <v>21006</v>
      </c>
      <c r="Q18" s="1188" t="s">
        <v>3463</v>
      </c>
      <c r="R18" s="1245" t="s">
        <v>4098</v>
      </c>
      <c r="S18" s="1255" t="s">
        <v>4098</v>
      </c>
      <c r="T18" s="84" t="s">
        <v>3999</v>
      </c>
    </row>
    <row r="19" spans="1:24" ht="24.6" customHeight="1">
      <c r="A19" s="84"/>
      <c r="B19" s="1467"/>
      <c r="C19" s="879"/>
      <c r="D19" s="265"/>
      <c r="E19" s="871"/>
      <c r="F19" s="871"/>
      <c r="G19" s="1778" t="s">
        <v>4202</v>
      </c>
      <c r="H19" s="1779"/>
      <c r="I19" s="871"/>
      <c r="J19" s="1778" t="s">
        <v>4203</v>
      </c>
      <c r="K19" s="1779"/>
      <c r="L19" s="84"/>
      <c r="M19" s="1282"/>
      <c r="N19" s="1151" t="s">
        <v>4132</v>
      </c>
      <c r="O19" s="1252" t="s">
        <v>4263</v>
      </c>
      <c r="P19" s="1193">
        <v>4598</v>
      </c>
      <c r="Q19" s="875" t="s">
        <v>4016</v>
      </c>
      <c r="R19" s="1255" t="s">
        <v>4098</v>
      </c>
      <c r="S19" s="1255" t="s">
        <v>4098</v>
      </c>
      <c r="T19" s="84" t="s">
        <v>4133</v>
      </c>
    </row>
    <row r="20" spans="1:24" ht="24.6" customHeight="1">
      <c r="A20" s="84"/>
      <c r="B20" s="1467"/>
      <c r="C20" s="880" t="s">
        <v>3775</v>
      </c>
      <c r="D20" s="265"/>
      <c r="E20" s="871"/>
      <c r="F20" s="1241" t="s">
        <v>4073</v>
      </c>
      <c r="G20" s="1776" t="s">
        <v>4097</v>
      </c>
      <c r="H20" s="1777"/>
      <c r="I20" s="871"/>
      <c r="J20" s="1260" t="s">
        <v>4231</v>
      </c>
      <c r="K20" s="960"/>
      <c r="L20" s="84"/>
      <c r="M20" s="1282"/>
      <c r="N20" s="1194" t="s">
        <v>4186</v>
      </c>
      <c r="O20" s="1269" t="s">
        <v>4187</v>
      </c>
      <c r="P20" s="1193">
        <v>4600</v>
      </c>
      <c r="Q20" s="1193" t="s">
        <v>4105</v>
      </c>
      <c r="R20" s="1268" t="s">
        <v>3813</v>
      </c>
      <c r="S20" s="1271" t="s">
        <v>3813</v>
      </c>
      <c r="T20" s="918" t="s">
        <v>4163</v>
      </c>
    </row>
    <row r="21" spans="1:24" ht="24.6" customHeight="1">
      <c r="A21" s="84"/>
      <c r="B21" s="1467"/>
      <c r="C21" s="880"/>
      <c r="D21" s="265"/>
      <c r="E21" s="871"/>
      <c r="F21" s="871"/>
      <c r="G21" s="1241" t="s">
        <v>4224</v>
      </c>
      <c r="H21" s="871"/>
      <c r="I21" s="1776" t="s">
        <v>4232</v>
      </c>
      <c r="J21" s="1777"/>
      <c r="K21" s="960"/>
      <c r="L21" s="84"/>
      <c r="M21" s="1282"/>
      <c r="N21" s="1194" t="s">
        <v>4244</v>
      </c>
      <c r="O21" s="1269" t="s">
        <v>4134</v>
      </c>
      <c r="P21" s="1248">
        <v>2499</v>
      </c>
      <c r="Q21" s="1193" t="s">
        <v>3463</v>
      </c>
      <c r="R21" s="1268" t="s">
        <v>4124</v>
      </c>
      <c r="S21" s="1268" t="s">
        <v>4124</v>
      </c>
      <c r="T21" s="918"/>
    </row>
    <row r="22" spans="1:24" ht="24.6" customHeight="1">
      <c r="A22" s="84"/>
      <c r="B22" s="1467"/>
      <c r="C22" s="881" t="s">
        <v>384</v>
      </c>
      <c r="D22" s="265"/>
      <c r="E22" s="871"/>
      <c r="F22" s="944"/>
      <c r="G22" s="868"/>
      <c r="H22" s="874"/>
      <c r="I22" s="871"/>
      <c r="K22" s="960"/>
      <c r="L22" s="84"/>
      <c r="M22" s="1282"/>
      <c r="N22" s="1194" t="s">
        <v>4120</v>
      </c>
      <c r="O22" s="1263" t="s">
        <v>4206</v>
      </c>
      <c r="P22" s="1109">
        <v>4000</v>
      </c>
      <c r="Q22" s="1237" t="s">
        <v>3463</v>
      </c>
      <c r="R22" s="1250" t="s">
        <v>3813</v>
      </c>
      <c r="S22" s="1255" t="s">
        <v>3813</v>
      </c>
      <c r="T22" s="84" t="s">
        <v>4121</v>
      </c>
    </row>
    <row r="23" spans="1:24" ht="24.6" customHeight="1">
      <c r="A23" s="84"/>
      <c r="B23" s="875"/>
      <c r="C23" s="5"/>
      <c r="D23" s="5"/>
      <c r="E23" s="935">
        <f>K17+1</f>
        <v>20</v>
      </c>
      <c r="F23" s="924">
        <f t="shared" ref="F23:K23" si="3">E23+1</f>
        <v>21</v>
      </c>
      <c r="G23" s="923">
        <f t="shared" si="3"/>
        <v>22</v>
      </c>
      <c r="H23" s="924">
        <f t="shared" si="3"/>
        <v>23</v>
      </c>
      <c r="I23" s="923">
        <f t="shared" si="3"/>
        <v>24</v>
      </c>
      <c r="J23" s="923">
        <f t="shared" si="3"/>
        <v>25</v>
      </c>
      <c r="K23" s="925">
        <f t="shared" si="3"/>
        <v>26</v>
      </c>
      <c r="L23" s="84"/>
      <c r="M23" s="1282"/>
      <c r="N23" s="1194" t="s">
        <v>4172</v>
      </c>
      <c r="O23" s="1263" t="s">
        <v>4196</v>
      </c>
      <c r="P23" s="780">
        <v>22000</v>
      </c>
      <c r="Q23" s="1193" t="s">
        <v>3463</v>
      </c>
      <c r="R23" s="1254" t="s">
        <v>3813</v>
      </c>
      <c r="S23" s="1255" t="s">
        <v>3813</v>
      </c>
      <c r="T23" s="918" t="s">
        <v>4022</v>
      </c>
    </row>
    <row r="24" spans="1:24" ht="24.6" customHeight="1">
      <c r="A24" s="84"/>
      <c r="B24" s="1467" t="s">
        <v>287</v>
      </c>
      <c r="C24" s="879" t="s">
        <v>9</v>
      </c>
      <c r="D24" s="265"/>
      <c r="E24" s="869"/>
      <c r="F24" s="1778" t="s">
        <v>4210</v>
      </c>
      <c r="G24" s="1779"/>
      <c r="H24" s="958"/>
      <c r="I24" s="1778" t="s">
        <v>4212</v>
      </c>
      <c r="J24" s="1779"/>
      <c r="K24" s="958"/>
      <c r="L24" s="84"/>
      <c r="M24" s="1282"/>
      <c r="N24" s="1194" t="s">
        <v>4173</v>
      </c>
      <c r="O24" s="1263" t="s">
        <v>4199</v>
      </c>
      <c r="P24" s="1109">
        <v>2800</v>
      </c>
      <c r="Q24" s="1251" t="s">
        <v>3463</v>
      </c>
      <c r="R24" s="1251" t="s">
        <v>3813</v>
      </c>
      <c r="S24" s="1264" t="s">
        <v>3813</v>
      </c>
      <c r="T24" s="916"/>
    </row>
    <row r="25" spans="1:24" ht="24.6" customHeight="1">
      <c r="A25" s="84"/>
      <c r="B25" s="1467"/>
      <c r="C25" s="879"/>
      <c r="D25" s="265"/>
      <c r="E25" s="869"/>
      <c r="F25" s="5"/>
      <c r="G25" s="1778" t="s">
        <v>4211</v>
      </c>
      <c r="H25" s="1779"/>
      <c r="I25" s="936"/>
      <c r="J25" s="1778" t="s">
        <v>4213</v>
      </c>
      <c r="K25" s="1779"/>
      <c r="L25" s="84"/>
      <c r="M25" s="1282"/>
      <c r="N25" s="1194" t="s">
        <v>4174</v>
      </c>
      <c r="O25" s="1263" t="s">
        <v>4100</v>
      </c>
      <c r="P25" s="1193">
        <v>34000</v>
      </c>
      <c r="Q25" s="968" t="s">
        <v>3998</v>
      </c>
      <c r="R25" s="1245" t="s">
        <v>3465</v>
      </c>
      <c r="S25" s="1245" t="s">
        <v>3465</v>
      </c>
    </row>
    <row r="26" spans="1:24" ht="24.6" customHeight="1">
      <c r="A26" s="84"/>
      <c r="B26" s="1467"/>
      <c r="C26" s="880" t="s">
        <v>386</v>
      </c>
      <c r="D26" s="265"/>
      <c r="E26" s="869"/>
      <c r="F26" s="1776" t="s">
        <v>4215</v>
      </c>
      <c r="G26" s="1777"/>
      <c r="I26" s="1776" t="s">
        <v>4150</v>
      </c>
      <c r="J26" s="1777"/>
      <c r="K26" s="958"/>
      <c r="L26" s="84"/>
      <c r="M26" s="1282"/>
      <c r="N26" s="1194" t="s">
        <v>4089</v>
      </c>
      <c r="O26" s="1281" t="s">
        <v>4216</v>
      </c>
      <c r="P26" s="1193">
        <v>34000</v>
      </c>
      <c r="Q26" s="968" t="s">
        <v>3462</v>
      </c>
      <c r="R26" s="1243" t="s">
        <v>3465</v>
      </c>
      <c r="S26" s="1243" t="s">
        <v>3465</v>
      </c>
    </row>
    <row r="27" spans="1:24" ht="24.6" customHeight="1">
      <c r="A27" s="84"/>
      <c r="B27" s="1467"/>
      <c r="C27" s="880"/>
      <c r="D27" s="265"/>
      <c r="E27" s="869"/>
      <c r="H27" s="1783" t="s">
        <v>4241</v>
      </c>
      <c r="I27" s="1777"/>
      <c r="J27" s="1197" t="s">
        <v>4168</v>
      </c>
      <c r="K27" s="958"/>
      <c r="L27" s="84"/>
      <c r="M27" s="1282"/>
      <c r="N27" s="1194" t="s">
        <v>4090</v>
      </c>
      <c r="O27" s="1247" t="s">
        <v>4091</v>
      </c>
      <c r="P27" s="1110">
        <v>34000</v>
      </c>
      <c r="Q27" s="968" t="s">
        <v>3462</v>
      </c>
      <c r="R27" s="1195" t="s">
        <v>3465</v>
      </c>
      <c r="S27" s="1195" t="s">
        <v>3465</v>
      </c>
    </row>
    <row r="28" spans="1:24" ht="24" customHeight="1">
      <c r="A28" s="84"/>
      <c r="B28" s="1467"/>
      <c r="C28" s="881" t="s">
        <v>3773</v>
      </c>
      <c r="D28" s="265"/>
      <c r="E28" s="870"/>
      <c r="F28" s="945"/>
      <c r="G28" s="938"/>
      <c r="H28" s="945"/>
      <c r="I28" s="938"/>
      <c r="J28" s="938"/>
      <c r="K28" s="961"/>
      <c r="L28" s="84"/>
      <c r="M28" s="1282"/>
      <c r="N28" s="1194" t="s">
        <v>4092</v>
      </c>
      <c r="O28" s="1247" t="s">
        <v>4158</v>
      </c>
      <c r="P28" s="1193">
        <v>34000</v>
      </c>
      <c r="Q28" s="968" t="s">
        <v>3483</v>
      </c>
      <c r="R28" s="1203" t="s">
        <v>3465</v>
      </c>
      <c r="S28" s="1203" t="s">
        <v>3465</v>
      </c>
      <c r="X28" s="1167"/>
    </row>
    <row r="29" spans="1:24" ht="24.6" customHeight="1">
      <c r="A29" s="84"/>
      <c r="B29" s="5"/>
      <c r="C29" s="269"/>
      <c r="D29" s="265"/>
      <c r="E29" s="946">
        <f>K23+1</f>
        <v>27</v>
      </c>
      <c r="F29" s="947">
        <f>E29+1</f>
        <v>28</v>
      </c>
      <c r="G29" s="947">
        <f>F29+1</f>
        <v>29</v>
      </c>
      <c r="H29" s="947">
        <f>G29+1</f>
        <v>30</v>
      </c>
      <c r="I29" s="947">
        <f>H29+1</f>
        <v>31</v>
      </c>
      <c r="J29" s="928">
        <v>1</v>
      </c>
      <c r="K29" s="960"/>
      <c r="L29" s="84"/>
      <c r="M29" s="1282"/>
      <c r="N29" s="1194" t="s">
        <v>4088</v>
      </c>
      <c r="O29" s="1247" t="s">
        <v>4155</v>
      </c>
      <c r="P29" s="1193">
        <v>34000</v>
      </c>
      <c r="Q29" s="968" t="s">
        <v>3462</v>
      </c>
      <c r="R29" s="1243" t="s">
        <v>3465</v>
      </c>
      <c r="S29" s="1243" t="s">
        <v>3465</v>
      </c>
    </row>
    <row r="30" spans="1:24" ht="24.6" customHeight="1">
      <c r="A30" s="84"/>
      <c r="B30" s="1467" t="s">
        <v>287</v>
      </c>
      <c r="C30" s="879" t="s">
        <v>9</v>
      </c>
      <c r="D30" s="265"/>
      <c r="E30" s="871"/>
      <c r="F30" s="1778" t="s">
        <v>4221</v>
      </c>
      <c r="G30" s="1779"/>
      <c r="H30" s="960"/>
      <c r="I30" s="1778" t="s">
        <v>4335</v>
      </c>
      <c r="J30" s="1779"/>
      <c r="K30" s="871"/>
      <c r="L30" s="84"/>
      <c r="M30" s="1282"/>
      <c r="N30" s="1194" t="s">
        <v>4135</v>
      </c>
      <c r="O30" s="1256"/>
      <c r="R30" s="1257" t="s">
        <v>3465</v>
      </c>
      <c r="S30" s="1257" t="s">
        <v>3465</v>
      </c>
    </row>
    <row r="31" spans="1:24" ht="24.6" customHeight="1">
      <c r="A31" s="84"/>
      <c r="B31" s="1467"/>
      <c r="C31" s="879"/>
      <c r="D31" s="265"/>
      <c r="E31" s="871"/>
      <c r="F31" s="871"/>
      <c r="G31" s="1778" t="s">
        <v>4217</v>
      </c>
      <c r="H31" s="1779"/>
      <c r="I31" s="960"/>
      <c r="J31" s="960"/>
      <c r="K31" s="871"/>
      <c r="L31" s="84"/>
      <c r="M31" s="84"/>
      <c r="N31" s="882" t="s">
        <v>3844</v>
      </c>
    </row>
    <row r="32" spans="1:24" ht="24.6" customHeight="1">
      <c r="A32" s="84"/>
      <c r="B32" s="1467"/>
      <c r="C32" s="880" t="s">
        <v>3775</v>
      </c>
      <c r="D32" s="265"/>
      <c r="E32" s="871"/>
      <c r="F32" s="1197" t="s">
        <v>4168</v>
      </c>
      <c r="G32" s="1776" t="s">
        <v>4159</v>
      </c>
      <c r="H32" s="1777"/>
      <c r="I32" s="1197" t="s">
        <v>4188</v>
      </c>
      <c r="J32" s="960"/>
      <c r="K32" s="960"/>
      <c r="L32" s="84"/>
      <c r="M32" s="84"/>
    </row>
    <row r="33" spans="1:19" ht="24.6" customHeight="1">
      <c r="A33" s="84"/>
      <c r="B33" s="1467"/>
      <c r="C33" s="880"/>
      <c r="D33" s="265"/>
      <c r="E33" s="871"/>
      <c r="F33" s="1776" t="s">
        <v>4260</v>
      </c>
      <c r="G33" s="1777"/>
      <c r="H33" s="1197" t="s">
        <v>4261</v>
      </c>
      <c r="I33" s="960"/>
      <c r="J33" s="871"/>
      <c r="K33" s="960"/>
      <c r="L33" s="84"/>
      <c r="M33" s="84"/>
    </row>
    <row r="34" spans="1:19" ht="24.6" customHeight="1">
      <c r="A34" s="84"/>
      <c r="B34" s="1467"/>
      <c r="C34" s="881" t="s">
        <v>3776</v>
      </c>
      <c r="D34" s="265"/>
      <c r="E34" s="872"/>
      <c r="F34" s="963"/>
      <c r="G34" s="964"/>
      <c r="H34" s="966"/>
      <c r="I34" s="872"/>
      <c r="J34" s="1197" t="s">
        <v>4185</v>
      </c>
      <c r="K34" s="966"/>
      <c r="L34" s="84"/>
      <c r="M34" s="84"/>
    </row>
    <row r="35" spans="1:19" ht="19.149999999999999">
      <c r="M35" s="84"/>
      <c r="N35" s="5"/>
      <c r="O35" s="5"/>
      <c r="P35" s="5"/>
      <c r="Q35" s="5"/>
      <c r="R35" s="5"/>
      <c r="S35" s="84"/>
    </row>
    <row r="36" spans="1:19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934" t="s">
        <v>3768</v>
      </c>
      <c r="L36" s="84"/>
      <c r="M36" s="84"/>
    </row>
    <row r="37" spans="1:19" ht="24.6" customHeight="1">
      <c r="A37" s="84"/>
      <c r="B37" s="5"/>
      <c r="D37" s="84"/>
      <c r="E37" s="932" t="s">
        <v>3741</v>
      </c>
      <c r="F37" s="929" t="s">
        <v>3742</v>
      </c>
      <c r="G37" s="972" t="s">
        <v>336</v>
      </c>
      <c r="L37" s="84"/>
      <c r="M37" s="84"/>
      <c r="N37" s="5"/>
      <c r="O37" s="5"/>
      <c r="P37" s="5"/>
      <c r="Q37" s="5"/>
      <c r="R37" s="5"/>
      <c r="S37" s="84"/>
    </row>
    <row r="42" spans="1:19">
      <c r="P42" s="918"/>
      <c r="Q42" s="918"/>
      <c r="R42" s="918"/>
      <c r="S42" s="84"/>
    </row>
    <row r="43" spans="1:19" ht="19.149999999999999">
      <c r="N43" s="5"/>
      <c r="O43" s="5"/>
      <c r="P43" s="5"/>
      <c r="Q43" s="5"/>
      <c r="R43" s="5"/>
    </row>
    <row r="1258" spans="1:1">
      <c r="A1258" s="1270" t="s">
        <v>4189</v>
      </c>
    </row>
    <row r="1274" spans="64:64">
      <c r="BL1274" s="1249" t="s">
        <v>4167</v>
      </c>
    </row>
  </sheetData>
  <mergeCells count="39">
    <mergeCell ref="G32:H32"/>
    <mergeCell ref="B30:B34"/>
    <mergeCell ref="E3:G3"/>
    <mergeCell ref="H3:K3"/>
    <mergeCell ref="G25:H25"/>
    <mergeCell ref="G31:H31"/>
    <mergeCell ref="I30:J30"/>
    <mergeCell ref="J19:K19"/>
    <mergeCell ref="F18:G18"/>
    <mergeCell ref="F33:G33"/>
    <mergeCell ref="B12:B16"/>
    <mergeCell ref="B18:B22"/>
    <mergeCell ref="G7:H7"/>
    <mergeCell ref="J7:K7"/>
    <mergeCell ref="I24:J24"/>
    <mergeCell ref="F30:G30"/>
    <mergeCell ref="Q2:R2"/>
    <mergeCell ref="Q3:R3"/>
    <mergeCell ref="I12:J12"/>
    <mergeCell ref="G13:H13"/>
    <mergeCell ref="O2:P2"/>
    <mergeCell ref="O3:P3"/>
    <mergeCell ref="J13:K13"/>
    <mergeCell ref="F26:G26"/>
    <mergeCell ref="B6:B10"/>
    <mergeCell ref="B24:B28"/>
    <mergeCell ref="I18:J18"/>
    <mergeCell ref="I6:J6"/>
    <mergeCell ref="J25:K25"/>
    <mergeCell ref="F12:G12"/>
    <mergeCell ref="G20:H20"/>
    <mergeCell ref="I21:J21"/>
    <mergeCell ref="F24:G24"/>
    <mergeCell ref="I14:J14"/>
    <mergeCell ref="G19:H19"/>
    <mergeCell ref="H15:I15"/>
    <mergeCell ref="G8:H8"/>
    <mergeCell ref="H27:I27"/>
    <mergeCell ref="I26:J26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43"/>
  <sheetViews>
    <sheetView showGridLines="0" zoomScale="70" zoomScaleNormal="70" workbookViewId="0">
      <selection activeCell="H23" sqref="H23"/>
    </sheetView>
  </sheetViews>
  <sheetFormatPr defaultColWidth="8.88671875" defaultRowHeight="16.899999999999999" outlineLevelCol="1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customWidth="1" outlineLevel="1"/>
    <col min="15" max="15" width="17.77734375" style="90" customWidth="1" outlineLevel="1"/>
    <col min="16" max="16" width="9.109375" style="90" customWidth="1" outlineLevel="1"/>
    <col min="17" max="17" width="14.77734375" style="90" customWidth="1" outlineLevel="1"/>
    <col min="18" max="18" width="16.5546875" style="90" customWidth="1" outlineLevel="1"/>
    <col min="19" max="19" width="15.6640625" style="90" bestFit="1" customWidth="1" outlineLevel="1"/>
    <col min="20" max="20" width="24.77734375" style="84" customWidth="1" outlineLevel="1"/>
    <col min="21" max="16384" width="8.88671875" style="84"/>
  </cols>
  <sheetData>
    <row r="1" spans="1:25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5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5" ht="57">
      <c r="A3" s="84"/>
      <c r="B3" s="84"/>
      <c r="C3" s="5"/>
      <c r="D3" s="5"/>
      <c r="E3" s="1759">
        <v>45870</v>
      </c>
      <c r="F3" s="1759"/>
      <c r="G3" s="1759"/>
      <c r="H3" s="1760" t="s">
        <v>10</v>
      </c>
      <c r="I3" s="1717"/>
      <c r="J3" s="1717"/>
      <c r="K3" s="1717"/>
      <c r="N3" s="989">
        <f>SUMIF($Q$8:$Q$20,"F",$P$8:$P$20)</f>
        <v>272000</v>
      </c>
      <c r="O3" s="1715">
        <f>SUMIF($Q$7:$Q$20,"S",$P$7:$P$20)</f>
        <v>47968</v>
      </c>
      <c r="P3" s="1715"/>
      <c r="Q3" s="1706">
        <f>N3+O3</f>
        <v>319968</v>
      </c>
      <c r="R3" s="1707"/>
    </row>
    <row r="4" spans="1:25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90"/>
    </row>
    <row r="5" spans="1:25" s="5" customFormat="1" ht="24.6" customHeight="1">
      <c r="E5" s="973"/>
      <c r="F5" s="941"/>
      <c r="G5" s="941"/>
      <c r="H5" s="941"/>
      <c r="I5" s="941"/>
      <c r="J5" s="941">
        <v>1</v>
      </c>
      <c r="K5" s="957">
        <f t="shared" ref="K5" si="0">J5+1</f>
        <v>2</v>
      </c>
      <c r="L5" s="90"/>
      <c r="M5" s="90"/>
      <c r="S5" s="90"/>
    </row>
    <row r="6" spans="1:25" s="5" customFormat="1" ht="24.6" customHeight="1">
      <c r="B6" s="1467" t="s">
        <v>287</v>
      </c>
      <c r="C6" s="879" t="s">
        <v>9</v>
      </c>
      <c r="D6" s="265"/>
      <c r="E6" s="867"/>
      <c r="F6" s="868"/>
      <c r="G6" s="868"/>
      <c r="H6" s="868"/>
      <c r="I6" s="868"/>
      <c r="J6" s="1296" t="s">
        <v>336</v>
      </c>
      <c r="K6" s="957"/>
      <c r="L6" s="90"/>
      <c r="M6" s="90"/>
      <c r="S6" s="90"/>
    </row>
    <row r="7" spans="1:25" s="5" customFormat="1" ht="24.6" customHeight="1">
      <c r="B7" s="1467"/>
      <c r="C7" s="879"/>
      <c r="D7" s="265"/>
      <c r="E7" s="867"/>
      <c r="F7" s="868"/>
      <c r="G7" s="868"/>
      <c r="H7" s="868"/>
      <c r="I7" s="868"/>
      <c r="J7" s="957"/>
      <c r="K7" s="957"/>
      <c r="L7" s="90"/>
      <c r="M7" s="90"/>
      <c r="N7" s="683" t="s">
        <v>4256</v>
      </c>
      <c r="S7" s="90"/>
    </row>
    <row r="8" spans="1:25" s="5" customFormat="1" ht="24.6" customHeight="1">
      <c r="B8" s="1467"/>
      <c r="C8" s="880" t="s">
        <v>1947</v>
      </c>
      <c r="D8" s="265"/>
      <c r="E8" s="867"/>
      <c r="F8" s="868"/>
      <c r="G8" s="868"/>
      <c r="H8" s="868"/>
      <c r="I8" s="868"/>
      <c r="J8" s="1197" t="s">
        <v>4185</v>
      </c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5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957"/>
      <c r="K9" s="957"/>
      <c r="L9" s="90"/>
      <c r="M9" s="84"/>
      <c r="N9" s="1151" t="s">
        <v>4040</v>
      </c>
      <c r="O9" s="1297" t="s">
        <v>4056</v>
      </c>
      <c r="P9" s="1196">
        <v>34000</v>
      </c>
      <c r="Q9" s="968" t="s">
        <v>3462</v>
      </c>
      <c r="R9" s="1295" t="s">
        <v>3813</v>
      </c>
      <c r="S9" s="1305" t="s">
        <v>3813</v>
      </c>
      <c r="T9" s="1191"/>
      <c r="U9" s="84"/>
      <c r="V9" s="84"/>
      <c r="X9" s="84"/>
      <c r="Y9" s="84"/>
    </row>
    <row r="10" spans="1:25" s="5" customFormat="1" ht="24.6" customHeight="1">
      <c r="B10" s="1467"/>
      <c r="C10" s="881" t="s">
        <v>1949</v>
      </c>
      <c r="D10" s="265"/>
      <c r="E10" s="867"/>
      <c r="F10" s="868"/>
      <c r="G10" s="868"/>
      <c r="H10" s="868"/>
      <c r="I10" s="868"/>
      <c r="J10" s="868"/>
      <c r="K10" s="957"/>
      <c r="L10" s="90"/>
      <c r="M10" s="90"/>
      <c r="N10" s="1151" t="s">
        <v>4233</v>
      </c>
      <c r="O10" s="1297" t="s">
        <v>4235</v>
      </c>
      <c r="P10" s="1193">
        <v>34000</v>
      </c>
      <c r="Q10" s="968" t="s">
        <v>3462</v>
      </c>
      <c r="R10" s="1295" t="s">
        <v>3813</v>
      </c>
      <c r="S10" s="1305" t="s">
        <v>3813</v>
      </c>
      <c r="T10" s="1191"/>
      <c r="U10" s="84"/>
      <c r="V10" s="84"/>
    </row>
    <row r="11" spans="1:25" ht="24.6" customHeight="1">
      <c r="A11" s="84"/>
      <c r="B11" s="875"/>
      <c r="C11" s="5"/>
      <c r="D11" s="5"/>
      <c r="E11" s="935">
        <f>K5+1</f>
        <v>3</v>
      </c>
      <c r="F11" s="877">
        <f t="shared" ref="F11:K11" si="1">E11+1</f>
        <v>4</v>
      </c>
      <c r="G11" s="876">
        <f t="shared" si="1"/>
        <v>5</v>
      </c>
      <c r="H11" s="877">
        <f t="shared" si="1"/>
        <v>6</v>
      </c>
      <c r="I11" s="876">
        <f t="shared" si="1"/>
        <v>7</v>
      </c>
      <c r="J11" s="876">
        <f t="shared" si="1"/>
        <v>8</v>
      </c>
      <c r="K11" s="925">
        <f t="shared" si="1"/>
        <v>9</v>
      </c>
      <c r="N11" s="1151" t="s">
        <v>4307</v>
      </c>
      <c r="O11" s="1297" t="s">
        <v>4257</v>
      </c>
      <c r="P11" s="1193">
        <v>34000</v>
      </c>
      <c r="Q11" s="968" t="s">
        <v>3462</v>
      </c>
      <c r="R11" s="1295" t="s">
        <v>4275</v>
      </c>
      <c r="S11" s="1305" t="s">
        <v>3813</v>
      </c>
    </row>
    <row r="12" spans="1:25" ht="24.6" customHeight="1">
      <c r="A12" s="84"/>
      <c r="B12" s="1467" t="s">
        <v>287</v>
      </c>
      <c r="C12" s="879" t="s">
        <v>9</v>
      </c>
      <c r="D12" s="265"/>
      <c r="E12" s="869"/>
      <c r="F12" s="1724" t="s">
        <v>336</v>
      </c>
      <c r="G12" s="1725"/>
      <c r="H12" s="1725"/>
      <c r="I12" s="1725"/>
      <c r="J12" s="1725"/>
      <c r="K12" s="958"/>
      <c r="N12" s="1151" t="s">
        <v>4237</v>
      </c>
      <c r="O12" s="1300" t="s">
        <v>4238</v>
      </c>
      <c r="P12" s="1193">
        <v>34000</v>
      </c>
      <c r="Q12" s="1193" t="s">
        <v>3462</v>
      </c>
      <c r="R12" s="1299" t="s">
        <v>3813</v>
      </c>
      <c r="S12" s="1309" t="s">
        <v>3813</v>
      </c>
      <c r="T12" s="918"/>
    </row>
    <row r="13" spans="1:25" ht="24.6" customHeight="1">
      <c r="A13" s="84"/>
      <c r="B13" s="1467"/>
      <c r="C13" s="879"/>
      <c r="D13" s="265"/>
      <c r="E13" s="869"/>
      <c r="F13" s="936"/>
      <c r="G13" s="937"/>
      <c r="H13" s="936"/>
      <c r="I13" s="937"/>
      <c r="J13" s="937"/>
      <c r="K13" s="958"/>
      <c r="N13" s="1151" t="s">
        <v>4286</v>
      </c>
      <c r="O13" s="1297" t="s">
        <v>4239</v>
      </c>
      <c r="P13" s="1248">
        <v>34000</v>
      </c>
      <c r="Q13" s="968" t="s">
        <v>3462</v>
      </c>
      <c r="R13" s="1295" t="s">
        <v>3813</v>
      </c>
      <c r="S13" s="1295" t="s">
        <v>3813</v>
      </c>
      <c r="T13" s="918"/>
    </row>
    <row r="14" spans="1:25" ht="24.6" customHeight="1">
      <c r="A14" s="84"/>
      <c r="B14" s="1467"/>
      <c r="C14" s="880" t="s">
        <v>1947</v>
      </c>
      <c r="D14" s="265"/>
      <c r="E14" s="869"/>
      <c r="H14" s="936"/>
      <c r="I14" s="937"/>
      <c r="J14" s="937"/>
      <c r="K14" s="958"/>
      <c r="N14" s="1151" t="s">
        <v>4240</v>
      </c>
      <c r="O14" s="1297" t="s">
        <v>4292</v>
      </c>
      <c r="P14" s="1248">
        <v>9600</v>
      </c>
      <c r="Q14" s="1193" t="s">
        <v>3463</v>
      </c>
      <c r="R14" s="1295" t="s">
        <v>3813</v>
      </c>
      <c r="S14" s="1295" t="s">
        <v>3813</v>
      </c>
      <c r="T14" s="918"/>
    </row>
    <row r="15" spans="1:25" ht="24.6" customHeight="1">
      <c r="A15" s="84"/>
      <c r="B15" s="1467"/>
      <c r="C15" s="880"/>
      <c r="D15" s="265"/>
      <c r="E15" s="869"/>
      <c r="F15" s="936"/>
      <c r="G15" s="937"/>
      <c r="H15" s="936"/>
      <c r="I15" s="937"/>
      <c r="J15" s="937"/>
      <c r="K15" s="958"/>
      <c r="M15" s="84"/>
      <c r="N15" s="1151" t="s">
        <v>4205</v>
      </c>
      <c r="O15" s="1297" t="s">
        <v>4247</v>
      </c>
      <c r="P15" s="1193">
        <v>2830</v>
      </c>
      <c r="Q15" s="875" t="s">
        <v>3463</v>
      </c>
      <c r="R15" s="1295" t="s">
        <v>3813</v>
      </c>
      <c r="S15" s="1242" t="s">
        <v>4291</v>
      </c>
      <c r="T15" s="918" t="s">
        <v>4266</v>
      </c>
    </row>
    <row r="16" spans="1:25" ht="24.6" customHeight="1">
      <c r="A16" s="84"/>
      <c r="B16" s="1467"/>
      <c r="C16" s="881" t="s">
        <v>1949</v>
      </c>
      <c r="D16" s="265"/>
      <c r="E16" s="869"/>
      <c r="F16" s="1791" t="s">
        <v>3777</v>
      </c>
      <c r="G16" s="1792"/>
      <c r="H16" s="1792"/>
      <c r="I16" s="1792"/>
      <c r="J16" s="1793"/>
      <c r="K16" s="958"/>
      <c r="M16" s="84"/>
      <c r="N16" s="1151" t="s">
        <v>4248</v>
      </c>
      <c r="O16" s="1297" t="s">
        <v>4264</v>
      </c>
      <c r="P16" s="1193">
        <v>4000</v>
      </c>
      <c r="Q16" s="1193" t="s">
        <v>3463</v>
      </c>
      <c r="R16" s="1295" t="s">
        <v>3813</v>
      </c>
      <c r="S16" s="1295" t="s">
        <v>3813</v>
      </c>
      <c r="T16" s="918" t="s">
        <v>4223</v>
      </c>
    </row>
    <row r="17" spans="1:20" ht="24.6" customHeight="1">
      <c r="A17" s="84"/>
      <c r="B17" s="875"/>
      <c r="C17" s="5"/>
      <c r="D17" s="5"/>
      <c r="E17" s="939">
        <f>K11+1</f>
        <v>10</v>
      </c>
      <c r="F17" s="940">
        <f t="shared" ref="F17:K17" si="2">E17+1</f>
        <v>11</v>
      </c>
      <c r="G17" s="941">
        <f t="shared" si="2"/>
        <v>12</v>
      </c>
      <c r="H17" s="942">
        <f t="shared" si="2"/>
        <v>13</v>
      </c>
      <c r="I17" s="943">
        <f t="shared" si="2"/>
        <v>14</v>
      </c>
      <c r="J17" s="943">
        <f t="shared" si="2"/>
        <v>15</v>
      </c>
      <c r="K17" s="959">
        <f t="shared" si="2"/>
        <v>16</v>
      </c>
      <c r="M17" s="84"/>
      <c r="N17" s="1151" t="s">
        <v>4249</v>
      </c>
      <c r="O17" s="1297" t="s">
        <v>4250</v>
      </c>
      <c r="P17" s="1193">
        <v>34000</v>
      </c>
      <c r="Q17" s="968" t="s">
        <v>3462</v>
      </c>
      <c r="R17" s="1295" t="s">
        <v>3465</v>
      </c>
      <c r="S17" s="1295" t="s">
        <v>3465</v>
      </c>
      <c r="T17" s="918"/>
    </row>
    <row r="18" spans="1:20" ht="24.6" customHeight="1">
      <c r="A18" s="84"/>
      <c r="B18" s="1467" t="s">
        <v>287</v>
      </c>
      <c r="C18" s="879" t="s">
        <v>9</v>
      </c>
      <c r="D18" s="265"/>
      <c r="E18" s="871"/>
      <c r="F18" s="1724" t="s">
        <v>336</v>
      </c>
      <c r="G18" s="1725"/>
      <c r="H18" s="1725"/>
      <c r="I18" s="1725"/>
      <c r="J18" s="1725"/>
      <c r="K18" s="960"/>
      <c r="M18" s="84"/>
      <c r="N18" s="1151" t="s">
        <v>4108</v>
      </c>
      <c r="O18" s="1297" t="s">
        <v>4251</v>
      </c>
      <c r="P18" s="1193">
        <v>34000</v>
      </c>
      <c r="Q18" s="968" t="s">
        <v>3462</v>
      </c>
      <c r="R18" s="1295" t="s">
        <v>3465</v>
      </c>
      <c r="S18" s="1295" t="s">
        <v>3465</v>
      </c>
      <c r="T18" s="918"/>
    </row>
    <row r="19" spans="1:20" ht="24.6" customHeight="1">
      <c r="A19" s="84"/>
      <c r="B19" s="1467"/>
      <c r="C19" s="879"/>
      <c r="D19" s="265"/>
      <c r="E19" s="871"/>
      <c r="F19" s="868"/>
      <c r="G19" s="868"/>
      <c r="H19" s="871"/>
      <c r="I19" s="871"/>
      <c r="J19" s="871"/>
      <c r="K19" s="960"/>
      <c r="L19" s="84"/>
      <c r="M19" s="84"/>
      <c r="N19" s="1151" t="s">
        <v>4252</v>
      </c>
      <c r="O19" s="1297" t="s">
        <v>4253</v>
      </c>
      <c r="P19" s="1193">
        <v>34000</v>
      </c>
      <c r="Q19" s="968" t="s">
        <v>3462</v>
      </c>
      <c r="R19" s="1295" t="s">
        <v>3465</v>
      </c>
      <c r="S19" s="1295" t="s">
        <v>3465</v>
      </c>
      <c r="T19" s="918"/>
    </row>
    <row r="20" spans="1:20" ht="24.6" customHeight="1">
      <c r="A20" s="84"/>
      <c r="B20" s="1467"/>
      <c r="C20" s="880" t="s">
        <v>1947</v>
      </c>
      <c r="D20" s="265"/>
      <c r="E20" s="871"/>
      <c r="F20" s="1776" t="s">
        <v>4184</v>
      </c>
      <c r="G20" s="1777"/>
      <c r="H20" s="871"/>
      <c r="I20" s="1197" t="s">
        <v>4287</v>
      </c>
      <c r="J20" s="871"/>
      <c r="K20" s="871"/>
      <c r="L20" s="84"/>
      <c r="M20" s="84"/>
      <c r="N20" s="1151" t="s">
        <v>4254</v>
      </c>
      <c r="O20" s="1297" t="s">
        <v>4255</v>
      </c>
      <c r="P20" s="1193">
        <v>31538</v>
      </c>
      <c r="Q20" s="968" t="s">
        <v>3463</v>
      </c>
      <c r="R20" s="1295" t="s">
        <v>3465</v>
      </c>
      <c r="S20" s="1295" t="s">
        <v>3465</v>
      </c>
      <c r="T20" s="84" t="s">
        <v>4106</v>
      </c>
    </row>
    <row r="21" spans="1:20" ht="24.6" customHeight="1">
      <c r="A21" s="84"/>
      <c r="B21" s="1467"/>
      <c r="C21" s="880"/>
      <c r="D21" s="265"/>
      <c r="E21" s="871"/>
      <c r="F21" s="871"/>
      <c r="G21" s="1776" t="s">
        <v>4178</v>
      </c>
      <c r="H21" s="1783"/>
      <c r="I21" s="1197" t="s">
        <v>4268</v>
      </c>
      <c r="J21" s="871"/>
      <c r="K21" s="960"/>
      <c r="L21" s="84"/>
      <c r="M21" s="84"/>
    </row>
    <row r="22" spans="1:20" ht="24.6" customHeight="1">
      <c r="A22" s="84"/>
      <c r="B22" s="1467"/>
      <c r="C22" s="881" t="s">
        <v>1949</v>
      </c>
      <c r="D22" s="265"/>
      <c r="E22" s="871"/>
      <c r="F22" s="868"/>
      <c r="G22" s="868"/>
      <c r="H22" s="868"/>
      <c r="I22" s="868"/>
      <c r="J22" s="1298" t="s">
        <v>1988</v>
      </c>
      <c r="K22" s="960"/>
      <c r="L22" s="84"/>
    </row>
    <row r="23" spans="1:20" ht="24.6" customHeight="1">
      <c r="A23" s="84"/>
      <c r="B23" s="875"/>
      <c r="C23" s="5"/>
      <c r="D23" s="5"/>
      <c r="E23" s="935">
        <f>K17+1</f>
        <v>17</v>
      </c>
      <c r="F23" s="924">
        <f t="shared" ref="F23:K23" si="3">E23+1</f>
        <v>18</v>
      </c>
      <c r="G23" s="923">
        <f t="shared" si="3"/>
        <v>19</v>
      </c>
      <c r="H23" s="924">
        <f t="shared" si="3"/>
        <v>20</v>
      </c>
      <c r="I23" s="923">
        <f t="shared" si="3"/>
        <v>21</v>
      </c>
      <c r="J23" s="923">
        <f t="shared" si="3"/>
        <v>22</v>
      </c>
      <c r="K23" s="925">
        <f t="shared" si="3"/>
        <v>23</v>
      </c>
      <c r="L23" s="84"/>
    </row>
    <row r="24" spans="1:20" ht="24.6" customHeight="1">
      <c r="A24" s="84"/>
      <c r="B24" s="1467" t="s">
        <v>287</v>
      </c>
      <c r="C24" s="879" t="s">
        <v>9</v>
      </c>
      <c r="D24" s="265"/>
      <c r="E24" s="869"/>
      <c r="F24" s="1724" t="s">
        <v>336</v>
      </c>
      <c r="G24" s="1725"/>
      <c r="H24" s="1725"/>
      <c r="I24" s="1725"/>
      <c r="J24" s="1725"/>
      <c r="K24" s="958"/>
      <c r="L24" s="84"/>
      <c r="M24" s="1294"/>
    </row>
    <row r="25" spans="1:20" ht="24.6" customHeight="1">
      <c r="A25" s="84"/>
      <c r="B25" s="1467"/>
      <c r="C25" s="879"/>
      <c r="D25" s="265"/>
      <c r="E25" s="869"/>
      <c r="K25" s="958"/>
      <c r="L25" s="84"/>
      <c r="M25" s="1294"/>
    </row>
    <row r="26" spans="1:20" ht="24.6" customHeight="1">
      <c r="A26" s="84"/>
      <c r="B26" s="1467"/>
      <c r="C26" s="880" t="s">
        <v>1947</v>
      </c>
      <c r="D26" s="265"/>
      <c r="E26" s="869"/>
      <c r="F26" s="1776" t="s">
        <v>4179</v>
      </c>
      <c r="G26" s="1777"/>
      <c r="H26" s="936"/>
      <c r="I26" s="1783" t="s">
        <v>4236</v>
      </c>
      <c r="J26" s="1777"/>
      <c r="K26" s="958"/>
      <c r="L26" s="84"/>
    </row>
    <row r="27" spans="1:20" ht="24.6" customHeight="1">
      <c r="A27" s="84"/>
      <c r="B27" s="1467"/>
      <c r="C27" s="880"/>
      <c r="D27" s="265"/>
      <c r="E27" s="869"/>
      <c r="G27" s="1776" t="s">
        <v>4283</v>
      </c>
      <c r="H27" s="1783"/>
      <c r="I27" s="1777"/>
      <c r="K27" s="958"/>
      <c r="L27" s="84"/>
    </row>
    <row r="28" spans="1:20" ht="24" customHeight="1">
      <c r="A28" s="84"/>
      <c r="B28" s="1467"/>
      <c r="C28" s="881" t="s">
        <v>1949</v>
      </c>
      <c r="D28" s="265"/>
      <c r="E28" s="870"/>
      <c r="I28" s="1302" t="s">
        <v>4226</v>
      </c>
      <c r="K28" s="958"/>
      <c r="L28" s="84"/>
    </row>
    <row r="29" spans="1:20" ht="24.6" customHeight="1">
      <c r="A29" s="84"/>
      <c r="B29" s="5"/>
      <c r="C29" s="269"/>
      <c r="D29" s="265"/>
      <c r="E29" s="946">
        <f>K23+1</f>
        <v>24</v>
      </c>
      <c r="F29" s="940">
        <f>E29+1</f>
        <v>25</v>
      </c>
      <c r="G29" s="942">
        <f t="shared" ref="G29:K29" si="4">F29+1</f>
        <v>26</v>
      </c>
      <c r="H29" s="942">
        <f t="shared" si="4"/>
        <v>27</v>
      </c>
      <c r="I29" s="943">
        <f t="shared" si="4"/>
        <v>28</v>
      </c>
      <c r="J29" s="943">
        <f t="shared" si="4"/>
        <v>29</v>
      </c>
      <c r="K29" s="959">
        <f t="shared" si="4"/>
        <v>30</v>
      </c>
      <c r="L29" s="84"/>
    </row>
    <row r="30" spans="1:20" ht="24.6" customHeight="1">
      <c r="A30" s="84"/>
      <c r="B30" s="1467" t="s">
        <v>287</v>
      </c>
      <c r="C30" s="879" t="s">
        <v>9</v>
      </c>
      <c r="D30" s="265"/>
      <c r="E30" s="871"/>
      <c r="F30" s="1724" t="s">
        <v>336</v>
      </c>
      <c r="G30" s="1725"/>
      <c r="H30" s="1725"/>
      <c r="I30" s="1725"/>
      <c r="J30" s="1725"/>
      <c r="K30" s="960"/>
      <c r="L30" s="84"/>
      <c r="M30" s="84"/>
    </row>
    <row r="31" spans="1:20" ht="24.6" customHeight="1">
      <c r="A31" s="84"/>
      <c r="B31" s="1467"/>
      <c r="C31" s="879"/>
      <c r="D31" s="265"/>
      <c r="E31" s="871"/>
      <c r="F31" s="871"/>
      <c r="G31" s="871"/>
      <c r="H31" s="871"/>
      <c r="I31" s="871"/>
      <c r="J31" s="871"/>
      <c r="K31" s="960"/>
      <c r="L31" s="84"/>
    </row>
    <row r="32" spans="1:20" ht="24.6" customHeight="1">
      <c r="A32" s="84"/>
      <c r="B32" s="1467"/>
      <c r="C32" s="880" t="s">
        <v>1947</v>
      </c>
      <c r="D32" s="265"/>
      <c r="E32" s="871"/>
      <c r="F32" s="1241" t="s">
        <v>4281</v>
      </c>
      <c r="G32" s="871"/>
      <c r="H32" s="1776" t="s">
        <v>4288</v>
      </c>
      <c r="I32" s="1789"/>
      <c r="J32" s="871"/>
      <c r="K32" s="960"/>
      <c r="L32" s="84"/>
    </row>
    <row r="33" spans="1:19" ht="24.6" customHeight="1">
      <c r="A33" s="84"/>
      <c r="B33" s="1467"/>
      <c r="C33" s="880"/>
      <c r="D33" s="265"/>
      <c r="E33" s="871"/>
      <c r="F33" s="1786" t="s">
        <v>4282</v>
      </c>
      <c r="G33" s="1787"/>
      <c r="H33" s="1788"/>
      <c r="I33" s="1790" t="s">
        <v>4171</v>
      </c>
      <c r="J33" s="1781"/>
      <c r="K33" s="960"/>
      <c r="L33" s="84"/>
    </row>
    <row r="34" spans="1:19" ht="24.6" customHeight="1">
      <c r="A34" s="84"/>
      <c r="B34" s="1467"/>
      <c r="C34" s="881" t="s">
        <v>1949</v>
      </c>
      <c r="D34" s="265"/>
      <c r="E34" s="872"/>
      <c r="F34" s="872"/>
      <c r="G34" s="872"/>
      <c r="H34" s="872"/>
      <c r="I34" s="871"/>
      <c r="J34" s="960"/>
      <c r="K34" s="960"/>
      <c r="L34" s="84"/>
    </row>
    <row r="35" spans="1:19" ht="24.6" customHeight="1">
      <c r="A35" s="84"/>
      <c r="B35" s="5"/>
      <c r="C35" s="269"/>
      <c r="D35" s="265"/>
      <c r="E35" s="977">
        <f>K29+1</f>
        <v>31</v>
      </c>
      <c r="F35" s="979"/>
      <c r="G35" s="562"/>
      <c r="H35" s="979"/>
      <c r="I35" s="1310"/>
      <c r="J35" s="1311"/>
      <c r="K35" s="1311"/>
      <c r="L35" s="84"/>
    </row>
    <row r="36" spans="1:19" ht="24.6" customHeight="1">
      <c r="A36" s="84"/>
      <c r="B36" s="1467" t="s">
        <v>287</v>
      </c>
      <c r="C36" s="879" t="s">
        <v>9</v>
      </c>
      <c r="D36" s="265"/>
      <c r="E36" s="978"/>
      <c r="F36" s="979"/>
      <c r="H36" s="979"/>
      <c r="I36" s="1266"/>
      <c r="J36" s="978"/>
      <c r="K36" s="980"/>
      <c r="L36" s="84"/>
      <c r="M36" s="84"/>
    </row>
    <row r="37" spans="1:19" ht="24.6" customHeight="1">
      <c r="A37" s="84"/>
      <c r="B37" s="1467"/>
      <c r="C37" s="879"/>
      <c r="D37" s="265"/>
      <c r="E37" s="978"/>
      <c r="F37" s="979"/>
      <c r="H37" s="979"/>
      <c r="I37" s="1266"/>
      <c r="J37" s="978"/>
      <c r="K37" s="980"/>
      <c r="L37" s="84"/>
      <c r="M37" s="84"/>
    </row>
    <row r="38" spans="1:19" ht="24.6" customHeight="1">
      <c r="A38" s="84"/>
      <c r="B38" s="1467"/>
      <c r="C38" s="880" t="s">
        <v>1947</v>
      </c>
      <c r="D38" s="265"/>
      <c r="E38" s="978"/>
      <c r="F38" s="979"/>
      <c r="H38" s="979"/>
      <c r="I38" s="1266"/>
      <c r="J38" s="978"/>
      <c r="K38" s="980"/>
      <c r="L38" s="84"/>
      <c r="M38" s="84"/>
    </row>
    <row r="39" spans="1:19" ht="24.6" customHeight="1">
      <c r="A39" s="84"/>
      <c r="B39" s="1467"/>
      <c r="C39" s="880"/>
      <c r="D39" s="265"/>
      <c r="E39" s="978"/>
      <c r="F39" s="979"/>
      <c r="H39" s="979"/>
      <c r="I39" s="1266"/>
      <c r="J39" s="978"/>
      <c r="K39" s="980"/>
      <c r="L39" s="84"/>
      <c r="M39" s="84"/>
      <c r="S39" s="84"/>
    </row>
    <row r="40" spans="1:19" ht="24.6" customHeight="1">
      <c r="A40" s="84"/>
      <c r="B40" s="1467"/>
      <c r="C40" s="881" t="s">
        <v>1949</v>
      </c>
      <c r="D40" s="265"/>
      <c r="E40" s="927"/>
      <c r="F40" s="981"/>
      <c r="G40" s="982"/>
      <c r="H40" s="982"/>
      <c r="I40" s="1267"/>
      <c r="J40" s="927"/>
      <c r="K40" s="983"/>
      <c r="L40" s="84"/>
      <c r="M40" s="84"/>
    </row>
    <row r="41" spans="1:19">
      <c r="S41" s="84"/>
    </row>
    <row r="42" spans="1:19" ht="24" customHeight="1">
      <c r="A42" s="84"/>
      <c r="B42" s="5"/>
      <c r="C42" s="962" t="s">
        <v>3744</v>
      </c>
      <c r="D42" s="84"/>
      <c r="E42" s="931" t="s">
        <v>3740</v>
      </c>
      <c r="F42" s="933" t="s">
        <v>3743</v>
      </c>
      <c r="G42" s="1298" t="s">
        <v>3768</v>
      </c>
      <c r="L42" s="84"/>
      <c r="M42" s="84"/>
      <c r="S42" s="84"/>
    </row>
    <row r="43" spans="1:19" ht="24.6" customHeight="1">
      <c r="A43" s="84"/>
      <c r="B43" s="5"/>
      <c r="D43" s="84"/>
      <c r="E43" s="932" t="s">
        <v>3741</v>
      </c>
      <c r="F43" s="1186" t="s">
        <v>3742</v>
      </c>
      <c r="G43" s="972" t="s">
        <v>336</v>
      </c>
      <c r="L43" s="84"/>
      <c r="M43" s="84"/>
    </row>
  </sheetData>
  <mergeCells count="25">
    <mergeCell ref="O2:P2"/>
    <mergeCell ref="Q2:R2"/>
    <mergeCell ref="E3:G3"/>
    <mergeCell ref="H3:K3"/>
    <mergeCell ref="O3:P3"/>
    <mergeCell ref="Q3:R3"/>
    <mergeCell ref="B6:B10"/>
    <mergeCell ref="B12:B16"/>
    <mergeCell ref="F12:J12"/>
    <mergeCell ref="F16:J16"/>
    <mergeCell ref="B18:B22"/>
    <mergeCell ref="F18:J18"/>
    <mergeCell ref="F20:G20"/>
    <mergeCell ref="G21:H21"/>
    <mergeCell ref="B36:B40"/>
    <mergeCell ref="B24:B28"/>
    <mergeCell ref="F24:J24"/>
    <mergeCell ref="F26:G26"/>
    <mergeCell ref="I26:J26"/>
    <mergeCell ref="G27:I27"/>
    <mergeCell ref="B30:B34"/>
    <mergeCell ref="F30:J30"/>
    <mergeCell ref="F33:H33"/>
    <mergeCell ref="H32:I32"/>
    <mergeCell ref="I33:J33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1278"/>
  <sheetViews>
    <sheetView showGridLines="0" topLeftCell="A4" zoomScale="70" zoomScaleNormal="70" workbookViewId="0">
      <selection activeCell="I31" sqref="I31"/>
    </sheetView>
  </sheetViews>
  <sheetFormatPr defaultColWidth="8.88671875" defaultRowHeight="16.899999999999999" outlineLevelCol="1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customWidth="1" outlineLevel="1"/>
    <col min="15" max="15" width="17.77734375" style="90" customWidth="1" outlineLevel="1"/>
    <col min="16" max="16" width="10.21875" style="90" customWidth="1" outlineLevel="1"/>
    <col min="17" max="17" width="14.77734375" style="90" customWidth="1" outlineLevel="1"/>
    <col min="18" max="18" width="16.5546875" style="90" customWidth="1" outlineLevel="1"/>
    <col min="19" max="19" width="6.6640625" style="90" customWidth="1" outlineLevel="1"/>
    <col min="20" max="20" width="19.77734375" style="84" customWidth="1" outlineLevel="1"/>
    <col min="21" max="16384" width="8.88671875" style="84"/>
  </cols>
  <sheetData>
    <row r="1" spans="1:24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4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4" ht="57">
      <c r="A3" s="84"/>
      <c r="B3" s="84"/>
      <c r="C3" s="5"/>
      <c r="D3" s="5"/>
      <c r="E3" s="1759">
        <v>45901</v>
      </c>
      <c r="F3" s="1759"/>
      <c r="G3" s="1759"/>
      <c r="H3" s="1760" t="s">
        <v>10</v>
      </c>
      <c r="I3" s="1717"/>
      <c r="J3" s="1717"/>
      <c r="K3" s="1717"/>
      <c r="N3" s="989">
        <f>SUMIF($Q$8:$Q$25,"F",$P$8:$P$25)</f>
        <v>238000</v>
      </c>
      <c r="O3" s="1715">
        <f>SUMIF($Q$7:$Q$25,"S",$P$7:$P$25)</f>
        <v>142172</v>
      </c>
      <c r="P3" s="1715"/>
      <c r="Q3" s="1706">
        <f>N3+O3</f>
        <v>380172</v>
      </c>
      <c r="R3" s="1707"/>
    </row>
    <row r="4" spans="1:24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90"/>
    </row>
    <row r="5" spans="1:24" s="5" customFormat="1" ht="24.6" customHeight="1">
      <c r="E5" s="973"/>
      <c r="F5" s="941">
        <f t="shared" ref="F5:K5" si="0">E5+1</f>
        <v>1</v>
      </c>
      <c r="G5" s="941">
        <f t="shared" si="0"/>
        <v>2</v>
      </c>
      <c r="H5" s="941">
        <f t="shared" si="0"/>
        <v>3</v>
      </c>
      <c r="I5" s="941">
        <f t="shared" si="0"/>
        <v>4</v>
      </c>
      <c r="J5" s="941">
        <f t="shared" si="0"/>
        <v>5</v>
      </c>
      <c r="K5" s="957">
        <f t="shared" si="0"/>
        <v>6</v>
      </c>
      <c r="L5" s="90"/>
      <c r="M5" s="90"/>
      <c r="P5" s="1236"/>
      <c r="S5" s="90"/>
    </row>
    <row r="6" spans="1:24" s="5" customFormat="1" ht="24.6" customHeight="1">
      <c r="B6" s="1467" t="s">
        <v>287</v>
      </c>
      <c r="C6" s="879" t="s">
        <v>9</v>
      </c>
      <c r="D6" s="265"/>
      <c r="E6" s="867"/>
      <c r="F6" s="1724" t="s">
        <v>336</v>
      </c>
      <c r="G6" s="1725"/>
      <c r="H6" s="1725"/>
      <c r="I6" s="1725"/>
      <c r="J6" s="1725"/>
      <c r="K6" s="957"/>
      <c r="L6" s="90"/>
      <c r="M6" s="90"/>
      <c r="S6" s="90"/>
    </row>
    <row r="7" spans="1:24" s="5" customFormat="1" ht="24.6" customHeight="1">
      <c r="B7" s="1467"/>
      <c r="C7" s="879"/>
      <c r="D7" s="265"/>
      <c r="E7" s="867"/>
      <c r="F7" s="867"/>
      <c r="G7" s="867"/>
      <c r="H7" s="867"/>
      <c r="I7" s="867"/>
      <c r="J7" s="868"/>
      <c r="K7" s="957"/>
      <c r="L7" s="90"/>
      <c r="M7" s="90"/>
      <c r="N7" s="683" t="s">
        <v>4256</v>
      </c>
      <c r="S7" s="90"/>
    </row>
    <row r="8" spans="1:24" s="5" customFormat="1" ht="24.6" customHeight="1">
      <c r="B8" s="1467"/>
      <c r="C8" s="880" t="s">
        <v>1960</v>
      </c>
      <c r="D8" s="265"/>
      <c r="E8" s="867"/>
      <c r="F8" s="1313" t="s">
        <v>4225</v>
      </c>
      <c r="G8" s="1314" t="s">
        <v>4246</v>
      </c>
      <c r="H8" s="1776" t="s">
        <v>4280</v>
      </c>
      <c r="I8" s="1777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4" s="5" customFormat="1" ht="24.6" customHeight="1">
      <c r="B9" s="1467"/>
      <c r="C9" s="880"/>
      <c r="D9" s="265"/>
      <c r="E9" s="1292"/>
      <c r="F9" s="867"/>
      <c r="G9" s="1313" t="s">
        <v>4295</v>
      </c>
      <c r="H9" s="868"/>
      <c r="I9" s="868"/>
      <c r="J9" s="1303" t="s">
        <v>4276</v>
      </c>
      <c r="K9" s="957"/>
      <c r="L9" s="90"/>
      <c r="M9" s="1258"/>
      <c r="N9" s="1283" t="s">
        <v>4298</v>
      </c>
      <c r="O9" s="1284" t="s">
        <v>4309</v>
      </c>
      <c r="P9" s="1193">
        <v>21741</v>
      </c>
      <c r="Q9" s="968" t="s">
        <v>3463</v>
      </c>
      <c r="R9" s="1299" t="s">
        <v>3813</v>
      </c>
      <c r="S9" s="1306" t="s">
        <v>3813</v>
      </c>
      <c r="T9" s="84"/>
      <c r="U9" s="84"/>
      <c r="V9" s="84"/>
      <c r="W9" s="84"/>
    </row>
    <row r="10" spans="1:24" s="5" customFormat="1" ht="24.6" customHeight="1">
      <c r="B10" s="1467"/>
      <c r="C10" s="881" t="s">
        <v>390</v>
      </c>
      <c r="D10" s="265"/>
      <c r="E10" s="867"/>
      <c r="F10" s="957"/>
      <c r="G10" s="868"/>
      <c r="H10" s="868"/>
      <c r="I10" s="868"/>
      <c r="J10" s="868"/>
      <c r="K10" s="957"/>
      <c r="L10" s="90"/>
      <c r="M10" s="1258"/>
      <c r="N10" s="1283" t="s">
        <v>4277</v>
      </c>
      <c r="O10" s="1284" t="s">
        <v>4310</v>
      </c>
      <c r="P10" s="1193">
        <v>15920</v>
      </c>
      <c r="Q10" s="968" t="s">
        <v>3463</v>
      </c>
      <c r="R10" s="1315" t="s">
        <v>3813</v>
      </c>
      <c r="S10" s="1315" t="s">
        <v>3813</v>
      </c>
      <c r="T10" s="84"/>
      <c r="U10" s="84"/>
      <c r="V10" s="84"/>
      <c r="W10" s="84"/>
    </row>
    <row r="11" spans="1:24" ht="24.6" customHeight="1">
      <c r="A11" s="84"/>
      <c r="B11" s="875"/>
      <c r="C11" s="5"/>
      <c r="D11" s="5"/>
      <c r="E11" s="1330">
        <f>K5+1</f>
        <v>7</v>
      </c>
      <c r="F11" s="1316">
        <f t="shared" ref="F11:K11" si="1">E11+1</f>
        <v>8</v>
      </c>
      <c r="G11" s="1317">
        <f t="shared" si="1"/>
        <v>9</v>
      </c>
      <c r="H11" s="1316">
        <f t="shared" si="1"/>
        <v>10</v>
      </c>
      <c r="I11" s="1317">
        <f t="shared" si="1"/>
        <v>11</v>
      </c>
      <c r="J11" s="1317">
        <f t="shared" si="1"/>
        <v>12</v>
      </c>
      <c r="K11" s="1330">
        <f t="shared" si="1"/>
        <v>13</v>
      </c>
      <c r="M11" s="1258"/>
      <c r="N11" s="1283" t="s">
        <v>4312</v>
      </c>
      <c r="O11" s="1284" t="s">
        <v>4293</v>
      </c>
      <c r="P11" s="1193">
        <v>34000</v>
      </c>
      <c r="Q11" s="968" t="s">
        <v>3462</v>
      </c>
      <c r="R11" s="1299" t="s">
        <v>3813</v>
      </c>
      <c r="S11" s="1321" t="s">
        <v>3813</v>
      </c>
      <c r="X11" s="5"/>
    </row>
    <row r="12" spans="1:24" ht="24.6" customHeight="1">
      <c r="A12" s="84"/>
      <c r="B12" s="1467" t="s">
        <v>287</v>
      </c>
      <c r="C12" s="879" t="s">
        <v>9</v>
      </c>
      <c r="D12" s="265"/>
      <c r="E12" s="978"/>
      <c r="F12" s="1798" t="s">
        <v>336</v>
      </c>
      <c r="G12" s="1799"/>
      <c r="H12" s="1799"/>
      <c r="I12" s="1799"/>
      <c r="J12" s="1799"/>
      <c r="K12" s="978"/>
      <c r="M12" s="1258"/>
      <c r="N12" s="1283" t="s">
        <v>4234</v>
      </c>
      <c r="O12" s="1284" t="s">
        <v>4343</v>
      </c>
      <c r="P12" s="1193">
        <v>34000</v>
      </c>
      <c r="Q12" s="968" t="s">
        <v>3462</v>
      </c>
      <c r="R12" s="1299" t="s">
        <v>3813</v>
      </c>
      <c r="S12" s="1305" t="s">
        <v>3813</v>
      </c>
    </row>
    <row r="13" spans="1:24" ht="24.6" customHeight="1">
      <c r="A13" s="84"/>
      <c r="B13" s="1467"/>
      <c r="C13" s="879"/>
      <c r="D13" s="265"/>
      <c r="E13" s="978"/>
      <c r="F13" s="978"/>
      <c r="G13" s="978"/>
      <c r="H13" s="978"/>
      <c r="I13" s="978"/>
      <c r="J13" s="978"/>
      <c r="K13" s="978"/>
      <c r="N13" s="1283" t="s">
        <v>4299</v>
      </c>
      <c r="O13" s="1284" t="s">
        <v>4344</v>
      </c>
      <c r="P13" s="1193">
        <v>34000</v>
      </c>
      <c r="Q13" s="968" t="s">
        <v>3462</v>
      </c>
      <c r="R13" s="1295" t="s">
        <v>3813</v>
      </c>
      <c r="S13" s="1295" t="s">
        <v>3813</v>
      </c>
      <c r="T13" s="918"/>
    </row>
    <row r="14" spans="1:24" ht="24.6" customHeight="1">
      <c r="A14" s="84"/>
      <c r="B14" s="1467"/>
      <c r="C14" s="880" t="s">
        <v>1960</v>
      </c>
      <c r="D14" s="265"/>
      <c r="E14" s="978"/>
      <c r="F14" s="1331"/>
      <c r="G14" s="1782" t="s">
        <v>4308</v>
      </c>
      <c r="H14" s="1766"/>
      <c r="I14" s="1796" t="s">
        <v>4306</v>
      </c>
      <c r="J14" s="1797"/>
      <c r="K14" s="978"/>
      <c r="N14" s="1283" t="s">
        <v>4136</v>
      </c>
      <c r="O14" s="1284" t="s">
        <v>4367</v>
      </c>
      <c r="P14" s="1193">
        <v>12000</v>
      </c>
      <c r="Q14" s="1193" t="s">
        <v>3463</v>
      </c>
      <c r="R14" s="1299" t="s">
        <v>3813</v>
      </c>
      <c r="S14" s="1309" t="s">
        <v>3813</v>
      </c>
    </row>
    <row r="15" spans="1:24" ht="24.6" customHeight="1">
      <c r="A15" s="84"/>
      <c r="B15" s="1467"/>
      <c r="C15" s="880"/>
      <c r="D15" s="265"/>
      <c r="E15" s="978"/>
      <c r="F15" s="1765" t="s">
        <v>4262</v>
      </c>
      <c r="G15" s="1772"/>
      <c r="H15" s="1332" t="s">
        <v>4314</v>
      </c>
      <c r="I15" s="1333"/>
      <c r="J15" s="1241" t="s">
        <v>4326</v>
      </c>
      <c r="K15" s="978"/>
      <c r="N15" s="1283" t="s">
        <v>4274</v>
      </c>
      <c r="O15" s="1284" t="s">
        <v>4345</v>
      </c>
      <c r="P15" s="1193">
        <v>4000</v>
      </c>
      <c r="Q15" s="1193" t="s">
        <v>3463</v>
      </c>
      <c r="R15" s="1299" t="s">
        <v>3813</v>
      </c>
      <c r="S15" s="1309" t="s">
        <v>3813</v>
      </c>
      <c r="T15" s="918" t="s">
        <v>4297</v>
      </c>
    </row>
    <row r="16" spans="1:24" ht="24.6" customHeight="1">
      <c r="A16" s="84"/>
      <c r="B16" s="1467"/>
      <c r="C16" s="881" t="s">
        <v>390</v>
      </c>
      <c r="D16" s="265"/>
      <c r="E16" s="927"/>
      <c r="F16" s="927"/>
      <c r="G16" s="927"/>
      <c r="H16" s="927"/>
      <c r="I16" s="927"/>
      <c r="J16" s="927"/>
      <c r="K16" s="927"/>
      <c r="N16" s="1283" t="s">
        <v>4301</v>
      </c>
      <c r="O16" s="1284" t="s">
        <v>4346</v>
      </c>
      <c r="P16" s="1193">
        <v>34000</v>
      </c>
      <c r="Q16" s="968" t="s">
        <v>3462</v>
      </c>
      <c r="R16" s="1255" t="s">
        <v>4098</v>
      </c>
      <c r="S16" s="1255" t="s">
        <v>4098</v>
      </c>
    </row>
    <row r="17" spans="1:22" ht="24.6" customHeight="1">
      <c r="A17" s="84"/>
      <c r="B17" s="875"/>
      <c r="C17" s="5"/>
      <c r="D17" s="5"/>
      <c r="E17" s="946">
        <f>K11+1</f>
        <v>14</v>
      </c>
      <c r="F17" s="1329">
        <f t="shared" ref="F17:K17" si="2">E17+1</f>
        <v>15</v>
      </c>
      <c r="G17" s="928">
        <f t="shared" si="2"/>
        <v>16</v>
      </c>
      <c r="H17" s="1329">
        <f t="shared" si="2"/>
        <v>17</v>
      </c>
      <c r="I17" s="928">
        <f t="shared" si="2"/>
        <v>18</v>
      </c>
      <c r="J17" s="928">
        <f t="shared" si="2"/>
        <v>19</v>
      </c>
      <c r="K17" s="1322">
        <f t="shared" si="2"/>
        <v>20</v>
      </c>
      <c r="N17" s="1283" t="s">
        <v>4300</v>
      </c>
      <c r="O17" s="1284" t="s">
        <v>4289</v>
      </c>
      <c r="P17" s="1288">
        <v>34000</v>
      </c>
      <c r="Q17" s="1289" t="s">
        <v>3462</v>
      </c>
      <c r="R17" s="1318" t="s">
        <v>3813</v>
      </c>
      <c r="S17" s="1324" t="s">
        <v>3813</v>
      </c>
      <c r="T17" s="918" t="s">
        <v>4336</v>
      </c>
    </row>
    <row r="18" spans="1:22" ht="24.6" customHeight="1">
      <c r="A18" s="84"/>
      <c r="B18" s="1467" t="s">
        <v>287</v>
      </c>
      <c r="C18" s="879" t="s">
        <v>9</v>
      </c>
      <c r="D18" s="265"/>
      <c r="E18" s="871"/>
      <c r="F18" s="871"/>
      <c r="G18" s="871"/>
      <c r="H18" s="871"/>
      <c r="I18" s="1784" t="s">
        <v>4323</v>
      </c>
      <c r="J18" s="1785"/>
      <c r="K18" s="928"/>
      <c r="N18" s="1283" t="s">
        <v>4302</v>
      </c>
      <c r="O18" s="1284" t="s">
        <v>4347</v>
      </c>
      <c r="P18" s="1193">
        <v>8994</v>
      </c>
      <c r="Q18" s="1193" t="s">
        <v>3463</v>
      </c>
      <c r="R18" s="1299" t="s">
        <v>3815</v>
      </c>
      <c r="S18" s="1299" t="s">
        <v>3815</v>
      </c>
      <c r="T18" s="918"/>
    </row>
    <row r="19" spans="1:22" ht="24.6" customHeight="1">
      <c r="A19" s="84"/>
      <c r="B19" s="1467"/>
      <c r="C19" s="879"/>
      <c r="D19" s="265"/>
      <c r="E19" s="871"/>
      <c r="F19" s="871"/>
      <c r="G19" s="1778" t="s">
        <v>4331</v>
      </c>
      <c r="H19" s="1779"/>
      <c r="I19" s="928"/>
      <c r="J19" s="1784" t="s">
        <v>4458</v>
      </c>
      <c r="K19" s="1785"/>
      <c r="L19" s="84"/>
      <c r="N19" s="1283" t="s">
        <v>4269</v>
      </c>
      <c r="O19" s="1284" t="s">
        <v>4499</v>
      </c>
      <c r="P19" s="1193">
        <f>2530</f>
        <v>2530</v>
      </c>
      <c r="Q19" s="1193" t="s">
        <v>3463</v>
      </c>
      <c r="R19" s="1299" t="s">
        <v>3813</v>
      </c>
      <c r="S19" s="1326" t="s">
        <v>3813</v>
      </c>
      <c r="T19" s="918" t="s">
        <v>4270</v>
      </c>
    </row>
    <row r="20" spans="1:22" ht="24.6" customHeight="1">
      <c r="A20" s="84"/>
      <c r="B20" s="1467"/>
      <c r="C20" s="880" t="s">
        <v>1960</v>
      </c>
      <c r="D20" s="265"/>
      <c r="E20" s="871"/>
      <c r="F20" s="1765" t="s">
        <v>4290</v>
      </c>
      <c r="G20" s="1766"/>
      <c r="H20" s="1776" t="s">
        <v>4328</v>
      </c>
      <c r="I20" s="1777"/>
      <c r="J20" s="871"/>
      <c r="K20" s="928"/>
      <c r="L20" s="84"/>
      <c r="N20" s="1283" t="s">
        <v>4137</v>
      </c>
      <c r="O20" s="1284" t="s">
        <v>4348</v>
      </c>
      <c r="P20" s="1193">
        <f>14400+12000+14400</f>
        <v>40800</v>
      </c>
      <c r="Q20" s="1193" t="s">
        <v>3463</v>
      </c>
      <c r="R20" s="1299" t="s">
        <v>3813</v>
      </c>
      <c r="S20" s="1306" t="s">
        <v>3813</v>
      </c>
      <c r="T20" s="918"/>
    </row>
    <row r="21" spans="1:22" ht="24.6" customHeight="1">
      <c r="A21" s="84"/>
      <c r="B21" s="1467"/>
      <c r="C21" s="880"/>
      <c r="D21" s="265"/>
      <c r="E21" s="871"/>
      <c r="F21" s="871"/>
      <c r="G21" s="871"/>
      <c r="H21" s="1303" t="s">
        <v>4325</v>
      </c>
      <c r="I21" s="1776" t="s">
        <v>4333</v>
      </c>
      <c r="J21" s="1777"/>
      <c r="K21" s="928"/>
      <c r="L21" s="84"/>
      <c r="N21" s="1283" t="s">
        <v>4304</v>
      </c>
      <c r="O21" s="1284" t="s">
        <v>4455</v>
      </c>
      <c r="P21" s="1110">
        <v>2300</v>
      </c>
      <c r="Q21" s="875" t="s">
        <v>3463</v>
      </c>
      <c r="R21" s="1324" t="s">
        <v>3813</v>
      </c>
      <c r="S21" s="1324" t="s">
        <v>3813</v>
      </c>
      <c r="T21" s="918" t="s">
        <v>4337</v>
      </c>
      <c r="V21" s="5"/>
    </row>
    <row r="22" spans="1:22" ht="24.6" customHeight="1">
      <c r="A22" s="84"/>
      <c r="B22" s="1467"/>
      <c r="C22" s="881" t="s">
        <v>390</v>
      </c>
      <c r="D22" s="265"/>
      <c r="E22" s="871"/>
      <c r="F22" s="871"/>
      <c r="G22" s="871"/>
      <c r="H22" s="1194" t="s">
        <v>4365</v>
      </c>
      <c r="I22" s="871"/>
      <c r="J22" s="871"/>
      <c r="K22" s="928"/>
      <c r="L22" s="84"/>
      <c r="N22" s="1283" t="s">
        <v>4245</v>
      </c>
      <c r="O22" s="1284" t="s">
        <v>4350</v>
      </c>
      <c r="P22" s="1193">
        <v>2500</v>
      </c>
      <c r="Q22" s="968" t="s">
        <v>3463</v>
      </c>
      <c r="R22" s="1299" t="s">
        <v>3813</v>
      </c>
      <c r="S22" s="1299" t="s">
        <v>3813</v>
      </c>
      <c r="T22" s="918"/>
    </row>
    <row r="23" spans="1:22" ht="24.6" customHeight="1">
      <c r="A23" s="84"/>
      <c r="B23" s="875"/>
      <c r="C23" s="5"/>
      <c r="D23" s="5"/>
      <c r="E23" s="1364">
        <f>K17+1</f>
        <v>21</v>
      </c>
      <c r="F23" s="1330">
        <f>E23+1</f>
        <v>22</v>
      </c>
      <c r="G23" s="1330">
        <v>23</v>
      </c>
      <c r="H23" s="1330">
        <f>G23+1</f>
        <v>24</v>
      </c>
      <c r="I23" s="1317">
        <f>H23+1</f>
        <v>25</v>
      </c>
      <c r="J23" s="1317">
        <f>I23+1</f>
        <v>26</v>
      </c>
      <c r="K23" s="1317">
        <f>J23+1</f>
        <v>27</v>
      </c>
      <c r="L23" s="84"/>
      <c r="N23" s="1283" t="s">
        <v>4131</v>
      </c>
      <c r="O23" s="1284" t="s">
        <v>4305</v>
      </c>
      <c r="P23" s="1193">
        <v>34000</v>
      </c>
      <c r="Q23" s="968" t="s">
        <v>3462</v>
      </c>
      <c r="R23" s="1299" t="s">
        <v>3465</v>
      </c>
      <c r="S23" s="1299" t="s">
        <v>3465</v>
      </c>
      <c r="T23" s="918"/>
    </row>
    <row r="24" spans="1:22" ht="24.6" customHeight="1">
      <c r="A24" s="84"/>
      <c r="B24" s="1467" t="s">
        <v>287</v>
      </c>
      <c r="C24" s="879" t="s">
        <v>9</v>
      </c>
      <c r="D24" s="265"/>
      <c r="E24" s="978"/>
      <c r="F24" s="1778" t="s">
        <v>4457</v>
      </c>
      <c r="G24" s="1779"/>
      <c r="H24" s="978"/>
      <c r="I24" s="1784" t="s">
        <v>4459</v>
      </c>
      <c r="J24" s="1785"/>
      <c r="K24" s="1323"/>
      <c r="L24" s="84"/>
      <c r="N24" s="1283" t="s">
        <v>4218</v>
      </c>
      <c r="O24" s="1284" t="s">
        <v>4351</v>
      </c>
      <c r="P24" s="1193">
        <v>31387</v>
      </c>
      <c r="Q24" s="968" t="s">
        <v>3463</v>
      </c>
      <c r="R24" s="1299" t="s">
        <v>3465</v>
      </c>
      <c r="S24" s="1299" t="s">
        <v>3465</v>
      </c>
      <c r="T24" s="918" t="s">
        <v>4106</v>
      </c>
    </row>
    <row r="25" spans="1:22" ht="24.6" customHeight="1">
      <c r="A25" s="84"/>
      <c r="B25" s="1467"/>
      <c r="C25" s="879"/>
      <c r="D25" s="265"/>
      <c r="E25" s="978"/>
      <c r="F25" s="978"/>
      <c r="G25" s="1778" t="s">
        <v>4387</v>
      </c>
      <c r="H25" s="1779"/>
      <c r="I25" s="978"/>
      <c r="J25" s="1778" t="s">
        <v>4362</v>
      </c>
      <c r="K25" s="1779"/>
      <c r="L25" s="84"/>
      <c r="N25" s="1194" t="s">
        <v>4109</v>
      </c>
      <c r="O25" s="1284" t="s">
        <v>4352</v>
      </c>
      <c r="P25" s="1193">
        <v>34000</v>
      </c>
      <c r="Q25" s="968" t="s">
        <v>3462</v>
      </c>
      <c r="R25" s="1299" t="s">
        <v>3465</v>
      </c>
      <c r="S25" s="1299" t="s">
        <v>3465</v>
      </c>
      <c r="T25" s="918"/>
    </row>
    <row r="26" spans="1:22" ht="24.6" customHeight="1">
      <c r="A26" s="84"/>
      <c r="B26" s="1467"/>
      <c r="C26" s="880" t="s">
        <v>1960</v>
      </c>
      <c r="D26" s="265"/>
      <c r="E26" s="978"/>
      <c r="F26" s="1333"/>
      <c r="G26" s="1772" t="s">
        <v>4311</v>
      </c>
      <c r="H26" s="1800"/>
      <c r="I26" s="978"/>
      <c r="J26" s="1327" t="s">
        <v>4373</v>
      </c>
      <c r="K26" s="978"/>
      <c r="L26" s="84"/>
    </row>
    <row r="27" spans="1:22" ht="24.6" customHeight="1">
      <c r="A27" s="84"/>
      <c r="B27" s="1467"/>
      <c r="C27" s="880"/>
      <c r="D27" s="265"/>
      <c r="E27" s="978"/>
      <c r="F27" s="1794" t="s">
        <v>4313</v>
      </c>
      <c r="G27" s="1795"/>
      <c r="H27" s="1782" t="s">
        <v>4374</v>
      </c>
      <c r="I27" s="1772"/>
      <c r="J27" s="1335"/>
      <c r="K27" s="978"/>
      <c r="L27" s="84"/>
    </row>
    <row r="28" spans="1:22" ht="24" customHeight="1">
      <c r="A28" s="84"/>
      <c r="B28" s="1467"/>
      <c r="C28" s="881" t="s">
        <v>390</v>
      </c>
      <c r="D28" s="265"/>
      <c r="E28" s="927"/>
      <c r="F28" s="927"/>
      <c r="G28" s="927"/>
      <c r="H28" s="927"/>
      <c r="I28" s="1334"/>
      <c r="J28" s="1336"/>
      <c r="K28" s="927"/>
      <c r="L28" s="84"/>
    </row>
    <row r="29" spans="1:22" ht="24.6" customHeight="1">
      <c r="A29" s="84"/>
      <c r="B29" s="5"/>
      <c r="C29" s="269"/>
      <c r="D29" s="265"/>
      <c r="E29" s="1337">
        <f>K23+1</f>
        <v>28</v>
      </c>
      <c r="F29" s="1338">
        <f>E29+1</f>
        <v>29</v>
      </c>
      <c r="G29" s="1338">
        <v>30</v>
      </c>
      <c r="H29" s="1338">
        <v>1</v>
      </c>
      <c r="I29" s="1346">
        <v>2</v>
      </c>
      <c r="J29" s="1346">
        <v>3</v>
      </c>
      <c r="K29" s="1347">
        <v>4</v>
      </c>
      <c r="L29" s="84"/>
    </row>
    <row r="30" spans="1:22" ht="24.6" customHeight="1">
      <c r="A30" s="84"/>
      <c r="B30" s="1467" t="s">
        <v>287</v>
      </c>
      <c r="C30" s="879" t="s">
        <v>9</v>
      </c>
      <c r="D30" s="265"/>
      <c r="E30" s="871"/>
      <c r="F30" s="1784" t="s">
        <v>4368</v>
      </c>
      <c r="G30" s="1785"/>
      <c r="H30" s="874"/>
      <c r="I30" s="1778" t="s">
        <v>4361</v>
      </c>
      <c r="J30" s="1779"/>
      <c r="K30" s="984"/>
      <c r="L30" s="84"/>
    </row>
    <row r="31" spans="1:22" ht="24.6" customHeight="1">
      <c r="A31" s="84"/>
      <c r="B31" s="1467"/>
      <c r="C31" s="879"/>
      <c r="D31" s="265"/>
      <c r="E31" s="871"/>
      <c r="F31" s="871"/>
      <c r="G31" s="1778" t="s">
        <v>4360</v>
      </c>
      <c r="H31" s="1779"/>
      <c r="I31" s="871"/>
      <c r="J31" s="871"/>
      <c r="K31" s="960"/>
      <c r="L31" s="84"/>
    </row>
    <row r="32" spans="1:22" ht="24.6" customHeight="1">
      <c r="A32" s="84"/>
      <c r="B32" s="1467"/>
      <c r="C32" s="880" t="s">
        <v>1960</v>
      </c>
      <c r="D32" s="265"/>
      <c r="E32" s="871"/>
      <c r="F32" s="1776" t="s">
        <v>4385</v>
      </c>
      <c r="G32" s="1777"/>
      <c r="H32" s="871"/>
      <c r="I32" s="868"/>
      <c r="J32" s="871"/>
      <c r="K32" s="960"/>
      <c r="L32" s="84"/>
      <c r="M32" s="84"/>
    </row>
    <row r="33" spans="1:19" ht="24.6" customHeight="1">
      <c r="A33" s="84"/>
      <c r="B33" s="1467"/>
      <c r="C33" s="880"/>
      <c r="D33" s="265"/>
      <c r="E33" s="871"/>
      <c r="F33" s="871"/>
      <c r="G33" s="1348" t="s">
        <v>4379</v>
      </c>
      <c r="H33" s="871"/>
      <c r="I33" s="868"/>
      <c r="J33" s="871"/>
      <c r="K33" s="960"/>
      <c r="L33" s="84"/>
      <c r="M33" s="84"/>
    </row>
    <row r="34" spans="1:19" ht="24.6" customHeight="1">
      <c r="A34" s="84"/>
      <c r="B34" s="1467"/>
      <c r="C34" s="881" t="s">
        <v>390</v>
      </c>
      <c r="D34" s="265"/>
      <c r="E34" s="872"/>
      <c r="F34" s="872"/>
      <c r="G34" s="1790" t="s">
        <v>4382</v>
      </c>
      <c r="H34" s="1788"/>
      <c r="I34" s="1349" t="s">
        <v>4375</v>
      </c>
      <c r="J34" s="1350" t="s">
        <v>3778</v>
      </c>
      <c r="K34" s="966"/>
      <c r="L34" s="84"/>
      <c r="M34" s="84"/>
    </row>
    <row r="35" spans="1:19" ht="19.149999999999999">
      <c r="B35" s="5"/>
    </row>
    <row r="36" spans="1:19" ht="24" customHeight="1">
      <c r="A36" s="84"/>
      <c r="B36" s="1467"/>
      <c r="C36" s="962" t="s">
        <v>3744</v>
      </c>
      <c r="D36" s="84"/>
      <c r="E36" s="931" t="s">
        <v>3740</v>
      </c>
      <c r="F36" s="933" t="s">
        <v>3743</v>
      </c>
      <c r="G36" s="1301" t="s">
        <v>3768</v>
      </c>
      <c r="L36" s="84"/>
      <c r="M36" s="84"/>
    </row>
    <row r="37" spans="1:19" ht="24.6" customHeight="1">
      <c r="A37" s="84"/>
      <c r="B37" s="1467"/>
      <c r="D37" s="84"/>
      <c r="E37" s="932" t="s">
        <v>3741</v>
      </c>
      <c r="F37" s="1186" t="s">
        <v>3742</v>
      </c>
      <c r="G37" s="972" t="s">
        <v>336</v>
      </c>
      <c r="K37" s="714"/>
      <c r="L37" s="84"/>
      <c r="M37" s="84"/>
    </row>
    <row r="38" spans="1:19">
      <c r="B38" s="1467"/>
    </row>
    <row r="39" spans="1:19">
      <c r="B39" s="1467"/>
      <c r="K39" s="714"/>
    </row>
    <row r="40" spans="1:19">
      <c r="B40" s="1467"/>
      <c r="S40" s="84"/>
    </row>
    <row r="41" spans="1:19">
      <c r="K41" s="714"/>
    </row>
    <row r="42" spans="1:19" ht="19.149999999999999">
      <c r="B42" s="5"/>
      <c r="K42" s="714"/>
    </row>
    <row r="43" spans="1:19" ht="19.149999999999999">
      <c r="B43" s="5"/>
    </row>
    <row r="146" spans="6:6">
      <c r="F146" s="90">
        <f>10430</f>
        <v>10430</v>
      </c>
    </row>
    <row r="1278" spans="2:2" ht="19.149999999999999">
      <c r="B1278" s="1304" t="s">
        <v>4284</v>
      </c>
    </row>
  </sheetData>
  <mergeCells count="36">
    <mergeCell ref="B36:B40"/>
    <mergeCell ref="B24:B28"/>
    <mergeCell ref="B18:B22"/>
    <mergeCell ref="F30:G30"/>
    <mergeCell ref="G31:H31"/>
    <mergeCell ref="G25:H25"/>
    <mergeCell ref="B30:B34"/>
    <mergeCell ref="F20:G20"/>
    <mergeCell ref="H20:I20"/>
    <mergeCell ref="H27:I27"/>
    <mergeCell ref="G34:H34"/>
    <mergeCell ref="I30:J30"/>
    <mergeCell ref="J25:K25"/>
    <mergeCell ref="G26:H26"/>
    <mergeCell ref="I21:J21"/>
    <mergeCell ref="F32:G32"/>
    <mergeCell ref="B6:B10"/>
    <mergeCell ref="F6:J6"/>
    <mergeCell ref="H8:I8"/>
    <mergeCell ref="I14:J14"/>
    <mergeCell ref="B12:B16"/>
    <mergeCell ref="F12:J12"/>
    <mergeCell ref="F15:G15"/>
    <mergeCell ref="G14:H14"/>
    <mergeCell ref="F27:G27"/>
    <mergeCell ref="F24:G24"/>
    <mergeCell ref="I24:J24"/>
    <mergeCell ref="O2:P2"/>
    <mergeCell ref="Q2:R2"/>
    <mergeCell ref="E3:G3"/>
    <mergeCell ref="H3:K3"/>
    <mergeCell ref="O3:P3"/>
    <mergeCell ref="Q3:R3"/>
    <mergeCell ref="J19:K19"/>
    <mergeCell ref="I18:J18"/>
    <mergeCell ref="G19:H19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1355"/>
  <sheetViews>
    <sheetView showGridLines="0" topLeftCell="A8" zoomScale="70" zoomScaleNormal="70" workbookViewId="0">
      <selection activeCell="I30" sqref="I30:J30"/>
    </sheetView>
  </sheetViews>
  <sheetFormatPr defaultColWidth="8.88671875" defaultRowHeight="16.899999999999999" outlineLevelCol="1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31.5546875" style="90" customWidth="1" outlineLevel="1"/>
    <col min="15" max="15" width="17.77734375" style="90" customWidth="1" outlineLevel="1"/>
    <col min="16" max="16" width="9.21875" style="90" customWidth="1" outlineLevel="1"/>
    <col min="17" max="17" width="14.77734375" style="90" customWidth="1" outlineLevel="1"/>
    <col min="18" max="18" width="16.5546875" style="90" customWidth="1" outlineLevel="1"/>
    <col min="19" max="19" width="16.44140625" style="90" customWidth="1" outlineLevel="1"/>
    <col min="20" max="20" width="20.5546875" style="84" customWidth="1" outlineLevel="1"/>
    <col min="21" max="24" width="8.88671875" style="84"/>
    <col min="25" max="25" width="9.109375" style="84" bestFit="1" customWidth="1"/>
    <col min="26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45931</v>
      </c>
      <c r="F3" s="1759"/>
      <c r="G3" s="1759"/>
      <c r="H3" s="1760" t="s">
        <v>10</v>
      </c>
      <c r="I3" s="1717"/>
      <c r="J3" s="1717"/>
      <c r="K3" s="1717"/>
      <c r="N3" s="989">
        <f>SUMIF($Q$8:$Q$28,"F",$P$8:$P$28)</f>
        <v>204000</v>
      </c>
      <c r="O3" s="1715">
        <f>SUMIF($Q$7:$Q$28,"S",$P$7:$P$28)</f>
        <v>177841</v>
      </c>
      <c r="P3" s="1715"/>
      <c r="Q3" s="1706">
        <f>N3+O3</f>
        <v>381841</v>
      </c>
      <c r="R3" s="1707"/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90"/>
    </row>
    <row r="5" spans="1:22" s="5" customFormat="1" ht="24.6" customHeight="1">
      <c r="E5" s="973"/>
      <c r="F5" s="941"/>
      <c r="G5" s="941"/>
      <c r="H5" s="941">
        <f>G5+1</f>
        <v>1</v>
      </c>
      <c r="I5" s="941">
        <f>H5+1</f>
        <v>2</v>
      </c>
      <c r="J5" s="941">
        <f>I5+1</f>
        <v>3</v>
      </c>
      <c r="K5" s="957">
        <f>J5+1</f>
        <v>4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941"/>
      <c r="G6" s="941"/>
      <c r="H6" s="941"/>
      <c r="I6" s="1778" t="s">
        <v>4361</v>
      </c>
      <c r="J6" s="1779"/>
      <c r="K6" s="957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868"/>
      <c r="H7" s="941"/>
      <c r="I7" s="868"/>
      <c r="J7" s="868"/>
      <c r="K7" s="957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292</v>
      </c>
      <c r="D8" s="265"/>
      <c r="E8" s="867"/>
      <c r="F8" s="868"/>
      <c r="G8" s="868"/>
      <c r="H8" s="1328" t="s">
        <v>4379</v>
      </c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1790" t="s">
        <v>4381</v>
      </c>
      <c r="H9" s="1788"/>
      <c r="I9" s="1308" t="s">
        <v>4409</v>
      </c>
      <c r="J9" s="868"/>
      <c r="K9" s="957"/>
      <c r="L9" s="90"/>
      <c r="M9" s="90"/>
      <c r="N9" s="1122" t="s">
        <v>4417</v>
      </c>
      <c r="O9" s="1284" t="s">
        <v>4408</v>
      </c>
      <c r="P9" s="1288">
        <v>34000</v>
      </c>
      <c r="Q9" s="1289" t="s">
        <v>3462</v>
      </c>
      <c r="R9" s="1360" t="s">
        <v>3813</v>
      </c>
      <c r="S9" s="1291" t="s">
        <v>3812</v>
      </c>
      <c r="T9" s="1290"/>
      <c r="U9" s="84"/>
      <c r="V9" s="84"/>
    </row>
    <row r="10" spans="1:22" s="5" customFormat="1" ht="24.6" customHeight="1">
      <c r="B10" s="1467"/>
      <c r="C10" s="881" t="s">
        <v>228</v>
      </c>
      <c r="D10" s="265"/>
      <c r="E10" s="867"/>
      <c r="F10" s="868"/>
      <c r="G10" s="868"/>
      <c r="H10" s="868"/>
      <c r="I10" s="868"/>
      <c r="J10" s="1355" t="s">
        <v>368</v>
      </c>
      <c r="K10" s="957"/>
      <c r="L10" s="90"/>
      <c r="M10" s="90"/>
      <c r="N10" s="1122" t="s">
        <v>4418</v>
      </c>
      <c r="O10" s="1284" t="s">
        <v>4267</v>
      </c>
      <c r="P10" s="1288">
        <v>34000</v>
      </c>
      <c r="Q10" s="1289" t="s">
        <v>3462</v>
      </c>
      <c r="R10" s="1360" t="s">
        <v>3813</v>
      </c>
      <c r="S10" s="1291" t="s">
        <v>3812</v>
      </c>
      <c r="T10" s="25"/>
      <c r="V10" s="84"/>
    </row>
    <row r="11" spans="1:22" ht="24.6" customHeight="1">
      <c r="A11" s="84"/>
      <c r="B11" s="875"/>
      <c r="C11" s="5"/>
      <c r="D11" s="5"/>
      <c r="E11" s="935">
        <f>K5+1</f>
        <v>5</v>
      </c>
      <c r="F11" s="924">
        <f t="shared" ref="F11:J11" si="0">E11+1</f>
        <v>6</v>
      </c>
      <c r="G11" s="1341">
        <f t="shared" si="0"/>
        <v>7</v>
      </c>
      <c r="H11" s="923">
        <f t="shared" si="0"/>
        <v>8</v>
      </c>
      <c r="I11" s="923">
        <f t="shared" si="0"/>
        <v>9</v>
      </c>
      <c r="J11" s="923">
        <f t="shared" si="0"/>
        <v>10</v>
      </c>
      <c r="K11" s="925">
        <v>11</v>
      </c>
      <c r="N11" s="1122" t="s">
        <v>4419</v>
      </c>
      <c r="O11" s="1284" t="s">
        <v>4273</v>
      </c>
      <c r="P11" s="1193">
        <v>34000</v>
      </c>
      <c r="Q11" s="968" t="s">
        <v>3462</v>
      </c>
      <c r="R11" s="1360" t="s">
        <v>3813</v>
      </c>
      <c r="S11" s="1242" t="s">
        <v>3812</v>
      </c>
    </row>
    <row r="12" spans="1:22" ht="24.6" customHeight="1">
      <c r="A12" s="84"/>
      <c r="B12" s="1467" t="s">
        <v>287</v>
      </c>
      <c r="C12" s="879" t="s">
        <v>9</v>
      </c>
      <c r="D12" s="265"/>
      <c r="E12" s="869"/>
      <c r="F12" s="869"/>
      <c r="G12" s="869"/>
      <c r="H12" s="869"/>
      <c r="I12" s="936"/>
      <c r="J12" s="937"/>
      <c r="K12" s="958"/>
      <c r="N12" s="1122" t="s">
        <v>4420</v>
      </c>
      <c r="O12" s="1284" t="s">
        <v>4265</v>
      </c>
      <c r="P12" s="1193">
        <v>34000</v>
      </c>
      <c r="Q12" s="968" t="s">
        <v>3462</v>
      </c>
      <c r="R12" s="1360" t="s">
        <v>3813</v>
      </c>
      <c r="S12" s="1242" t="s">
        <v>3812</v>
      </c>
    </row>
    <row r="13" spans="1:22" ht="24.6" customHeight="1">
      <c r="A13" s="84"/>
      <c r="B13" s="1467"/>
      <c r="C13" s="879"/>
      <c r="D13" s="265"/>
      <c r="E13" s="869"/>
      <c r="F13" s="869"/>
      <c r="H13" s="1335"/>
      <c r="I13" s="869"/>
      <c r="K13" s="937"/>
      <c r="N13" s="1122" t="s">
        <v>4228</v>
      </c>
      <c r="O13" s="1284" t="s">
        <v>4332</v>
      </c>
      <c r="P13" s="1193">
        <v>26037</v>
      </c>
      <c r="Q13" s="1193" t="s">
        <v>3463</v>
      </c>
      <c r="R13" s="1353" t="s">
        <v>3813</v>
      </c>
      <c r="S13" s="1353" t="s">
        <v>3813</v>
      </c>
      <c r="T13" s="5"/>
    </row>
    <row r="14" spans="1:22" ht="24.6" customHeight="1">
      <c r="A14" s="84"/>
      <c r="B14" s="1467"/>
      <c r="C14" s="880" t="s">
        <v>292</v>
      </c>
      <c r="D14" s="265"/>
      <c r="E14" s="869"/>
      <c r="F14" s="869"/>
      <c r="H14" s="1335"/>
      <c r="I14" s="869"/>
      <c r="J14" s="869"/>
      <c r="K14" s="958"/>
      <c r="N14" s="1194" t="s">
        <v>4285</v>
      </c>
      <c r="O14" s="1284" t="s">
        <v>4384</v>
      </c>
      <c r="P14" s="1193">
        <v>9000</v>
      </c>
      <c r="Q14" s="1193" t="s">
        <v>3463</v>
      </c>
      <c r="R14" s="1353" t="s">
        <v>3813</v>
      </c>
      <c r="S14" s="1353" t="s">
        <v>3813</v>
      </c>
      <c r="T14" s="84" t="s">
        <v>4279</v>
      </c>
    </row>
    <row r="15" spans="1:22" ht="24.6" customHeight="1">
      <c r="A15" s="84"/>
      <c r="B15" s="1467"/>
      <c r="C15" s="880"/>
      <c r="D15" s="265"/>
      <c r="E15" s="869"/>
      <c r="F15" s="936"/>
      <c r="G15" s="1342"/>
      <c r="H15" s="937"/>
      <c r="I15" s="937"/>
      <c r="J15" s="937"/>
      <c r="K15" s="958"/>
      <c r="N15" s="1283" t="s">
        <v>4243</v>
      </c>
      <c r="O15" s="1284" t="s">
        <v>4383</v>
      </c>
      <c r="P15" s="1193">
        <v>6000</v>
      </c>
      <c r="Q15" s="1193" t="s">
        <v>3463</v>
      </c>
      <c r="R15" s="1353" t="s">
        <v>3813</v>
      </c>
      <c r="S15" s="1353" t="s">
        <v>3813</v>
      </c>
    </row>
    <row r="16" spans="1:22" ht="24.6" customHeight="1">
      <c r="A16" s="84"/>
      <c r="B16" s="1467"/>
      <c r="C16" s="881" t="s">
        <v>228</v>
      </c>
      <c r="D16" s="265"/>
      <c r="E16" s="869"/>
      <c r="F16" s="1355" t="s">
        <v>15</v>
      </c>
      <c r="G16" s="1355" t="s">
        <v>15</v>
      </c>
      <c r="H16" s="1344" t="s">
        <v>3771</v>
      </c>
      <c r="I16" s="1343" t="s">
        <v>369</v>
      </c>
      <c r="J16" s="1355" t="s">
        <v>378</v>
      </c>
      <c r="K16" s="958"/>
      <c r="N16" s="1283" t="s">
        <v>4278</v>
      </c>
      <c r="O16" s="1284" t="s">
        <v>4363</v>
      </c>
      <c r="P16" s="1193">
        <v>6000</v>
      </c>
      <c r="Q16" s="875" t="s">
        <v>3463</v>
      </c>
      <c r="R16" s="1353" t="s">
        <v>3813</v>
      </c>
      <c r="S16" s="1353" t="s">
        <v>3813</v>
      </c>
    </row>
    <row r="17" spans="1:21" ht="24.6" customHeight="1">
      <c r="A17" s="84"/>
      <c r="B17" s="875"/>
      <c r="C17" s="5"/>
      <c r="D17" s="5"/>
      <c r="E17" s="1337">
        <v>11</v>
      </c>
      <c r="F17" s="1338">
        <v>13</v>
      </c>
      <c r="G17" s="1273">
        <f t="shared" ref="G17:K17" si="1">F17+1</f>
        <v>14</v>
      </c>
      <c r="H17" s="1339">
        <f t="shared" si="1"/>
        <v>15</v>
      </c>
      <c r="I17" s="922">
        <f t="shared" si="1"/>
        <v>16</v>
      </c>
      <c r="J17" s="922">
        <f t="shared" si="1"/>
        <v>17</v>
      </c>
      <c r="K17" s="1340">
        <f t="shared" si="1"/>
        <v>18</v>
      </c>
      <c r="N17" s="1194" t="s">
        <v>4242</v>
      </c>
      <c r="O17" s="1354" t="s">
        <v>4340</v>
      </c>
      <c r="P17" s="1193">
        <v>3000</v>
      </c>
      <c r="Q17" s="875" t="s">
        <v>3463</v>
      </c>
      <c r="R17" s="1353" t="s">
        <v>3813</v>
      </c>
      <c r="S17" s="1353" t="s">
        <v>3813</v>
      </c>
      <c r="T17" s="918"/>
    </row>
    <row r="18" spans="1:21" ht="24.6" customHeight="1">
      <c r="A18" s="84"/>
      <c r="B18" s="1467" t="s">
        <v>287</v>
      </c>
      <c r="C18" s="879" t="s">
        <v>9</v>
      </c>
      <c r="D18" s="265"/>
      <c r="E18" s="871"/>
      <c r="F18" s="1778" t="s">
        <v>4460</v>
      </c>
      <c r="G18" s="1779"/>
      <c r="H18" s="874"/>
      <c r="I18" s="1778" t="s">
        <v>4461</v>
      </c>
      <c r="J18" s="1779"/>
      <c r="K18" s="871"/>
      <c r="N18" s="1194" t="s">
        <v>4380</v>
      </c>
      <c r="O18" s="1319" t="s">
        <v>4358</v>
      </c>
      <c r="P18" s="1193">
        <v>2500</v>
      </c>
      <c r="Q18" s="1193" t="s">
        <v>3463</v>
      </c>
      <c r="R18" s="1353" t="s">
        <v>3813</v>
      </c>
      <c r="S18" s="1353" t="s">
        <v>3813</v>
      </c>
      <c r="T18" s="84" t="s">
        <v>4271</v>
      </c>
    </row>
    <row r="19" spans="1:21" ht="24.6" customHeight="1">
      <c r="A19" s="84"/>
      <c r="B19" s="1467"/>
      <c r="C19" s="879"/>
      <c r="D19" s="265"/>
      <c r="E19" s="871"/>
      <c r="F19" s="871"/>
      <c r="G19" s="1778" t="s">
        <v>4372</v>
      </c>
      <c r="H19" s="1779"/>
      <c r="I19" s="871"/>
      <c r="J19" s="1784" t="s">
        <v>4462</v>
      </c>
      <c r="K19" s="1785"/>
      <c r="L19" s="84"/>
      <c r="N19" s="1194" t="s">
        <v>4339</v>
      </c>
      <c r="O19" s="1354" t="s">
        <v>4506</v>
      </c>
      <c r="P19" s="1248">
        <v>12000</v>
      </c>
      <c r="Q19" s="1193" t="s">
        <v>3463</v>
      </c>
      <c r="R19" s="1353" t="s">
        <v>3813</v>
      </c>
      <c r="S19" s="1360" t="s">
        <v>3813</v>
      </c>
      <c r="T19" s="918" t="s">
        <v>4341</v>
      </c>
    </row>
    <row r="20" spans="1:21" ht="24.6" customHeight="1">
      <c r="A20" s="84"/>
      <c r="B20" s="1467"/>
      <c r="C20" s="880" t="s">
        <v>292</v>
      </c>
      <c r="D20" s="265"/>
      <c r="E20" s="871"/>
      <c r="F20" s="1345" t="s">
        <v>4507</v>
      </c>
      <c r="G20" s="1790" t="s">
        <v>4404</v>
      </c>
      <c r="H20" s="1788"/>
      <c r="I20" s="1790" t="s">
        <v>4406</v>
      </c>
      <c r="J20" s="1788"/>
      <c r="K20" s="871"/>
      <c r="L20" s="84"/>
      <c r="N20" s="1194" t="s">
        <v>4138</v>
      </c>
      <c r="O20" s="1354" t="s">
        <v>4669</v>
      </c>
      <c r="P20" s="1193">
        <v>7200</v>
      </c>
      <c r="Q20" s="1193" t="s">
        <v>3463</v>
      </c>
      <c r="R20" s="1353" t="s">
        <v>3813</v>
      </c>
      <c r="S20" s="1353" t="s">
        <v>3813</v>
      </c>
      <c r="T20" s="84" t="s">
        <v>4272</v>
      </c>
    </row>
    <row r="21" spans="1:21" ht="24.6" customHeight="1">
      <c r="A21" s="84"/>
      <c r="B21" s="1467"/>
      <c r="C21" s="880"/>
      <c r="D21" s="265"/>
      <c r="E21" s="871"/>
      <c r="F21" s="1790" t="s">
        <v>4407</v>
      </c>
      <c r="G21" s="1788"/>
      <c r="H21" s="1790" t="s">
        <v>4405</v>
      </c>
      <c r="I21" s="1788"/>
      <c r="J21" s="871"/>
      <c r="K21" s="871"/>
      <c r="L21" s="84"/>
      <c r="N21" s="1194" t="s">
        <v>4355</v>
      </c>
      <c r="O21" s="1319" t="s">
        <v>4356</v>
      </c>
      <c r="P21" s="1193">
        <v>34000</v>
      </c>
      <c r="Q21" s="1193" t="s">
        <v>3463</v>
      </c>
      <c r="R21" s="1353" t="s">
        <v>3813</v>
      </c>
      <c r="S21" s="1360" t="s">
        <v>3813</v>
      </c>
    </row>
    <row r="22" spans="1:21" ht="24.6" customHeight="1">
      <c r="A22" s="84"/>
      <c r="B22" s="1467"/>
      <c r="C22" s="881" t="s">
        <v>228</v>
      </c>
      <c r="D22" s="265"/>
      <c r="E22" s="872"/>
      <c r="F22" s="872"/>
      <c r="G22" s="872"/>
      <c r="H22" s="872"/>
      <c r="I22" s="872"/>
      <c r="J22" s="872"/>
      <c r="K22" s="966"/>
      <c r="L22" s="84"/>
      <c r="N22" s="1194" t="s">
        <v>4294</v>
      </c>
      <c r="O22" s="1354" t="s">
        <v>4502</v>
      </c>
      <c r="P22" s="1193">
        <v>16000</v>
      </c>
      <c r="Q22" s="1193" t="s">
        <v>3463</v>
      </c>
      <c r="R22" s="1353" t="s">
        <v>3813</v>
      </c>
      <c r="S22" s="1353" t="s">
        <v>3813</v>
      </c>
    </row>
    <row r="23" spans="1:21" ht="24.6" customHeight="1">
      <c r="A23" s="84"/>
      <c r="B23" s="875"/>
      <c r="C23" s="5"/>
      <c r="D23" s="5"/>
      <c r="E23" s="935">
        <f>K17+1</f>
        <v>19</v>
      </c>
      <c r="F23" s="924">
        <f t="shared" ref="F23:K23" si="2">E23+1</f>
        <v>20</v>
      </c>
      <c r="G23" s="923">
        <f t="shared" si="2"/>
        <v>21</v>
      </c>
      <c r="H23" s="924">
        <f t="shared" si="2"/>
        <v>22</v>
      </c>
      <c r="I23" s="923">
        <f t="shared" si="2"/>
        <v>23</v>
      </c>
      <c r="J23" s="923">
        <f t="shared" si="2"/>
        <v>24</v>
      </c>
      <c r="K23" s="925">
        <f t="shared" si="2"/>
        <v>25</v>
      </c>
      <c r="L23" s="84"/>
      <c r="N23" s="1194" t="s">
        <v>4175</v>
      </c>
      <c r="O23" s="1284" t="s">
        <v>4711</v>
      </c>
      <c r="P23" s="1109">
        <v>2800</v>
      </c>
      <c r="Q23" s="1353" t="s">
        <v>3463</v>
      </c>
      <c r="R23" s="1353" t="s">
        <v>3813</v>
      </c>
      <c r="S23" s="1353" t="s">
        <v>3813</v>
      </c>
      <c r="T23" s="918" t="s">
        <v>4176</v>
      </c>
      <c r="U23" s="5"/>
    </row>
    <row r="24" spans="1:21" ht="24.6" customHeight="1">
      <c r="A24" s="84"/>
      <c r="B24" s="1467" t="s">
        <v>287</v>
      </c>
      <c r="C24" s="879" t="s">
        <v>9</v>
      </c>
      <c r="D24" s="265"/>
      <c r="E24" s="869"/>
      <c r="F24" s="1778" t="s">
        <v>4463</v>
      </c>
      <c r="G24" s="1779"/>
      <c r="I24" s="1784" t="s">
        <v>4465</v>
      </c>
      <c r="J24" s="1785"/>
      <c r="K24" s="958"/>
      <c r="L24" s="84"/>
      <c r="N24" s="1194" t="s">
        <v>4227</v>
      </c>
      <c r="O24" s="1284" t="s">
        <v>4334</v>
      </c>
      <c r="P24" s="1193">
        <v>2500</v>
      </c>
      <c r="Q24" s="875" t="s">
        <v>3463</v>
      </c>
      <c r="R24" s="1353" t="s">
        <v>3813</v>
      </c>
      <c r="S24" s="1353" t="s">
        <v>3813</v>
      </c>
      <c r="T24" s="918"/>
    </row>
    <row r="25" spans="1:21" ht="24.6" customHeight="1">
      <c r="A25" s="84"/>
      <c r="B25" s="1467"/>
      <c r="C25" s="879"/>
      <c r="D25" s="265"/>
      <c r="E25" s="869"/>
      <c r="F25" s="1365"/>
      <c r="G25" s="1784" t="s">
        <v>4464</v>
      </c>
      <c r="H25" s="1785"/>
      <c r="I25" s="936"/>
      <c r="J25" s="1784" t="s">
        <v>4466</v>
      </c>
      <c r="K25" s="1785"/>
      <c r="L25" s="84"/>
      <c r="N25" s="1283" t="s">
        <v>4303</v>
      </c>
      <c r="O25" s="1284" t="s">
        <v>4349</v>
      </c>
      <c r="P25" s="1193">
        <f>7200+4800+7200</f>
        <v>19200</v>
      </c>
      <c r="Q25" s="1193" t="s">
        <v>3463</v>
      </c>
      <c r="R25" s="1306" t="s">
        <v>3813</v>
      </c>
      <c r="S25" s="1306" t="s">
        <v>3813</v>
      </c>
      <c r="T25" s="918"/>
    </row>
    <row r="26" spans="1:21" ht="24.6" customHeight="1">
      <c r="A26" s="84"/>
      <c r="B26" s="1467"/>
      <c r="C26" s="880" t="s">
        <v>292</v>
      </c>
      <c r="D26" s="265"/>
      <c r="E26" s="869"/>
      <c r="F26" s="1197" t="s">
        <v>4402</v>
      </c>
      <c r="G26" s="1260" t="s">
        <v>4731</v>
      </c>
      <c r="H26" s="1197" t="s">
        <v>4454</v>
      </c>
      <c r="I26" s="1365"/>
      <c r="J26" s="1308" t="s">
        <v>4504</v>
      </c>
      <c r="K26" s="937"/>
      <c r="L26" s="84"/>
      <c r="N26" s="1194" t="s">
        <v>4229</v>
      </c>
      <c r="O26" s="1320" t="s">
        <v>4370</v>
      </c>
      <c r="P26" s="1193">
        <v>34000</v>
      </c>
      <c r="Q26" s="968" t="s">
        <v>3462</v>
      </c>
      <c r="R26" s="1353" t="s">
        <v>3465</v>
      </c>
      <c r="S26" s="1353" t="s">
        <v>3465</v>
      </c>
    </row>
    <row r="27" spans="1:21" ht="24.6" customHeight="1">
      <c r="A27" s="84"/>
      <c r="B27" s="1467"/>
      <c r="C27" s="880"/>
      <c r="D27" s="265"/>
      <c r="E27" s="869"/>
      <c r="F27" s="1365"/>
      <c r="G27" s="1241" t="s">
        <v>4456</v>
      </c>
      <c r="H27" s="1783" t="s">
        <v>4369</v>
      </c>
      <c r="I27" s="1783"/>
      <c r="J27" s="1332" t="s">
        <v>4342</v>
      </c>
      <c r="K27" s="937"/>
      <c r="L27" s="84"/>
      <c r="N27" s="1194" t="s">
        <v>4230</v>
      </c>
      <c r="O27" s="1320" t="s">
        <v>4377</v>
      </c>
      <c r="P27" s="1193">
        <v>34000</v>
      </c>
      <c r="Q27" s="968" t="s">
        <v>3462</v>
      </c>
      <c r="R27" s="1353" t="s">
        <v>3465</v>
      </c>
      <c r="S27" s="1353" t="s">
        <v>3465</v>
      </c>
      <c r="T27" s="918"/>
    </row>
    <row r="28" spans="1:21" ht="24" customHeight="1">
      <c r="A28" s="84"/>
      <c r="B28" s="1467"/>
      <c r="C28" s="881" t="s">
        <v>228</v>
      </c>
      <c r="D28" s="265"/>
      <c r="E28" s="869"/>
      <c r="F28" s="937"/>
      <c r="H28" s="937"/>
      <c r="I28" s="937"/>
      <c r="J28" s="1260" t="s">
        <v>4505</v>
      </c>
      <c r="K28" s="937"/>
      <c r="L28" s="84"/>
      <c r="M28" s="84"/>
      <c r="N28" s="1283" t="s">
        <v>4139</v>
      </c>
      <c r="O28" s="1284" t="s">
        <v>4107</v>
      </c>
      <c r="P28" s="1278">
        <v>31604</v>
      </c>
      <c r="Q28" s="1285" t="s">
        <v>3463</v>
      </c>
      <c r="R28" s="1353" t="s">
        <v>3465</v>
      </c>
      <c r="S28" s="1187" t="s">
        <v>3465</v>
      </c>
      <c r="T28" s="84" t="s">
        <v>4106</v>
      </c>
    </row>
    <row r="29" spans="1:21" ht="24.6" customHeight="1">
      <c r="A29" s="84"/>
      <c r="B29" s="5"/>
      <c r="C29" s="269"/>
      <c r="D29" s="265"/>
      <c r="E29" s="1337">
        <f>K23+1</f>
        <v>26</v>
      </c>
      <c r="F29" s="1338">
        <f>E29+1</f>
        <v>27</v>
      </c>
      <c r="G29" s="1338">
        <f t="shared" ref="G29:I29" si="3">F29+1</f>
        <v>28</v>
      </c>
      <c r="H29" s="1338">
        <f t="shared" si="3"/>
        <v>29</v>
      </c>
      <c r="I29" s="1338">
        <f t="shared" si="3"/>
        <v>30</v>
      </c>
      <c r="J29" s="1338">
        <f>I29+1</f>
        <v>31</v>
      </c>
      <c r="K29" s="1363"/>
      <c r="L29" s="84"/>
      <c r="M29" s="84"/>
    </row>
    <row r="30" spans="1:21" ht="24.6" customHeight="1">
      <c r="A30" s="84"/>
      <c r="B30" s="1467" t="s">
        <v>287</v>
      </c>
      <c r="C30" s="879" t="s">
        <v>9</v>
      </c>
      <c r="D30" s="265"/>
      <c r="E30" s="871"/>
      <c r="F30" s="1784" t="s">
        <v>4484</v>
      </c>
      <c r="G30" s="1785"/>
      <c r="H30" s="928"/>
      <c r="I30" s="1784" t="s">
        <v>4805</v>
      </c>
      <c r="J30" s="1785"/>
      <c r="K30" s="1322"/>
      <c r="L30" s="84"/>
      <c r="M30" s="84"/>
    </row>
    <row r="31" spans="1:21" ht="24.6" customHeight="1">
      <c r="A31" s="84"/>
      <c r="B31" s="1467"/>
      <c r="C31" s="879"/>
      <c r="D31" s="265"/>
      <c r="E31" s="871"/>
      <c r="F31" s="928"/>
      <c r="G31" s="1784" t="s">
        <v>4467</v>
      </c>
      <c r="H31" s="1785"/>
      <c r="I31" s="947"/>
      <c r="J31" s="1784" t="s">
        <v>4453</v>
      </c>
      <c r="K31" s="1785"/>
      <c r="L31" s="84"/>
      <c r="M31" s="84"/>
    </row>
    <row r="32" spans="1:21" ht="24.6" customHeight="1">
      <c r="A32" s="84"/>
      <c r="B32" s="1467"/>
      <c r="C32" s="880" t="s">
        <v>292</v>
      </c>
      <c r="D32" s="265"/>
      <c r="E32" s="928"/>
      <c r="F32" s="1397" t="s">
        <v>4503</v>
      </c>
      <c r="G32" s="1332" t="s">
        <v>4486</v>
      </c>
      <c r="H32" s="928"/>
      <c r="I32" s="1197" t="s">
        <v>4410</v>
      </c>
      <c r="J32" s="928"/>
      <c r="K32" s="928"/>
      <c r="L32" s="84"/>
      <c r="M32" s="84"/>
    </row>
    <row r="33" spans="1:19" ht="24.6" customHeight="1">
      <c r="A33" s="84"/>
      <c r="B33" s="1467"/>
      <c r="C33" s="880"/>
      <c r="D33" s="265"/>
      <c r="E33" s="928"/>
      <c r="F33" s="1366" t="s">
        <v>4501</v>
      </c>
      <c r="G33" s="1332" t="s">
        <v>4509</v>
      </c>
      <c r="H33" s="928"/>
      <c r="I33" s="1776" t="s">
        <v>4378</v>
      </c>
      <c r="J33" s="1777"/>
      <c r="K33" s="928"/>
      <c r="L33" s="84"/>
      <c r="M33" s="84"/>
    </row>
    <row r="34" spans="1:19" ht="24.6" customHeight="1">
      <c r="A34" s="84"/>
      <c r="B34" s="1467"/>
      <c r="C34" s="881" t="s">
        <v>228</v>
      </c>
      <c r="D34" s="265"/>
      <c r="E34" s="1362"/>
      <c r="F34" s="1362"/>
      <c r="G34" s="1362"/>
      <c r="H34" s="1366" t="s">
        <v>4496</v>
      </c>
      <c r="I34" s="1362"/>
      <c r="J34" s="1362"/>
      <c r="K34" s="1362"/>
      <c r="L34" s="84"/>
      <c r="M34" s="84"/>
    </row>
    <row r="36" spans="1:19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5" t="s">
        <v>3768</v>
      </c>
      <c r="L36" s="84"/>
      <c r="M36" s="84"/>
    </row>
    <row r="37" spans="1:19" ht="24.6" customHeight="1">
      <c r="A37" s="84"/>
      <c r="B37" s="5"/>
      <c r="D37" s="84"/>
      <c r="E37" s="932" t="s">
        <v>4414</v>
      </c>
      <c r="F37" s="1186" t="s">
        <v>3742</v>
      </c>
      <c r="G37" s="972" t="s">
        <v>336</v>
      </c>
      <c r="L37" s="84"/>
      <c r="M37" s="84"/>
    </row>
    <row r="39" spans="1:19">
      <c r="F39" s="1358"/>
      <c r="G39" s="1358"/>
      <c r="H39" s="1358"/>
      <c r="I39" s="1358"/>
      <c r="J39" s="1358"/>
      <c r="K39" s="1358"/>
      <c r="L39" s="1358"/>
      <c r="M39" s="1358"/>
      <c r="N39" s="1358"/>
      <c r="S39" s="84"/>
    </row>
    <row r="40" spans="1:19">
      <c r="H40" s="1358"/>
      <c r="K40" s="1358"/>
      <c r="L40" s="1358"/>
      <c r="M40" s="1358"/>
      <c r="N40" s="1358"/>
      <c r="S40" s="84"/>
    </row>
    <row r="41" spans="1:19">
      <c r="F41" s="1358"/>
      <c r="G41" s="1358"/>
      <c r="H41" s="1358"/>
      <c r="I41" s="1358"/>
      <c r="J41" s="1358"/>
      <c r="K41" s="1358"/>
      <c r="L41" s="1358"/>
      <c r="M41" s="1358"/>
      <c r="N41" s="1358"/>
      <c r="S41" s="84"/>
    </row>
    <row r="42" spans="1:19">
      <c r="H42" s="1358"/>
      <c r="I42" s="1358"/>
      <c r="J42" s="1358"/>
      <c r="K42" s="1358"/>
      <c r="L42" s="1358"/>
      <c r="M42" s="1358"/>
      <c r="N42" s="1358"/>
    </row>
    <row r="43" spans="1:19">
      <c r="F43" s="1358"/>
      <c r="G43" s="1358"/>
      <c r="H43" s="1358"/>
      <c r="I43" s="1358"/>
      <c r="J43" s="1358"/>
      <c r="K43" s="1358"/>
      <c r="L43" s="1358"/>
      <c r="M43" s="1358"/>
      <c r="N43" s="1358"/>
    </row>
    <row r="44" spans="1:19">
      <c r="F44" s="1358"/>
      <c r="G44" s="1358"/>
      <c r="H44" s="1358"/>
      <c r="I44" s="1358"/>
      <c r="J44" s="1358"/>
      <c r="K44" s="1358"/>
      <c r="L44" s="1358"/>
      <c r="M44" s="1358"/>
      <c r="N44" s="1358"/>
    </row>
    <row r="45" spans="1:19">
      <c r="F45" s="1358"/>
      <c r="G45" s="1358"/>
      <c r="H45" s="1358"/>
      <c r="I45" s="1358"/>
      <c r="J45" s="1358"/>
      <c r="K45" s="1358"/>
      <c r="L45" s="1358"/>
      <c r="M45" s="1358"/>
      <c r="N45" s="1358"/>
    </row>
    <row r="46" spans="1:19">
      <c r="F46" s="1358"/>
      <c r="G46" s="1358"/>
      <c r="H46" s="1358"/>
      <c r="I46" s="1358"/>
      <c r="J46" s="1358"/>
      <c r="K46" s="1358"/>
      <c r="L46" s="1358"/>
      <c r="M46" s="1358"/>
      <c r="N46" s="1358"/>
    </row>
    <row r="47" spans="1:19">
      <c r="F47" s="1358"/>
      <c r="G47" s="1358"/>
      <c r="H47" s="1358"/>
      <c r="I47" s="1358"/>
      <c r="J47" s="1358"/>
      <c r="K47" s="1358"/>
      <c r="L47" s="1358"/>
      <c r="M47" s="1358"/>
      <c r="N47" s="1358"/>
    </row>
    <row r="48" spans="1:19">
      <c r="F48" s="1358"/>
      <c r="G48" s="1358"/>
      <c r="H48" s="1358"/>
      <c r="I48" s="1358"/>
      <c r="J48" s="1358"/>
      <c r="K48" s="1358"/>
      <c r="L48" s="1358"/>
      <c r="M48" s="1358"/>
      <c r="N48" s="1358"/>
    </row>
    <row r="49" spans="6:14">
      <c r="F49" s="1358"/>
      <c r="G49" s="1358"/>
      <c r="H49" s="1358"/>
      <c r="I49" s="1358"/>
      <c r="J49" s="1358"/>
      <c r="K49" s="1358"/>
      <c r="L49" s="1358"/>
      <c r="M49" s="1358"/>
      <c r="N49" s="1358"/>
    </row>
    <row r="50" spans="6:14">
      <c r="G50" s="714"/>
      <c r="H50" s="714"/>
      <c r="I50" s="714"/>
      <c r="J50" s="1359"/>
      <c r="K50" s="714"/>
      <c r="L50" s="714"/>
      <c r="M50" s="714"/>
    </row>
    <row r="51" spans="6:14">
      <c r="G51" s="714"/>
      <c r="H51" s="714"/>
      <c r="I51" s="714"/>
      <c r="J51" s="714"/>
      <c r="K51" s="714"/>
      <c r="L51" s="714"/>
      <c r="M51" s="714"/>
    </row>
    <row r="52" spans="6:14">
      <c r="G52" s="714"/>
      <c r="H52" s="714"/>
      <c r="I52" s="714"/>
      <c r="J52" s="714"/>
      <c r="K52" s="714"/>
      <c r="L52" s="714"/>
      <c r="M52" s="714"/>
    </row>
    <row r="53" spans="6:14">
      <c r="G53" s="714"/>
      <c r="H53" s="714"/>
      <c r="I53" s="714"/>
      <c r="J53" s="714"/>
      <c r="K53" s="714"/>
      <c r="L53" s="714"/>
      <c r="M53" s="714"/>
    </row>
    <row r="1355" spans="25:25">
      <c r="Y1355" s="1367">
        <v>45945</v>
      </c>
    </row>
  </sheetData>
  <mergeCells count="31">
    <mergeCell ref="B30:B34"/>
    <mergeCell ref="F30:G30"/>
    <mergeCell ref="J31:K31"/>
    <mergeCell ref="G31:H31"/>
    <mergeCell ref="I30:J30"/>
    <mergeCell ref="I33:J33"/>
    <mergeCell ref="B24:B28"/>
    <mergeCell ref="I18:J18"/>
    <mergeCell ref="F24:G24"/>
    <mergeCell ref="J19:K19"/>
    <mergeCell ref="I24:J24"/>
    <mergeCell ref="J25:K25"/>
    <mergeCell ref="I20:J20"/>
    <mergeCell ref="F21:G21"/>
    <mergeCell ref="H21:I21"/>
    <mergeCell ref="G19:H19"/>
    <mergeCell ref="G20:H20"/>
    <mergeCell ref="G25:H25"/>
    <mergeCell ref="H27:I27"/>
    <mergeCell ref="B6:B10"/>
    <mergeCell ref="I6:J6"/>
    <mergeCell ref="G9:H9"/>
    <mergeCell ref="B12:B16"/>
    <mergeCell ref="B18:B22"/>
    <mergeCell ref="F18:G18"/>
    <mergeCell ref="O2:P2"/>
    <mergeCell ref="Q2:R2"/>
    <mergeCell ref="E3:G3"/>
    <mergeCell ref="H3:K3"/>
    <mergeCell ref="O3:P3"/>
    <mergeCell ref="Q3:R3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62"/>
  <sheetViews>
    <sheetView showGridLines="0" tabSelected="1" topLeftCell="E19" zoomScale="85" zoomScaleNormal="85" workbookViewId="0">
      <selection activeCell="G37" sqref="G37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31.21875" style="90" customWidth="1"/>
    <col min="15" max="15" width="17.77734375" style="90" bestFit="1" customWidth="1"/>
    <col min="16" max="16" width="9.21875" style="90" bestFit="1" customWidth="1"/>
    <col min="17" max="17" width="14.77734375" style="90" customWidth="1"/>
    <col min="18" max="18" width="16.6640625" style="90" bestFit="1" customWidth="1"/>
    <col min="19" max="19" width="16.44140625" style="90" bestFit="1" customWidth="1"/>
    <col min="20" max="20" width="29.5546875" style="84" bestFit="1" customWidth="1"/>
    <col min="21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45962</v>
      </c>
      <c r="F3" s="1759"/>
      <c r="G3" s="1759"/>
      <c r="H3" s="1760" t="s">
        <v>10</v>
      </c>
      <c r="I3" s="1717"/>
      <c r="J3" s="1717"/>
      <c r="K3" s="1717"/>
      <c r="N3" s="989">
        <f>SUMIF($Q$8:$Q$26,"F",$P$8:$P$26)</f>
        <v>442000</v>
      </c>
      <c r="O3" s="1715">
        <f>SUMIF($Q$7:$Q$28,"S",$P$7:$P$28)</f>
        <v>18287</v>
      </c>
      <c r="P3" s="1715"/>
      <c r="Q3" s="1706">
        <f>N3+O3</f>
        <v>460287</v>
      </c>
      <c r="R3" s="1707"/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90"/>
    </row>
    <row r="5" spans="1:22" s="5" customFormat="1" ht="24.6" customHeight="1">
      <c r="E5" s="973"/>
      <c r="F5" s="941"/>
      <c r="G5" s="941"/>
      <c r="H5" s="941"/>
      <c r="I5" s="941"/>
      <c r="J5" s="941"/>
      <c r="K5" s="957">
        <f t="shared" ref="K5" si="0">J5+1</f>
        <v>1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941"/>
      <c r="G6" s="941"/>
      <c r="H6" s="941"/>
      <c r="I6" s="941"/>
      <c r="J6" s="941"/>
      <c r="K6" s="957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868"/>
      <c r="H7" s="868"/>
      <c r="I7" s="868"/>
      <c r="J7" s="868"/>
      <c r="K7" s="957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292</v>
      </c>
      <c r="D8" s="265"/>
      <c r="E8" s="867"/>
      <c r="F8" s="868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1122" t="s">
        <v>4421</v>
      </c>
      <c r="O9" s="1284" t="s">
        <v>4222</v>
      </c>
      <c r="P9" s="1193">
        <v>34000</v>
      </c>
      <c r="Q9" s="968" t="s">
        <v>3462</v>
      </c>
      <c r="R9" s="1394" t="s">
        <v>3813</v>
      </c>
      <c r="S9" s="1242" t="s">
        <v>3812</v>
      </c>
      <c r="U9" s="84"/>
      <c r="V9" s="84"/>
    </row>
    <row r="10" spans="1:22" s="5" customFormat="1" ht="24.6" customHeight="1">
      <c r="B10" s="1467"/>
      <c r="C10" s="881" t="s">
        <v>228</v>
      </c>
      <c r="D10" s="265"/>
      <c r="E10" s="867"/>
      <c r="F10" s="868"/>
      <c r="G10" s="868"/>
      <c r="H10" s="868"/>
      <c r="I10" s="868"/>
      <c r="J10" s="868"/>
      <c r="K10" s="957"/>
      <c r="L10" s="90"/>
      <c r="M10" s="90"/>
      <c r="N10" s="1122" t="s">
        <v>4422</v>
      </c>
      <c r="O10" s="1284" t="s">
        <v>4423</v>
      </c>
      <c r="P10" s="1193">
        <v>34000</v>
      </c>
      <c r="Q10" s="968" t="s">
        <v>3462</v>
      </c>
      <c r="R10" s="1394" t="s">
        <v>3813</v>
      </c>
      <c r="S10" s="1242" t="s">
        <v>3812</v>
      </c>
      <c r="U10" s="84"/>
    </row>
    <row r="11" spans="1:22" ht="24.6" customHeight="1">
      <c r="A11" s="84"/>
      <c r="B11" s="875"/>
      <c r="C11" s="5"/>
      <c r="D11" s="5"/>
      <c r="E11" s="935">
        <f>K5+1</f>
        <v>2</v>
      </c>
      <c r="F11" s="924">
        <f t="shared" ref="F11:K11" si="1">E11+1</f>
        <v>3</v>
      </c>
      <c r="G11" s="923">
        <f t="shared" si="1"/>
        <v>4</v>
      </c>
      <c r="H11" s="924">
        <f t="shared" si="1"/>
        <v>5</v>
      </c>
      <c r="I11" s="923">
        <f t="shared" si="1"/>
        <v>6</v>
      </c>
      <c r="J11" s="923">
        <f t="shared" si="1"/>
        <v>7</v>
      </c>
      <c r="K11" s="925">
        <f t="shared" si="1"/>
        <v>8</v>
      </c>
      <c r="N11" s="1122" t="s">
        <v>4424</v>
      </c>
      <c r="O11" s="1284" t="s">
        <v>4425</v>
      </c>
      <c r="P11" s="1193">
        <v>34000</v>
      </c>
      <c r="Q11" s="968" t="s">
        <v>3462</v>
      </c>
      <c r="R11" s="1394" t="s">
        <v>3813</v>
      </c>
      <c r="S11" s="1242" t="s">
        <v>3812</v>
      </c>
      <c r="T11" s="5"/>
    </row>
    <row r="12" spans="1:22" ht="24.6" customHeight="1">
      <c r="A12" s="84"/>
      <c r="B12" s="1467" t="s">
        <v>287</v>
      </c>
      <c r="C12" s="879" t="s">
        <v>9</v>
      </c>
      <c r="D12" s="265"/>
      <c r="E12" s="869"/>
      <c r="F12" s="1778" t="s">
        <v>4497</v>
      </c>
      <c r="G12" s="1779"/>
      <c r="I12" s="1778" t="s">
        <v>4512</v>
      </c>
      <c r="J12" s="1779"/>
      <c r="K12" s="958"/>
      <c r="N12" s="1122" t="s">
        <v>4426</v>
      </c>
      <c r="O12" s="1284" t="s">
        <v>4427</v>
      </c>
      <c r="P12" s="1193">
        <v>34000</v>
      </c>
      <c r="Q12" s="968" t="s">
        <v>3462</v>
      </c>
      <c r="R12" s="1394" t="s">
        <v>3813</v>
      </c>
      <c r="S12" s="1242" t="s">
        <v>3812</v>
      </c>
    </row>
    <row r="13" spans="1:22" ht="24.6" customHeight="1">
      <c r="A13" s="84"/>
      <c r="B13" s="1467"/>
      <c r="C13" s="879"/>
      <c r="D13" s="265"/>
      <c r="E13" s="869"/>
      <c r="G13" s="1778" t="s">
        <v>4511</v>
      </c>
      <c r="H13" s="1779"/>
      <c r="I13" s="936"/>
      <c r="J13" s="1778" t="s">
        <v>4513</v>
      </c>
      <c r="K13" s="1779"/>
      <c r="N13" s="1122" t="s">
        <v>4442</v>
      </c>
      <c r="O13" s="1284" t="s">
        <v>4428</v>
      </c>
      <c r="P13" s="1193">
        <v>34000</v>
      </c>
      <c r="Q13" s="968" t="s">
        <v>3462</v>
      </c>
      <c r="R13" s="1394" t="s">
        <v>3813</v>
      </c>
      <c r="S13" s="1242" t="s">
        <v>3812</v>
      </c>
    </row>
    <row r="14" spans="1:22" ht="24.6" customHeight="1">
      <c r="A14" s="84"/>
      <c r="B14" s="1467"/>
      <c r="C14" s="880" t="s">
        <v>292</v>
      </c>
      <c r="D14" s="265"/>
      <c r="E14" s="869"/>
      <c r="F14" s="1260" t="s">
        <v>4659</v>
      </c>
      <c r="K14" s="958"/>
      <c r="N14" s="1122" t="s">
        <v>4443</v>
      </c>
      <c r="O14" s="1284" t="s">
        <v>4429</v>
      </c>
      <c r="P14" s="1193">
        <v>34000</v>
      </c>
      <c r="Q14" s="968" t="s">
        <v>3462</v>
      </c>
      <c r="R14" s="1394" t="s">
        <v>3813</v>
      </c>
      <c r="S14" s="1242" t="s">
        <v>3812</v>
      </c>
      <c r="U14" s="5"/>
    </row>
    <row r="15" spans="1:22" ht="24.6" customHeight="1">
      <c r="A15" s="84"/>
      <c r="B15" s="1467"/>
      <c r="C15" s="880"/>
      <c r="D15" s="265"/>
      <c r="E15" s="869"/>
      <c r="F15" s="1790" t="s">
        <v>4660</v>
      </c>
      <c r="G15" s="1781"/>
      <c r="H15" s="1790" t="s">
        <v>4412</v>
      </c>
      <c r="I15" s="1781"/>
      <c r="K15" s="958"/>
      <c r="N15" s="1122" t="s">
        <v>4444</v>
      </c>
      <c r="O15" s="1284" t="s">
        <v>4430</v>
      </c>
      <c r="P15" s="1193">
        <v>34000</v>
      </c>
      <c r="Q15" s="968" t="s">
        <v>3462</v>
      </c>
      <c r="R15" s="1394" t="s">
        <v>3813</v>
      </c>
      <c r="S15" s="1242" t="s">
        <v>3812</v>
      </c>
    </row>
    <row r="16" spans="1:22" ht="24.6" customHeight="1">
      <c r="A16" s="84"/>
      <c r="B16" s="1467"/>
      <c r="C16" s="881" t="s">
        <v>228</v>
      </c>
      <c r="D16" s="265"/>
      <c r="E16" s="869"/>
      <c r="G16" s="1790" t="s">
        <v>4411</v>
      </c>
      <c r="H16" s="1781"/>
      <c r="I16" s="1790" t="s">
        <v>4413</v>
      </c>
      <c r="J16" s="1781"/>
      <c r="K16" s="958"/>
      <c r="N16" s="1122" t="s">
        <v>4437</v>
      </c>
      <c r="O16" s="1284" t="s">
        <v>4389</v>
      </c>
      <c r="P16" s="1193">
        <v>34000</v>
      </c>
      <c r="Q16" s="968" t="s">
        <v>3462</v>
      </c>
      <c r="R16" s="1394" t="s">
        <v>3813</v>
      </c>
      <c r="S16" s="1242" t="s">
        <v>3812</v>
      </c>
      <c r="T16" s="5"/>
    </row>
    <row r="17" spans="1:20" ht="24.6" customHeight="1">
      <c r="A17" s="84"/>
      <c r="B17" s="875"/>
      <c r="C17" s="5"/>
      <c r="D17" s="5"/>
      <c r="E17" s="939">
        <f>K11+1</f>
        <v>9</v>
      </c>
      <c r="F17" s="1272">
        <f t="shared" ref="F17:K17" si="2">E17+1</f>
        <v>10</v>
      </c>
      <c r="G17" s="1273">
        <f t="shared" si="2"/>
        <v>11</v>
      </c>
      <c r="H17" s="1274">
        <f t="shared" si="2"/>
        <v>12</v>
      </c>
      <c r="I17" s="943">
        <f t="shared" si="2"/>
        <v>13</v>
      </c>
      <c r="J17" s="943">
        <f t="shared" si="2"/>
        <v>14</v>
      </c>
      <c r="K17" s="959">
        <f t="shared" si="2"/>
        <v>15</v>
      </c>
      <c r="M17" s="203"/>
      <c r="N17" s="1122" t="s">
        <v>4228</v>
      </c>
      <c r="O17" s="1284" t="s">
        <v>4518</v>
      </c>
      <c r="P17" s="1193">
        <f>7890-3</f>
        <v>7887</v>
      </c>
      <c r="Q17" s="1193" t="s">
        <v>3463</v>
      </c>
      <c r="R17" s="1394" t="s">
        <v>3813</v>
      </c>
      <c r="S17" s="1394" t="s">
        <v>3813</v>
      </c>
      <c r="T17" s="5" t="s">
        <v>4498</v>
      </c>
    </row>
    <row r="18" spans="1:20" ht="24.6" customHeight="1">
      <c r="A18" s="84"/>
      <c r="B18" s="1467" t="s">
        <v>287</v>
      </c>
      <c r="C18" s="879" t="s">
        <v>9</v>
      </c>
      <c r="D18" s="265"/>
      <c r="E18" s="871"/>
      <c r="F18" s="1778" t="s">
        <v>4514</v>
      </c>
      <c r="G18" s="1779"/>
      <c r="H18" s="871"/>
      <c r="I18" s="1778" t="s">
        <v>4516</v>
      </c>
      <c r="J18" s="1779"/>
      <c r="K18" s="871"/>
      <c r="N18" s="1122" t="s">
        <v>4491</v>
      </c>
      <c r="O18" s="1284" t="s">
        <v>4492</v>
      </c>
      <c r="P18" s="1193">
        <v>3000</v>
      </c>
      <c r="Q18" s="969" t="s">
        <v>3463</v>
      </c>
      <c r="R18" s="1394" t="s">
        <v>3813</v>
      </c>
      <c r="S18" s="1394" t="s">
        <v>3813</v>
      </c>
    </row>
    <row r="19" spans="1:20" ht="24.6" customHeight="1">
      <c r="A19" s="84"/>
      <c r="B19" s="1467"/>
      <c r="C19" s="879"/>
      <c r="D19" s="265"/>
      <c r="E19" s="871"/>
      <c r="F19" s="871"/>
      <c r="G19" s="1778" t="s">
        <v>4515</v>
      </c>
      <c r="H19" s="1779"/>
      <c r="I19" s="871"/>
      <c r="J19" s="1778" t="s">
        <v>4517</v>
      </c>
      <c r="K19" s="1779"/>
      <c r="L19" s="84"/>
      <c r="N19" s="1194" t="s">
        <v>4357</v>
      </c>
      <c r="O19" s="1319" t="s">
        <v>4359</v>
      </c>
      <c r="P19" s="1193">
        <v>2500</v>
      </c>
      <c r="Q19" s="1193" t="s">
        <v>3463</v>
      </c>
      <c r="R19" s="1394" t="s">
        <v>3813</v>
      </c>
      <c r="S19" s="1394" t="s">
        <v>3813</v>
      </c>
      <c r="T19" s="84" t="s">
        <v>4271</v>
      </c>
    </row>
    <row r="20" spans="1:20" ht="24.6" customHeight="1">
      <c r="A20" s="84"/>
      <c r="B20" s="1467"/>
      <c r="C20" s="880" t="s">
        <v>292</v>
      </c>
      <c r="D20" s="265"/>
      <c r="E20" s="871"/>
      <c r="F20" s="1790" t="s">
        <v>4433</v>
      </c>
      <c r="G20" s="1781"/>
      <c r="H20" s="1790" t="s">
        <v>4712</v>
      </c>
      <c r="I20" s="1781"/>
      <c r="J20" s="1414" t="s">
        <v>4434</v>
      </c>
      <c r="K20" s="871"/>
      <c r="L20" s="84"/>
      <c r="N20" s="1194" t="s">
        <v>4353</v>
      </c>
      <c r="O20" s="1319" t="s">
        <v>4468</v>
      </c>
      <c r="P20" s="1325">
        <v>34000</v>
      </c>
      <c r="Q20" s="968" t="s">
        <v>3462</v>
      </c>
      <c r="R20" s="1394" t="s">
        <v>3813</v>
      </c>
      <c r="S20" s="1394" t="s">
        <v>3813</v>
      </c>
    </row>
    <row r="21" spans="1:20" ht="24.6" customHeight="1">
      <c r="A21" s="84"/>
      <c r="B21" s="1467"/>
      <c r="C21" s="880"/>
      <c r="D21" s="265"/>
      <c r="E21" s="871"/>
      <c r="F21" s="1313" t="s">
        <v>4413</v>
      </c>
      <c r="G21" s="871"/>
      <c r="H21" s="871"/>
      <c r="I21" s="1790" t="s">
        <v>4737</v>
      </c>
      <c r="J21" s="1788"/>
      <c r="K21" s="871"/>
      <c r="N21" s="1194" t="s">
        <v>4354</v>
      </c>
      <c r="O21" s="1319" t="s">
        <v>4440</v>
      </c>
      <c r="P21" s="1325">
        <v>34000</v>
      </c>
      <c r="Q21" s="968" t="s">
        <v>3462</v>
      </c>
      <c r="R21" s="1394" t="s">
        <v>3813</v>
      </c>
      <c r="S21" s="1394" t="s">
        <v>3813</v>
      </c>
    </row>
    <row r="22" spans="1:20" ht="24.6" customHeight="1">
      <c r="A22" s="84"/>
      <c r="B22" s="1467"/>
      <c r="C22" s="881" t="s">
        <v>228</v>
      </c>
      <c r="D22" s="265"/>
      <c r="E22" s="871"/>
      <c r="F22" s="871"/>
      <c r="G22" s="871"/>
      <c r="H22" s="871"/>
      <c r="I22" s="871"/>
      <c r="J22" s="871"/>
      <c r="K22" s="871"/>
      <c r="M22" s="84"/>
      <c r="N22" s="1194" t="s">
        <v>4364</v>
      </c>
      <c r="O22" s="1319" t="s">
        <v>4710</v>
      </c>
      <c r="P22" s="1325">
        <v>2400</v>
      </c>
      <c r="Q22" s="1193" t="s">
        <v>3463</v>
      </c>
      <c r="R22" s="1394" t="s">
        <v>3813</v>
      </c>
      <c r="S22" s="1394" t="s">
        <v>3813</v>
      </c>
      <c r="T22" s="84" t="s">
        <v>4338</v>
      </c>
    </row>
    <row r="23" spans="1:20" ht="24.6" customHeight="1">
      <c r="A23" s="84"/>
      <c r="B23" s="875"/>
      <c r="C23" s="5"/>
      <c r="D23" s="5"/>
      <c r="E23" s="935">
        <f>K17+1</f>
        <v>16</v>
      </c>
      <c r="F23" s="924">
        <f t="shared" ref="F23:K23" si="3">E23+1</f>
        <v>17</v>
      </c>
      <c r="G23" s="923">
        <f t="shared" si="3"/>
        <v>18</v>
      </c>
      <c r="H23" s="924">
        <f t="shared" si="3"/>
        <v>19</v>
      </c>
      <c r="I23" s="923">
        <f t="shared" si="3"/>
        <v>20</v>
      </c>
      <c r="J23" s="923">
        <f t="shared" si="3"/>
        <v>21</v>
      </c>
      <c r="K23" s="923">
        <f t="shared" si="3"/>
        <v>22</v>
      </c>
      <c r="M23" s="84"/>
      <c r="N23" s="1194" t="s">
        <v>4371</v>
      </c>
      <c r="O23" s="1319" t="s">
        <v>4388</v>
      </c>
      <c r="P23" s="1325">
        <v>34000</v>
      </c>
      <c r="Q23" s="968" t="s">
        <v>3462</v>
      </c>
      <c r="R23" s="1394" t="s">
        <v>3465</v>
      </c>
      <c r="S23" s="1394" t="s">
        <v>3465</v>
      </c>
    </row>
    <row r="24" spans="1:20" ht="24.6" customHeight="1">
      <c r="A24" s="84"/>
      <c r="B24" s="1467" t="s">
        <v>287</v>
      </c>
      <c r="C24" s="879" t="s">
        <v>9</v>
      </c>
      <c r="D24" s="265"/>
      <c r="E24" s="869"/>
      <c r="F24" s="1784" t="s">
        <v>4662</v>
      </c>
      <c r="G24" s="1785"/>
      <c r="H24" s="937"/>
      <c r="I24" s="1784" t="s">
        <v>4664</v>
      </c>
      <c r="J24" s="1785"/>
      <c r="K24" s="937"/>
      <c r="M24" s="84"/>
      <c r="N24" s="1194" t="s">
        <v>4376</v>
      </c>
      <c r="O24" s="1319" t="s">
        <v>4471</v>
      </c>
      <c r="P24" s="1193">
        <v>34000</v>
      </c>
      <c r="Q24" s="968" t="s">
        <v>3462</v>
      </c>
      <c r="R24" s="1394" t="s">
        <v>3465</v>
      </c>
      <c r="S24" s="1394" t="s">
        <v>3465</v>
      </c>
    </row>
    <row r="25" spans="1:20" ht="24.6" customHeight="1">
      <c r="A25" s="84"/>
      <c r="B25" s="1467"/>
      <c r="C25" s="879"/>
      <c r="D25" s="265"/>
      <c r="E25" s="869"/>
      <c r="F25" s="937"/>
      <c r="G25" s="1784" t="s">
        <v>4663</v>
      </c>
      <c r="H25" s="1785"/>
      <c r="I25" s="1365"/>
      <c r="J25" s="1784" t="s">
        <v>4665</v>
      </c>
      <c r="K25" s="1785"/>
      <c r="M25" s="84"/>
      <c r="N25" s="1194" t="s">
        <v>4488</v>
      </c>
      <c r="O25" s="1369" t="s">
        <v>4489</v>
      </c>
      <c r="P25" s="1193">
        <v>34000</v>
      </c>
      <c r="Q25" s="968" t="s">
        <v>3462</v>
      </c>
      <c r="R25" s="1370" t="s">
        <v>3813</v>
      </c>
      <c r="S25" s="1370" t="s">
        <v>3813</v>
      </c>
      <c r="T25" s="84" t="s">
        <v>4220</v>
      </c>
    </row>
    <row r="26" spans="1:20" ht="24.6" customHeight="1">
      <c r="A26" s="84"/>
      <c r="B26" s="1467"/>
      <c r="C26" s="880" t="s">
        <v>292</v>
      </c>
      <c r="D26" s="265"/>
      <c r="E26" s="869"/>
      <c r="F26" s="1313" t="s">
        <v>4434</v>
      </c>
      <c r="G26" s="1260" t="s">
        <v>4727</v>
      </c>
      <c r="H26" s="1260" t="s">
        <v>4708</v>
      </c>
      <c r="I26" s="1197" t="s">
        <v>4469</v>
      </c>
      <c r="K26" s="937"/>
      <c r="M26" s="84"/>
      <c r="N26" s="1194" t="s">
        <v>4386</v>
      </c>
      <c r="O26" s="1395" t="s">
        <v>4366</v>
      </c>
      <c r="P26" s="1193">
        <v>2500</v>
      </c>
      <c r="Q26" s="875" t="s">
        <v>3463</v>
      </c>
      <c r="R26" s="1394" t="s">
        <v>3813</v>
      </c>
      <c r="S26" s="1394" t="s">
        <v>3813</v>
      </c>
    </row>
    <row r="27" spans="1:20" ht="24.6" customHeight="1">
      <c r="A27" s="84"/>
      <c r="B27" s="1467"/>
      <c r="C27" s="880"/>
      <c r="D27" s="265"/>
      <c r="E27" s="869"/>
      <c r="G27" s="1241" t="s">
        <v>4493</v>
      </c>
      <c r="H27" s="1260" t="s">
        <v>4728</v>
      </c>
      <c r="J27" s="1197" t="s">
        <v>4470</v>
      </c>
      <c r="K27" s="937"/>
      <c r="N27" s="1194" t="s">
        <v>4441</v>
      </c>
      <c r="O27" s="1361" t="s">
        <v>4324</v>
      </c>
      <c r="P27" s="1193">
        <v>34000</v>
      </c>
      <c r="Q27" s="1285" t="s">
        <v>4258</v>
      </c>
      <c r="R27" s="1293" t="s">
        <v>3465</v>
      </c>
      <c r="S27" s="1187" t="s">
        <v>3465</v>
      </c>
      <c r="T27" s="84" t="s">
        <v>4508</v>
      </c>
    </row>
    <row r="28" spans="1:20" ht="24" customHeight="1">
      <c r="A28" s="84"/>
      <c r="B28" s="1467"/>
      <c r="C28" s="881" t="s">
        <v>228</v>
      </c>
      <c r="D28" s="265"/>
      <c r="E28" s="869"/>
      <c r="F28" s="938"/>
      <c r="G28" s="938"/>
      <c r="H28" s="937"/>
      <c r="J28" s="937"/>
      <c r="K28" s="937"/>
      <c r="L28" s="84"/>
    </row>
    <row r="29" spans="1:20" ht="24.6" customHeight="1">
      <c r="A29" s="84"/>
      <c r="B29" s="5"/>
      <c r="C29" s="269"/>
      <c r="D29" s="265"/>
      <c r="E29" s="1337">
        <f>K23+1</f>
        <v>23</v>
      </c>
      <c r="F29" s="947">
        <f>E29+1</f>
        <v>24</v>
      </c>
      <c r="G29" s="947">
        <v>25</v>
      </c>
      <c r="H29" s="971">
        <v>26</v>
      </c>
      <c r="I29" s="940">
        <f>H29+1</f>
        <v>27</v>
      </c>
      <c r="J29" s="940">
        <v>28</v>
      </c>
      <c r="K29" s="940">
        <v>29</v>
      </c>
      <c r="L29" s="84"/>
    </row>
    <row r="30" spans="1:20" ht="24.6" customHeight="1">
      <c r="A30" s="84"/>
      <c r="B30" s="1467" t="s">
        <v>287</v>
      </c>
      <c r="C30" s="879" t="s">
        <v>9</v>
      </c>
      <c r="D30" s="265"/>
      <c r="E30" s="871"/>
      <c r="F30" s="1784" t="s">
        <v>4751</v>
      </c>
      <c r="G30" s="1785"/>
      <c r="H30" s="928"/>
      <c r="I30" s="1784" t="s">
        <v>4719</v>
      </c>
      <c r="J30" s="1785"/>
      <c r="K30" s="928"/>
      <c r="L30" s="84"/>
      <c r="M30" s="84"/>
    </row>
    <row r="31" spans="1:20" ht="24.6" customHeight="1">
      <c r="A31" s="84"/>
      <c r="B31" s="1467"/>
      <c r="C31" s="879"/>
      <c r="D31" s="265"/>
      <c r="E31" s="871"/>
      <c r="F31" s="928"/>
      <c r="G31" s="1784" t="s">
        <v>4748</v>
      </c>
      <c r="H31" s="1785"/>
      <c r="I31" s="928"/>
      <c r="J31" s="1784" t="s">
        <v>4720</v>
      </c>
      <c r="K31" s="1785"/>
      <c r="L31" s="84"/>
      <c r="M31" s="84"/>
    </row>
    <row r="32" spans="1:20" ht="24.6" customHeight="1">
      <c r="A32" s="84"/>
      <c r="B32" s="1467"/>
      <c r="C32" s="880" t="s">
        <v>292</v>
      </c>
      <c r="D32" s="265"/>
      <c r="E32" s="871"/>
      <c r="F32" s="1241" t="s">
        <v>4470</v>
      </c>
      <c r="G32" s="871"/>
      <c r="H32" s="1197" t="s">
        <v>4661</v>
      </c>
      <c r="I32" s="928"/>
      <c r="J32" s="1197" t="s">
        <v>4327</v>
      </c>
      <c r="K32" s="928"/>
      <c r="L32" s="84"/>
      <c r="M32" s="84"/>
    </row>
    <row r="33" spans="1:22" ht="24.6" customHeight="1">
      <c r="A33" s="84"/>
      <c r="B33" s="1467"/>
      <c r="C33" s="880"/>
      <c r="D33" s="265"/>
      <c r="E33" s="871"/>
      <c r="F33" s="871"/>
      <c r="G33" s="1197" t="s">
        <v>4403</v>
      </c>
      <c r="H33" s="928"/>
      <c r="I33" s="1197" t="s">
        <v>4752</v>
      </c>
      <c r="J33" s="928"/>
      <c r="K33" s="928"/>
      <c r="L33" s="84"/>
      <c r="M33" s="84"/>
      <c r="N33" s="90" t="s">
        <v>4739</v>
      </c>
      <c r="U33" s="25"/>
      <c r="V33" s="25"/>
    </row>
    <row r="34" spans="1:22" ht="24.6" customHeight="1">
      <c r="A34" s="84"/>
      <c r="B34" s="1467"/>
      <c r="C34" s="881" t="s">
        <v>228</v>
      </c>
      <c r="D34" s="265"/>
      <c r="E34" s="872"/>
      <c r="F34" s="872"/>
      <c r="G34" s="872"/>
      <c r="H34" s="872"/>
      <c r="I34" s="872"/>
      <c r="J34" s="872"/>
      <c r="K34" s="872"/>
      <c r="L34" s="84"/>
      <c r="M34" s="84"/>
      <c r="N34" s="1422" t="s">
        <v>4438</v>
      </c>
      <c r="O34" s="1423" t="s">
        <v>4439</v>
      </c>
      <c r="P34" s="1424">
        <v>1600</v>
      </c>
      <c r="Q34" s="1425" t="s">
        <v>3463</v>
      </c>
      <c r="R34" s="1426" t="s">
        <v>3813</v>
      </c>
      <c r="S34" s="1426" t="s">
        <v>3813</v>
      </c>
      <c r="T34" s="1427" t="s">
        <v>4740</v>
      </c>
      <c r="U34" s="25"/>
      <c r="V34" s="25"/>
    </row>
    <row r="35" spans="1:22" ht="24" customHeight="1">
      <c r="A35" s="84"/>
      <c r="B35" s="84"/>
      <c r="C35" s="269"/>
      <c r="D35" s="265"/>
      <c r="E35" s="1430">
        <v>30</v>
      </c>
      <c r="F35" s="1431"/>
      <c r="G35" s="1431"/>
      <c r="H35" s="1431"/>
      <c r="I35" s="1431"/>
      <c r="J35" s="1431"/>
      <c r="K35" s="1432"/>
      <c r="M35" s="84"/>
      <c r="U35" s="25"/>
      <c r="V35" s="25"/>
    </row>
    <row r="36" spans="1:22" ht="24.6" customHeight="1">
      <c r="A36" s="84"/>
      <c r="B36" s="1467" t="s">
        <v>287</v>
      </c>
      <c r="C36" s="879" t="s">
        <v>9</v>
      </c>
      <c r="D36" s="265"/>
      <c r="E36" s="1429"/>
      <c r="F36" s="1429"/>
      <c r="G36" s="1429"/>
      <c r="H36" s="1429"/>
      <c r="I36" s="1429"/>
      <c r="J36" s="1429"/>
      <c r="K36" s="1433"/>
      <c r="M36" s="84"/>
      <c r="U36" s="1358"/>
      <c r="V36" s="1358"/>
    </row>
    <row r="37" spans="1:22" ht="24.6" customHeight="1">
      <c r="A37" s="84"/>
      <c r="B37" s="1467"/>
      <c r="C37" s="879"/>
      <c r="D37" s="265"/>
      <c r="E37" s="1429"/>
      <c r="F37" s="1429"/>
      <c r="G37" s="1429"/>
      <c r="H37" s="1429"/>
      <c r="I37" s="1429"/>
      <c r="J37" s="1429"/>
      <c r="K37" s="1433"/>
      <c r="U37" s="1358"/>
      <c r="V37" s="1358"/>
    </row>
    <row r="38" spans="1:22" ht="24.6" customHeight="1">
      <c r="A38" s="84"/>
      <c r="B38" s="1467"/>
      <c r="C38" s="880" t="s">
        <v>292</v>
      </c>
      <c r="D38" s="265"/>
      <c r="E38" s="1429"/>
      <c r="F38" s="1429"/>
      <c r="G38" s="1429"/>
      <c r="H38" s="1429"/>
      <c r="I38" s="1429"/>
      <c r="J38" s="1429"/>
      <c r="K38" s="1433"/>
      <c r="M38" s="84"/>
      <c r="U38" s="1358"/>
      <c r="V38" s="1358"/>
    </row>
    <row r="39" spans="1:22" ht="24.6" customHeight="1">
      <c r="A39" s="84"/>
      <c r="B39" s="1467"/>
      <c r="C39" s="880"/>
      <c r="D39" s="265"/>
      <c r="E39" s="1429"/>
      <c r="F39" s="1429"/>
      <c r="G39" s="1429"/>
      <c r="H39" s="1429"/>
      <c r="I39" s="1429"/>
      <c r="J39" s="1429"/>
      <c r="K39" s="1433"/>
      <c r="M39" s="84"/>
      <c r="U39" s="1358"/>
      <c r="V39" s="1358"/>
    </row>
    <row r="40" spans="1:22" ht="24.6" customHeight="1">
      <c r="A40" s="84"/>
      <c r="B40" s="1467"/>
      <c r="C40" s="881" t="s">
        <v>228</v>
      </c>
      <c r="D40" s="265"/>
      <c r="E40" s="870"/>
      <c r="F40" s="938"/>
      <c r="G40" s="938"/>
      <c r="H40" s="938"/>
      <c r="I40" s="1334"/>
      <c r="J40" s="938"/>
      <c r="K40" s="938"/>
      <c r="M40" s="84"/>
      <c r="N40" s="1358"/>
      <c r="O40" s="1358"/>
      <c r="P40" s="1358"/>
      <c r="Q40" s="1358"/>
      <c r="R40" s="1358"/>
      <c r="S40" s="1358"/>
      <c r="T40" s="1358"/>
      <c r="U40" s="1358"/>
      <c r="V40" s="1358"/>
    </row>
    <row r="41" spans="1:22">
      <c r="N41" s="1358"/>
      <c r="O41" s="1358"/>
      <c r="P41" s="1358"/>
      <c r="Q41" s="1358"/>
      <c r="R41" s="1358"/>
      <c r="S41" s="1358"/>
      <c r="T41" s="1358"/>
      <c r="U41" s="1358"/>
      <c r="V41" s="1358"/>
    </row>
    <row r="42" spans="1:22" ht="24" customHeight="1">
      <c r="A42" s="84"/>
      <c r="B42" s="5"/>
      <c r="C42" s="962" t="s">
        <v>3744</v>
      </c>
      <c r="D42" s="84"/>
      <c r="E42" s="931" t="s">
        <v>3740</v>
      </c>
      <c r="F42" s="933" t="s">
        <v>3743</v>
      </c>
      <c r="G42" s="1396" t="s">
        <v>3768</v>
      </c>
      <c r="N42" s="1358"/>
      <c r="O42" s="1358"/>
      <c r="P42" s="1358"/>
      <c r="Q42" s="1358"/>
      <c r="R42" s="1358"/>
      <c r="S42" s="1358"/>
      <c r="T42" s="1358"/>
      <c r="U42" s="1358"/>
      <c r="V42" s="1358"/>
    </row>
    <row r="43" spans="1:22" ht="24.6" customHeight="1">
      <c r="A43" s="84"/>
      <c r="B43" s="5"/>
      <c r="D43" s="84"/>
      <c r="E43" s="932" t="s">
        <v>3741</v>
      </c>
      <c r="F43" s="1186" t="s">
        <v>3742</v>
      </c>
      <c r="G43" s="972" t="s">
        <v>336</v>
      </c>
      <c r="N43" s="1358"/>
      <c r="O43" s="1358"/>
      <c r="P43" s="1358"/>
      <c r="Q43" s="1358"/>
      <c r="R43" s="1358"/>
      <c r="S43" s="1358"/>
      <c r="T43" s="1358"/>
      <c r="U43" s="1358"/>
      <c r="V43" s="1358"/>
    </row>
    <row r="44" spans="1:22">
      <c r="N44" s="1358"/>
      <c r="O44" s="1358"/>
      <c r="P44" s="1358"/>
      <c r="Q44" s="1358"/>
      <c r="R44" s="1358"/>
      <c r="S44" s="1358"/>
      <c r="T44" s="1358"/>
      <c r="U44" s="1358"/>
      <c r="V44" s="1358"/>
    </row>
    <row r="45" spans="1:22">
      <c r="N45" s="1358"/>
      <c r="O45" s="1358"/>
      <c r="P45" s="1358"/>
      <c r="Q45" s="1358"/>
      <c r="R45" s="1358"/>
      <c r="S45" s="1358"/>
      <c r="T45" s="1358"/>
      <c r="U45" s="1358"/>
      <c r="V45" s="1358"/>
    </row>
    <row r="46" spans="1:22">
      <c r="N46" s="1358"/>
      <c r="O46" s="1358"/>
      <c r="P46" s="1358"/>
      <c r="Q46" s="1358"/>
      <c r="R46" s="1358"/>
      <c r="S46" s="1358"/>
      <c r="T46" s="1358"/>
      <c r="U46" s="1358"/>
      <c r="V46" s="1358"/>
    </row>
    <row r="47" spans="1:22">
      <c r="N47" s="1358"/>
      <c r="O47" s="1358"/>
      <c r="P47" s="1358"/>
      <c r="Q47" s="1358"/>
      <c r="R47" s="1358"/>
      <c r="S47" s="1358"/>
      <c r="T47" s="1358"/>
      <c r="U47" s="1358"/>
      <c r="V47" s="1358"/>
    </row>
    <row r="48" spans="1:22">
      <c r="N48" s="1358"/>
      <c r="O48" s="1358"/>
      <c r="P48" s="1358"/>
      <c r="Q48" s="1358"/>
      <c r="R48" s="1358"/>
      <c r="S48" s="1358"/>
      <c r="T48" s="1358"/>
      <c r="U48" s="1358"/>
      <c r="V48" s="1358"/>
    </row>
    <row r="49" spans="9:22">
      <c r="N49" s="1358"/>
      <c r="O49" s="1358"/>
      <c r="P49" s="1358"/>
      <c r="Q49" s="1358"/>
      <c r="R49" s="1358"/>
      <c r="S49" s="1358"/>
      <c r="T49" s="1358"/>
      <c r="U49" s="1358"/>
      <c r="V49" s="1358"/>
    </row>
    <row r="50" spans="9:22">
      <c r="N50" s="1358"/>
      <c r="O50" s="1358"/>
      <c r="P50" s="1358"/>
      <c r="Q50" s="1358"/>
      <c r="R50" s="1358"/>
      <c r="S50" s="1358"/>
      <c r="T50" s="1358"/>
      <c r="U50" s="1358"/>
      <c r="V50" s="1358"/>
    </row>
    <row r="51" spans="9:22">
      <c r="N51" s="714"/>
      <c r="O51" s="714"/>
      <c r="P51" s="714"/>
      <c r="Q51" s="714"/>
      <c r="R51" s="714"/>
      <c r="S51" s="714"/>
      <c r="T51" s="25"/>
      <c r="U51" s="25"/>
      <c r="V51" s="25"/>
    </row>
    <row r="52" spans="9:22">
      <c r="N52" s="714"/>
      <c r="O52" s="714"/>
      <c r="P52" s="714"/>
      <c r="Q52" s="714"/>
      <c r="R52" s="714"/>
      <c r="S52" s="714"/>
      <c r="T52" s="25"/>
      <c r="U52" s="25"/>
      <c r="V52" s="25"/>
    </row>
    <row r="54" spans="9:22">
      <c r="I54" s="84"/>
      <c r="J54" s="84"/>
    </row>
    <row r="55" spans="9:22">
      <c r="I55" s="84"/>
      <c r="J55" s="84"/>
    </row>
    <row r="56" spans="9:22">
      <c r="I56" s="84"/>
      <c r="J56" s="84"/>
    </row>
    <row r="57" spans="9:22">
      <c r="I57" s="84"/>
      <c r="J57" s="84"/>
    </row>
    <row r="58" spans="9:22">
      <c r="I58" s="84"/>
      <c r="J58" s="84"/>
    </row>
    <row r="59" spans="9:22">
      <c r="I59" s="84"/>
      <c r="J59" s="84"/>
    </row>
    <row r="60" spans="9:22">
      <c r="I60" s="84"/>
      <c r="J60" s="84"/>
    </row>
    <row r="61" spans="9:22">
      <c r="I61" s="84"/>
      <c r="J61" s="84"/>
    </row>
    <row r="62" spans="9:22">
      <c r="I62" s="84"/>
      <c r="J62" s="84"/>
    </row>
  </sheetData>
  <mergeCells count="35">
    <mergeCell ref="O2:P2"/>
    <mergeCell ref="Q2:R2"/>
    <mergeCell ref="E3:G3"/>
    <mergeCell ref="H3:K3"/>
    <mergeCell ref="O3:P3"/>
    <mergeCell ref="Q3:R3"/>
    <mergeCell ref="B6:B10"/>
    <mergeCell ref="B12:B16"/>
    <mergeCell ref="F12:G12"/>
    <mergeCell ref="I12:J12"/>
    <mergeCell ref="G13:H13"/>
    <mergeCell ref="J13:K13"/>
    <mergeCell ref="F15:G15"/>
    <mergeCell ref="H15:I15"/>
    <mergeCell ref="G16:H16"/>
    <mergeCell ref="I16:J16"/>
    <mergeCell ref="B18:B22"/>
    <mergeCell ref="F18:G18"/>
    <mergeCell ref="I18:J18"/>
    <mergeCell ref="G19:H19"/>
    <mergeCell ref="J19:K19"/>
    <mergeCell ref="F20:G20"/>
    <mergeCell ref="I21:J21"/>
    <mergeCell ref="H20:I20"/>
    <mergeCell ref="B24:B28"/>
    <mergeCell ref="F24:G24"/>
    <mergeCell ref="I24:J24"/>
    <mergeCell ref="G25:H25"/>
    <mergeCell ref="J25:K25"/>
    <mergeCell ref="B36:B40"/>
    <mergeCell ref="B30:B34"/>
    <mergeCell ref="F30:G30"/>
    <mergeCell ref="I30:J30"/>
    <mergeCell ref="G31:H31"/>
    <mergeCell ref="J31:K31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2">
    <pageSetUpPr fitToPage="1"/>
  </sheetPr>
  <dimension ref="A1:X153"/>
  <sheetViews>
    <sheetView showGridLines="0" topLeftCell="A5" zoomScale="70" zoomScaleNormal="70" workbookViewId="0">
      <selection activeCell="F20" sqref="F20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31.6640625" style="90" bestFit="1" customWidth="1"/>
    <col min="15" max="15" width="29.664062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20" width="26.44140625" style="84" bestFit="1" customWidth="1"/>
    <col min="21" max="16384" width="8.88671875" style="84"/>
  </cols>
  <sheetData>
    <row r="1" spans="1:24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4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4" ht="57">
      <c r="A3" s="84"/>
      <c r="B3" s="84"/>
      <c r="C3" s="5"/>
      <c r="D3" s="5"/>
      <c r="E3" s="1759">
        <v>45992</v>
      </c>
      <c r="F3" s="1759"/>
      <c r="G3" s="1759"/>
      <c r="H3" s="1760" t="s">
        <v>10</v>
      </c>
      <c r="I3" s="1717"/>
      <c r="J3" s="1717"/>
      <c r="K3" s="1717"/>
      <c r="N3" s="989">
        <f>SUMIF($Q$8:$Q$25,"F",$P$8:$P$25)</f>
        <v>306000</v>
      </c>
      <c r="O3" s="1715">
        <f>SUMIF($Q$7:$Q$25,"S",$P$7:$P$25)</f>
        <v>93820</v>
      </c>
      <c r="P3" s="1715"/>
      <c r="Q3" s="1706">
        <f>N3+O3</f>
        <v>399820</v>
      </c>
      <c r="R3" s="1707"/>
    </row>
    <row r="4" spans="1:24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90"/>
    </row>
    <row r="5" spans="1:24" s="5" customFormat="1" ht="24.6" customHeight="1">
      <c r="E5" s="973"/>
      <c r="F5" s="941">
        <f t="shared" ref="F5:K5" si="0">E5+1</f>
        <v>1</v>
      </c>
      <c r="G5" s="941">
        <f t="shared" si="0"/>
        <v>2</v>
      </c>
      <c r="H5" s="941">
        <f t="shared" si="0"/>
        <v>3</v>
      </c>
      <c r="I5" s="941">
        <f t="shared" si="0"/>
        <v>4</v>
      </c>
      <c r="J5" s="941">
        <f t="shared" si="0"/>
        <v>5</v>
      </c>
      <c r="K5" s="957">
        <f t="shared" si="0"/>
        <v>6</v>
      </c>
      <c r="L5" s="90"/>
      <c r="M5" s="90"/>
      <c r="S5" s="90"/>
    </row>
    <row r="6" spans="1:24" s="5" customFormat="1" ht="24.6" customHeight="1">
      <c r="B6" s="1467" t="s">
        <v>287</v>
      </c>
      <c r="C6" s="879" t="s">
        <v>9</v>
      </c>
      <c r="D6" s="265"/>
      <c r="E6" s="867"/>
      <c r="F6" s="1778" t="s">
        <v>4806</v>
      </c>
      <c r="G6" s="1779"/>
      <c r="H6" s="868"/>
      <c r="I6" s="1778" t="s">
        <v>4777</v>
      </c>
      <c r="J6" s="1779"/>
      <c r="K6" s="868"/>
      <c r="L6" s="90"/>
      <c r="M6" s="90"/>
      <c r="S6" s="90"/>
    </row>
    <row r="7" spans="1:24" s="5" customFormat="1" ht="24.6" customHeight="1">
      <c r="B7" s="1467"/>
      <c r="C7" s="879"/>
      <c r="D7" s="265"/>
      <c r="E7" s="867"/>
      <c r="F7" s="868"/>
      <c r="G7" s="1778" t="s">
        <v>4776</v>
      </c>
      <c r="H7" s="1779"/>
      <c r="I7" s="868"/>
      <c r="J7" s="1778" t="s">
        <v>4785</v>
      </c>
      <c r="K7" s="1779"/>
      <c r="L7" s="90"/>
      <c r="M7" s="90"/>
      <c r="N7" s="683" t="s">
        <v>4256</v>
      </c>
      <c r="S7" s="90"/>
    </row>
    <row r="8" spans="1:24" s="5" customFormat="1" ht="24.6" customHeight="1">
      <c r="B8" s="1467"/>
      <c r="C8" s="880" t="s">
        <v>3772</v>
      </c>
      <c r="D8" s="265"/>
      <c r="E8" s="867"/>
      <c r="F8" s="1786" t="s">
        <v>4698</v>
      </c>
      <c r="G8" s="1781"/>
      <c r="H8" s="1786" t="s">
        <v>4701</v>
      </c>
      <c r="I8" s="1781"/>
      <c r="J8" s="867"/>
      <c r="K8" s="86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4" s="5" customFormat="1" ht="24.6" customHeight="1">
      <c r="B9" s="1467"/>
      <c r="C9" s="880"/>
      <c r="D9" s="265"/>
      <c r="E9" s="867"/>
      <c r="F9" s="867"/>
      <c r="G9" s="1786" t="s">
        <v>4699</v>
      </c>
      <c r="H9" s="1781"/>
      <c r="I9" s="1786" t="s">
        <v>4702</v>
      </c>
      <c r="J9" s="1781"/>
      <c r="K9" s="867"/>
      <c r="L9" s="90"/>
      <c r="M9" s="90"/>
      <c r="N9" s="1437" t="s">
        <v>4445</v>
      </c>
      <c r="O9" s="1438" t="s">
        <v>4431</v>
      </c>
      <c r="P9" s="1193">
        <v>34000</v>
      </c>
      <c r="Q9" s="968" t="s">
        <v>3462</v>
      </c>
      <c r="R9" s="1360" t="s">
        <v>3813</v>
      </c>
      <c r="S9" s="1242" t="s">
        <v>3812</v>
      </c>
      <c r="T9" s="84"/>
      <c r="U9" s="84"/>
      <c r="V9" s="84"/>
      <c r="W9" s="84"/>
      <c r="X9" s="84"/>
    </row>
    <row r="10" spans="1:24" s="5" customFormat="1" ht="24.6" customHeight="1">
      <c r="B10" s="1467"/>
      <c r="C10" s="881" t="s">
        <v>3773</v>
      </c>
      <c r="D10" s="265"/>
      <c r="E10" s="867"/>
      <c r="F10" s="868"/>
      <c r="G10" s="868"/>
      <c r="H10" s="868"/>
      <c r="I10" s="868"/>
      <c r="J10" s="868"/>
      <c r="K10" s="957"/>
      <c r="L10" s="90"/>
      <c r="M10" s="90"/>
      <c r="N10" s="1437" t="s">
        <v>4476</v>
      </c>
      <c r="O10" s="1438" t="s">
        <v>4479</v>
      </c>
      <c r="P10" s="1386">
        <v>14400</v>
      </c>
      <c r="Q10" s="1387" t="s">
        <v>3463</v>
      </c>
      <c r="R10" s="1370" t="s">
        <v>3813</v>
      </c>
      <c r="S10" s="1370" t="s">
        <v>3813</v>
      </c>
      <c r="T10" s="84"/>
      <c r="U10" s="84"/>
      <c r="V10" s="84"/>
      <c r="W10" s="84"/>
      <c r="X10" s="84"/>
    </row>
    <row r="11" spans="1:24" ht="24.6" customHeight="1">
      <c r="A11" s="84"/>
      <c r="B11" s="84"/>
      <c r="C11" s="5"/>
      <c r="D11" s="5"/>
      <c r="E11" s="935">
        <f>K5+1</f>
        <v>7</v>
      </c>
      <c r="F11" s="924">
        <f t="shared" ref="F11:K11" si="1">E11+1</f>
        <v>8</v>
      </c>
      <c r="G11" s="923">
        <f t="shared" si="1"/>
        <v>9</v>
      </c>
      <c r="H11" s="924">
        <f t="shared" si="1"/>
        <v>10</v>
      </c>
      <c r="I11" s="923">
        <f t="shared" si="1"/>
        <v>11</v>
      </c>
      <c r="J11" s="923">
        <f t="shared" si="1"/>
        <v>12</v>
      </c>
      <c r="K11" s="925">
        <f t="shared" si="1"/>
        <v>13</v>
      </c>
      <c r="N11" s="1437" t="s">
        <v>4477</v>
      </c>
      <c r="O11" s="1438" t="s">
        <v>4643</v>
      </c>
      <c r="P11" s="1386">
        <v>34000</v>
      </c>
      <c r="Q11" s="1389" t="s">
        <v>3462</v>
      </c>
      <c r="R11" s="1370" t="s">
        <v>3813</v>
      </c>
      <c r="S11" s="1370" t="s">
        <v>3813</v>
      </c>
      <c r="T11" s="1388"/>
      <c r="W11" s="5"/>
    </row>
    <row r="12" spans="1:24" ht="24.6" customHeight="1">
      <c r="A12" s="84"/>
      <c r="B12" s="1467" t="s">
        <v>4690</v>
      </c>
      <c r="C12" s="879" t="s">
        <v>9</v>
      </c>
      <c r="D12" s="265"/>
      <c r="E12" s="869"/>
      <c r="F12" s="1784" t="s">
        <v>4745</v>
      </c>
      <c r="G12" s="1785"/>
      <c r="H12" s="936"/>
      <c r="I12" s="1778" t="s">
        <v>4480</v>
      </c>
      <c r="J12" s="1779"/>
      <c r="K12" s="958"/>
      <c r="N12" s="1437" t="s">
        <v>4478</v>
      </c>
      <c r="O12" s="1438" t="s">
        <v>4450</v>
      </c>
      <c r="P12" s="1386">
        <v>9000</v>
      </c>
      <c r="Q12" s="1387" t="s">
        <v>3463</v>
      </c>
      <c r="R12" s="1370" t="s">
        <v>3813</v>
      </c>
      <c r="S12" s="1370" t="s">
        <v>3813</v>
      </c>
      <c r="T12" s="265"/>
      <c r="V12" s="5"/>
      <c r="W12" s="5"/>
    </row>
    <row r="13" spans="1:24" ht="24.6" customHeight="1">
      <c r="A13" s="84"/>
      <c r="B13" s="1467"/>
      <c r="C13" s="879"/>
      <c r="D13" s="265"/>
      <c r="E13" s="869"/>
      <c r="F13" s="936"/>
      <c r="G13" s="1778" t="s">
        <v>4732</v>
      </c>
      <c r="H13" s="1779"/>
      <c r="I13" s="937"/>
      <c r="J13" s="1778" t="s">
        <v>4746</v>
      </c>
      <c r="K13" s="1779"/>
      <c r="N13" s="1437" t="s">
        <v>4451</v>
      </c>
      <c r="O13" s="1439" t="s">
        <v>4490</v>
      </c>
      <c r="P13" s="1193">
        <v>9000</v>
      </c>
      <c r="Q13" s="702" t="s">
        <v>3463</v>
      </c>
      <c r="R13" s="1370" t="s">
        <v>3813</v>
      </c>
      <c r="S13" s="1370" t="s">
        <v>3813</v>
      </c>
      <c r="T13" s="84" t="s">
        <v>4790</v>
      </c>
    </row>
    <row r="14" spans="1:24" ht="24.6" customHeight="1">
      <c r="A14" s="84"/>
      <c r="B14" s="1467"/>
      <c r="C14" s="880" t="s">
        <v>3772</v>
      </c>
      <c r="D14" s="265"/>
      <c r="E14" s="869"/>
      <c r="F14" s="1391" t="s">
        <v>4704</v>
      </c>
      <c r="I14" s="1415" t="s">
        <v>4709</v>
      </c>
      <c r="J14" s="1390" t="s">
        <v>4640</v>
      </c>
      <c r="K14" s="958"/>
      <c r="N14" s="1437" t="s">
        <v>3683</v>
      </c>
      <c r="O14" s="1439" t="s">
        <v>4726</v>
      </c>
      <c r="P14" s="1435">
        <v>34000</v>
      </c>
      <c r="Q14" s="1389" t="s">
        <v>3462</v>
      </c>
      <c r="R14" s="1242" t="s">
        <v>3812</v>
      </c>
      <c r="S14" s="1242" t="s">
        <v>3812</v>
      </c>
      <c r="T14" s="84" t="s">
        <v>4722</v>
      </c>
    </row>
    <row r="15" spans="1:24" ht="24.6" customHeight="1">
      <c r="A15" s="84"/>
      <c r="B15" s="1467"/>
      <c r="C15" s="880"/>
      <c r="D15" s="265"/>
      <c r="E15" s="869"/>
      <c r="G15" s="1776" t="s">
        <v>4485</v>
      </c>
      <c r="H15" s="1777"/>
      <c r="K15" s="958"/>
      <c r="N15" s="1437" t="s">
        <v>4735</v>
      </c>
      <c r="O15" s="1439" t="s">
        <v>4744</v>
      </c>
      <c r="P15" s="1193">
        <f>16800+14400+12000</f>
        <v>43200</v>
      </c>
      <c r="Q15" s="702" t="s">
        <v>3463</v>
      </c>
      <c r="R15" s="1370" t="s">
        <v>3813</v>
      </c>
      <c r="S15" s="1242" t="s">
        <v>3812</v>
      </c>
    </row>
    <row r="16" spans="1:24" ht="24.6" customHeight="1">
      <c r="A16" s="84"/>
      <c r="B16" s="861"/>
      <c r="C16" s="881" t="s">
        <v>3773</v>
      </c>
      <c r="D16" s="265"/>
      <c r="E16" s="869"/>
      <c r="F16" s="869"/>
      <c r="G16" s="869"/>
      <c r="H16" s="869"/>
      <c r="I16" s="869"/>
      <c r="J16" s="869"/>
      <c r="K16" s="958"/>
      <c r="N16" s="1437" t="s">
        <v>4736</v>
      </c>
      <c r="O16" s="1439" t="s">
        <v>4743</v>
      </c>
      <c r="P16" s="1193">
        <f>2400+4800+4800</f>
        <v>12000</v>
      </c>
      <c r="Q16" s="702" t="s">
        <v>3463</v>
      </c>
      <c r="R16" s="1370" t="s">
        <v>3813</v>
      </c>
      <c r="S16" s="1242" t="s">
        <v>3812</v>
      </c>
    </row>
    <row r="17" spans="1:20" ht="24.6" customHeight="1">
      <c r="A17" s="84"/>
      <c r="B17" s="84"/>
      <c r="C17" s="5"/>
      <c r="D17" s="5"/>
      <c r="E17" s="939">
        <f>K11+1</f>
        <v>14</v>
      </c>
      <c r="F17" s="1272">
        <f t="shared" ref="F17:K17" si="2">E17+1</f>
        <v>15</v>
      </c>
      <c r="G17" s="1273">
        <f t="shared" si="2"/>
        <v>16</v>
      </c>
      <c r="H17" s="1339">
        <f t="shared" si="2"/>
        <v>17</v>
      </c>
      <c r="I17" s="922">
        <f t="shared" si="2"/>
        <v>18</v>
      </c>
      <c r="J17" s="943">
        <f t="shared" si="2"/>
        <v>19</v>
      </c>
      <c r="K17" s="959">
        <f t="shared" si="2"/>
        <v>20</v>
      </c>
      <c r="N17" s="1437" t="s">
        <v>4718</v>
      </c>
      <c r="O17" s="1439" t="s">
        <v>4717</v>
      </c>
      <c r="P17" s="1193">
        <v>4000</v>
      </c>
      <c r="Q17" s="1278" t="s">
        <v>3463</v>
      </c>
      <c r="R17" s="1242" t="s">
        <v>3812</v>
      </c>
      <c r="S17" s="1242" t="s">
        <v>3812</v>
      </c>
      <c r="T17" s="84" t="s">
        <v>4714</v>
      </c>
    </row>
    <row r="18" spans="1:20" ht="24.6" customHeight="1">
      <c r="A18" s="84"/>
      <c r="B18" s="1467" t="s">
        <v>4690</v>
      </c>
      <c r="C18" s="879" t="s">
        <v>9</v>
      </c>
      <c r="D18" s="265"/>
      <c r="E18" s="871"/>
      <c r="F18" s="1778" t="s">
        <v>4749</v>
      </c>
      <c r="G18" s="1779"/>
      <c r="H18" s="868"/>
      <c r="I18" s="1784" t="s">
        <v>4747</v>
      </c>
      <c r="J18" s="1785"/>
      <c r="K18" s="868"/>
      <c r="N18" s="1437" t="s">
        <v>4757</v>
      </c>
      <c r="O18" s="1439" t="s">
        <v>4758</v>
      </c>
      <c r="P18" s="1193">
        <v>1600</v>
      </c>
      <c r="Q18" s="1278" t="s">
        <v>4753</v>
      </c>
      <c r="R18" s="1242" t="s">
        <v>4754</v>
      </c>
      <c r="S18" s="1242" t="s">
        <v>4755</v>
      </c>
      <c r="T18" s="84" t="s">
        <v>4756</v>
      </c>
    </row>
    <row r="19" spans="1:20" ht="24.6" customHeight="1">
      <c r="A19" s="84"/>
      <c r="B19" s="1467"/>
      <c r="C19" s="879"/>
      <c r="D19" s="265"/>
      <c r="E19" s="871"/>
      <c r="F19" s="868"/>
      <c r="G19" s="1778" t="s">
        <v>4760</v>
      </c>
      <c r="H19" s="1779"/>
      <c r="I19" s="868"/>
      <c r="J19" s="1778" t="s">
        <v>4668</v>
      </c>
      <c r="K19" s="1779"/>
      <c r="L19" s="84"/>
      <c r="N19" s="1437" t="s">
        <v>4694</v>
      </c>
      <c r="O19" s="1439" t="s">
        <v>4691</v>
      </c>
      <c r="P19" s="1193">
        <v>34000</v>
      </c>
      <c r="Q19" s="968" t="s">
        <v>3462</v>
      </c>
      <c r="R19" s="1271" t="s">
        <v>3465</v>
      </c>
      <c r="S19" s="1271" t="s">
        <v>3465</v>
      </c>
    </row>
    <row r="20" spans="1:20" ht="24.6" customHeight="1">
      <c r="A20" s="84"/>
      <c r="B20" s="1467"/>
      <c r="C20" s="880" t="s">
        <v>3772</v>
      </c>
      <c r="D20" s="265"/>
      <c r="E20" s="871"/>
      <c r="F20" s="1416" t="s">
        <v>4487</v>
      </c>
      <c r="G20" s="1801" t="s">
        <v>4723</v>
      </c>
      <c r="H20" s="1795"/>
      <c r="I20" s="868"/>
      <c r="J20" s="1327" t="s">
        <v>4741</v>
      </c>
      <c r="K20" s="871"/>
      <c r="L20" s="84"/>
      <c r="N20" s="1437" t="s">
        <v>4447</v>
      </c>
      <c r="O20" s="1439" t="s">
        <v>4692</v>
      </c>
      <c r="P20" s="1193">
        <v>34000</v>
      </c>
      <c r="Q20" s="968" t="s">
        <v>3462</v>
      </c>
      <c r="R20" s="1307" t="s">
        <v>3465</v>
      </c>
      <c r="S20" s="1307" t="s">
        <v>3465</v>
      </c>
    </row>
    <row r="21" spans="1:20" ht="24.6" customHeight="1">
      <c r="A21" s="84"/>
      <c r="B21" s="1467"/>
      <c r="C21" s="880"/>
      <c r="D21" s="265"/>
      <c r="E21" s="871"/>
      <c r="F21" s="1776" t="s">
        <v>4707</v>
      </c>
      <c r="G21" s="1777"/>
      <c r="H21" s="871"/>
      <c r="I21" s="1428" t="s">
        <v>4742</v>
      </c>
      <c r="J21" s="868"/>
      <c r="K21" s="871"/>
      <c r="L21" s="84"/>
      <c r="N21" s="1437" t="s">
        <v>4472</v>
      </c>
      <c r="O21" s="1439" t="s">
        <v>4700</v>
      </c>
      <c r="P21" s="1193">
        <v>34000</v>
      </c>
      <c r="Q21" s="968" t="s">
        <v>3462</v>
      </c>
      <c r="R21" s="1368" t="s">
        <v>3465</v>
      </c>
      <c r="S21" s="1368" t="s">
        <v>3465</v>
      </c>
    </row>
    <row r="22" spans="1:20" ht="24.6" customHeight="1">
      <c r="A22" s="84"/>
      <c r="B22" s="861"/>
      <c r="C22" s="881" t="s">
        <v>3773</v>
      </c>
      <c r="D22" s="265"/>
      <c r="E22" s="871"/>
      <c r="F22" s="871"/>
      <c r="G22" s="871"/>
      <c r="H22" s="871"/>
      <c r="I22" s="871"/>
      <c r="J22" s="871"/>
      <c r="K22" s="871"/>
      <c r="L22" s="84"/>
      <c r="N22" s="1437" t="s">
        <v>4473</v>
      </c>
      <c r="O22" s="1439" t="s">
        <v>4703</v>
      </c>
      <c r="P22" s="1193">
        <v>34000</v>
      </c>
      <c r="Q22" s="968" t="s">
        <v>3462</v>
      </c>
      <c r="R22" s="1368" t="s">
        <v>3465</v>
      </c>
      <c r="S22" s="1368" t="s">
        <v>3465</v>
      </c>
    </row>
    <row r="23" spans="1:20" ht="19.149999999999999">
      <c r="A23" s="84"/>
      <c r="B23" s="84"/>
      <c r="C23" s="5"/>
      <c r="D23" s="5"/>
      <c r="E23" s="935">
        <f>K17+1</f>
        <v>21</v>
      </c>
      <c r="F23" s="924">
        <f t="shared" ref="F23:K23" si="3">E23+1</f>
        <v>22</v>
      </c>
      <c r="G23" s="923">
        <f t="shared" si="3"/>
        <v>23</v>
      </c>
      <c r="H23" s="924">
        <f t="shared" si="3"/>
        <v>24</v>
      </c>
      <c r="I23" s="923">
        <f t="shared" si="3"/>
        <v>25</v>
      </c>
      <c r="J23" s="923">
        <f t="shared" si="3"/>
        <v>26</v>
      </c>
      <c r="K23" s="925">
        <f t="shared" si="3"/>
        <v>27</v>
      </c>
      <c r="L23" s="84"/>
      <c r="N23" s="1437" t="s">
        <v>4778</v>
      </c>
      <c r="O23" s="1441" t="s">
        <v>4762</v>
      </c>
      <c r="P23" s="1436">
        <v>34000</v>
      </c>
      <c r="Q23" s="1382" t="s">
        <v>4521</v>
      </c>
      <c r="R23" s="1384" t="s">
        <v>3469</v>
      </c>
      <c r="S23" s="1384" t="s">
        <v>3469</v>
      </c>
      <c r="T23" s="1375"/>
    </row>
    <row r="24" spans="1:20" ht="24.6" customHeight="1">
      <c r="A24" s="84"/>
      <c r="B24" s="1467" t="s">
        <v>4690</v>
      </c>
      <c r="C24" s="879" t="s">
        <v>9</v>
      </c>
      <c r="D24" s="265"/>
      <c r="E24" s="869"/>
      <c r="F24" s="1778" t="s">
        <v>4733</v>
      </c>
      <c r="G24" s="1779"/>
      <c r="H24" s="936"/>
      <c r="I24" s="869"/>
      <c r="J24" s="958"/>
      <c r="K24" s="958"/>
      <c r="L24" s="84"/>
      <c r="N24" s="1437" t="s">
        <v>4474</v>
      </c>
      <c r="O24" s="1439" t="s">
        <v>4693</v>
      </c>
      <c r="P24" s="1193">
        <v>34000</v>
      </c>
      <c r="Q24" s="968" t="s">
        <v>3462</v>
      </c>
      <c r="R24" s="1368" t="s">
        <v>3465</v>
      </c>
      <c r="S24" s="1368" t="s">
        <v>3465</v>
      </c>
    </row>
    <row r="25" spans="1:20" ht="24.6" customHeight="1">
      <c r="A25" s="84"/>
      <c r="B25" s="1467"/>
      <c r="C25" s="879"/>
      <c r="D25" s="265"/>
      <c r="E25" s="869"/>
      <c r="F25" s="936"/>
      <c r="G25" s="1778" t="s">
        <v>4761</v>
      </c>
      <c r="H25" s="1779"/>
      <c r="I25" s="869"/>
      <c r="J25" s="1784" t="s">
        <v>4481</v>
      </c>
      <c r="K25" s="1785"/>
      <c r="L25" s="84"/>
      <c r="N25" s="1437" t="s">
        <v>4494</v>
      </c>
      <c r="O25" s="1439" t="s">
        <v>4495</v>
      </c>
      <c r="P25" s="1193">
        <f>620</f>
        <v>620</v>
      </c>
      <c r="Q25" s="1278" t="s">
        <v>3463</v>
      </c>
      <c r="R25" s="1368" t="s">
        <v>3465</v>
      </c>
      <c r="S25" s="1368" t="s">
        <v>3465</v>
      </c>
      <c r="T25" s="84" t="s">
        <v>4482</v>
      </c>
    </row>
    <row r="26" spans="1:20" ht="24.6" customHeight="1">
      <c r="A26" s="84"/>
      <c r="B26" s="1467"/>
      <c r="C26" s="880" t="s">
        <v>3772</v>
      </c>
      <c r="D26" s="265"/>
      <c r="E26" s="869"/>
      <c r="F26" s="1241" t="s">
        <v>4741</v>
      </c>
      <c r="G26" s="1786" t="s">
        <v>4773</v>
      </c>
      <c r="H26" s="1781"/>
      <c r="I26" s="869"/>
      <c r="K26" s="958"/>
      <c r="L26" s="84"/>
    </row>
    <row r="27" spans="1:20" ht="24.6" customHeight="1">
      <c r="A27" s="84"/>
      <c r="B27" s="1467"/>
      <c r="C27" s="880"/>
      <c r="D27" s="265"/>
      <c r="E27" s="869"/>
      <c r="F27" s="869"/>
      <c r="H27" s="1390" t="s">
        <v>4774</v>
      </c>
      <c r="I27" s="869"/>
      <c r="J27" s="937"/>
      <c r="K27" s="958"/>
      <c r="L27" s="84"/>
    </row>
    <row r="28" spans="1:20" ht="24" customHeight="1">
      <c r="A28" s="84"/>
      <c r="B28" s="1398"/>
      <c r="C28" s="881" t="s">
        <v>3773</v>
      </c>
      <c r="D28" s="265"/>
      <c r="E28" s="870"/>
      <c r="F28" s="870"/>
      <c r="G28" s="870"/>
      <c r="I28" s="934" t="s">
        <v>370</v>
      </c>
      <c r="J28" s="934" t="s">
        <v>3779</v>
      </c>
      <c r="K28" s="961"/>
      <c r="L28" s="84"/>
    </row>
    <row r="29" spans="1:20" ht="24.6" customHeight="1">
      <c r="A29" s="84"/>
      <c r="B29" s="84"/>
      <c r="C29" s="269"/>
      <c r="D29" s="265"/>
      <c r="E29" s="939">
        <f>K23+1</f>
        <v>28</v>
      </c>
      <c r="F29" s="1272">
        <f>E29+1</f>
        <v>29</v>
      </c>
      <c r="G29" s="1273">
        <v>30</v>
      </c>
      <c r="H29" s="1339">
        <v>31</v>
      </c>
      <c r="I29" s="922">
        <v>1</v>
      </c>
      <c r="J29" s="943">
        <v>2</v>
      </c>
      <c r="K29" s="959">
        <v>3</v>
      </c>
      <c r="L29" s="84"/>
      <c r="N29" s="90" t="s">
        <v>4670</v>
      </c>
    </row>
    <row r="30" spans="1:20" ht="24.6" customHeight="1">
      <c r="A30" s="84"/>
      <c r="B30" s="1467" t="s">
        <v>4690</v>
      </c>
      <c r="C30" s="879" t="s">
        <v>9</v>
      </c>
      <c r="D30" s="265"/>
      <c r="E30" s="871"/>
      <c r="F30" s="1778" t="s">
        <v>4750</v>
      </c>
      <c r="G30" s="1779"/>
      <c r="H30" s="874"/>
      <c r="I30" s="871"/>
      <c r="J30" s="871"/>
      <c r="K30" s="960"/>
      <c r="L30" s="84"/>
      <c r="N30" s="1403" t="s">
        <v>4713</v>
      </c>
      <c r="O30" s="1404" t="s">
        <v>4449</v>
      </c>
      <c r="P30" s="1193">
        <v>3000</v>
      </c>
      <c r="Q30" s="1278" t="s">
        <v>3463</v>
      </c>
    </row>
    <row r="31" spans="1:20" ht="24.6" customHeight="1">
      <c r="A31" s="84"/>
      <c r="B31" s="1467"/>
      <c r="C31" s="879"/>
      <c r="D31" s="265"/>
      <c r="E31" s="871"/>
      <c r="F31" s="944"/>
      <c r="G31" s="1778" t="s">
        <v>4721</v>
      </c>
      <c r="H31" s="1779"/>
      <c r="I31" s="871"/>
      <c r="J31" s="871"/>
      <c r="K31" s="960"/>
      <c r="L31" s="84"/>
      <c r="M31" s="84"/>
      <c r="N31" s="1403" t="s">
        <v>4452</v>
      </c>
      <c r="O31" s="1404" t="s">
        <v>4054</v>
      </c>
      <c r="P31" s="1193">
        <v>3000</v>
      </c>
      <c r="Q31" s="1278" t="s">
        <v>3463</v>
      </c>
      <c r="T31" s="1279"/>
    </row>
    <row r="32" spans="1:20" ht="24.6" customHeight="1">
      <c r="A32" s="84"/>
      <c r="B32" s="1467"/>
      <c r="C32" s="880" t="s">
        <v>3772</v>
      </c>
      <c r="D32" s="265"/>
      <c r="E32" s="871"/>
      <c r="F32" s="1786" t="s">
        <v>4435</v>
      </c>
      <c r="G32" s="1781"/>
      <c r="H32" s="871"/>
      <c r="I32" s="871"/>
      <c r="J32" s="871"/>
      <c r="K32" s="960"/>
      <c r="L32" s="84"/>
      <c r="M32" s="84"/>
      <c r="N32" s="1403" t="s">
        <v>4204</v>
      </c>
      <c r="O32" s="1404" t="s">
        <v>4448</v>
      </c>
      <c r="P32" s="1193">
        <v>2400</v>
      </c>
      <c r="Q32" s="1278" t="s">
        <v>3463</v>
      </c>
    </row>
    <row r="33" spans="1:13" ht="24.6" customHeight="1">
      <c r="A33" s="84"/>
      <c r="B33" s="1467"/>
      <c r="C33" s="880"/>
      <c r="D33" s="265"/>
      <c r="E33" s="871"/>
      <c r="F33" s="1241" t="s">
        <v>4759</v>
      </c>
      <c r="G33" s="871"/>
      <c r="H33" s="871"/>
      <c r="I33" s="871"/>
      <c r="J33" s="871"/>
      <c r="K33" s="960"/>
      <c r="L33" s="84"/>
      <c r="M33" s="84"/>
    </row>
    <row r="34" spans="1:13" ht="24.6" customHeight="1">
      <c r="A34" s="84"/>
      <c r="B34" s="1398"/>
      <c r="C34" s="881" t="s">
        <v>3773</v>
      </c>
      <c r="D34" s="265"/>
      <c r="E34" s="872"/>
      <c r="F34" s="963"/>
      <c r="G34" s="963"/>
      <c r="H34" s="963"/>
      <c r="I34" s="963"/>
      <c r="J34" s="872"/>
      <c r="K34" s="966"/>
      <c r="L34" s="84"/>
      <c r="M34" s="84"/>
    </row>
    <row r="36" spans="1:13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934" t="s">
        <v>3768</v>
      </c>
      <c r="L36" s="84"/>
      <c r="M36" s="84"/>
    </row>
    <row r="37" spans="1:13" ht="24.6" customHeight="1">
      <c r="A37" s="84"/>
      <c r="B37" s="5"/>
      <c r="D37" s="84"/>
      <c r="E37" s="932" t="s">
        <v>3741</v>
      </c>
      <c r="F37" s="929" t="s">
        <v>3742</v>
      </c>
      <c r="G37" s="972" t="s">
        <v>336</v>
      </c>
      <c r="L37" s="84"/>
      <c r="M37" s="84"/>
    </row>
    <row r="38" spans="1:13">
      <c r="M38" s="84"/>
    </row>
    <row r="43" spans="1:13">
      <c r="K43" s="90" t="s">
        <v>4510</v>
      </c>
    </row>
    <row r="153" spans="9:9">
      <c r="I153" s="90">
        <f>J153</f>
        <v>0</v>
      </c>
    </row>
  </sheetData>
  <mergeCells count="37">
    <mergeCell ref="Q2:R2"/>
    <mergeCell ref="Q3:R3"/>
    <mergeCell ref="F8:G8"/>
    <mergeCell ref="G9:H9"/>
    <mergeCell ref="J25:K25"/>
    <mergeCell ref="J19:K19"/>
    <mergeCell ref="F24:G24"/>
    <mergeCell ref="O2:P2"/>
    <mergeCell ref="E3:G3"/>
    <mergeCell ref="H3:K3"/>
    <mergeCell ref="O3:P3"/>
    <mergeCell ref="F6:G6"/>
    <mergeCell ref="G7:H7"/>
    <mergeCell ref="J7:K7"/>
    <mergeCell ref="I6:J6"/>
    <mergeCell ref="I9:J9"/>
    <mergeCell ref="H8:I8"/>
    <mergeCell ref="G15:H15"/>
    <mergeCell ref="F21:G21"/>
    <mergeCell ref="G20:H20"/>
    <mergeCell ref="B12:B15"/>
    <mergeCell ref="F12:G12"/>
    <mergeCell ref="B6:B10"/>
    <mergeCell ref="I12:J12"/>
    <mergeCell ref="G13:H13"/>
    <mergeCell ref="J13:K13"/>
    <mergeCell ref="G25:H25"/>
    <mergeCell ref="B24:B27"/>
    <mergeCell ref="B30:B33"/>
    <mergeCell ref="I18:J18"/>
    <mergeCell ref="F18:G18"/>
    <mergeCell ref="F32:G32"/>
    <mergeCell ref="B18:B21"/>
    <mergeCell ref="G31:H31"/>
    <mergeCell ref="G19:H19"/>
    <mergeCell ref="F30:G30"/>
    <mergeCell ref="G26:H26"/>
  </mergeCells>
  <phoneticPr fontId="6" type="noConversion"/>
  <pageMargins left="0.7" right="0.7" top="0.75" bottom="0.75" header="0.3" footer="0.3"/>
  <pageSetup paperSize="9" scale="41" orientation="landscape" r:id="rId1"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3"/>
  <sheetViews>
    <sheetView showGridLines="0" topLeftCell="C8" zoomScale="70" zoomScaleNormal="70" workbookViewId="0">
      <selection activeCell="I33" sqref="I33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20" width="17" style="84" customWidth="1"/>
    <col min="21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46023</v>
      </c>
      <c r="F3" s="1759"/>
      <c r="G3" s="1759"/>
      <c r="H3" s="1760" t="s">
        <v>10</v>
      </c>
      <c r="I3" s="1717"/>
      <c r="J3" s="1717"/>
      <c r="K3" s="1717"/>
      <c r="N3" s="989">
        <f>SUMIF($Q$8:$Q$27,"F",$P$8:$P$27)</f>
        <v>340000</v>
      </c>
      <c r="O3" s="1715">
        <f>SUMIF($Q$7:$Q$27,"S",$P$7:$P$27)</f>
        <v>76450</v>
      </c>
      <c r="P3" s="1715"/>
      <c r="Q3" s="1706">
        <f>N3+O3</f>
        <v>416450</v>
      </c>
      <c r="R3" s="1707"/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90"/>
    </row>
    <row r="5" spans="1:22" s="5" customFormat="1" ht="24.6" customHeight="1">
      <c r="E5" s="973"/>
      <c r="F5" s="941"/>
      <c r="G5" s="941"/>
      <c r="H5" s="941"/>
      <c r="I5" s="941">
        <v>1</v>
      </c>
      <c r="J5" s="941">
        <f t="shared" ref="J5:K5" si="0">I5+1</f>
        <v>2</v>
      </c>
      <c r="K5" s="957">
        <f t="shared" si="0"/>
        <v>3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941"/>
      <c r="G6" s="941"/>
      <c r="H6" s="941"/>
      <c r="I6" s="871"/>
      <c r="J6" s="871"/>
      <c r="K6" s="868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941"/>
      <c r="G7" s="941"/>
      <c r="H7" s="941"/>
      <c r="I7" s="868"/>
      <c r="J7" s="871"/>
      <c r="K7" s="868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292</v>
      </c>
      <c r="D8" s="265"/>
      <c r="E8" s="867"/>
      <c r="F8" s="941"/>
      <c r="G8" s="941"/>
      <c r="H8" s="868"/>
      <c r="I8" s="868"/>
      <c r="J8" s="871"/>
      <c r="K8" s="871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7"/>
      <c r="G9" s="868"/>
      <c r="H9" s="868"/>
      <c r="I9" s="868"/>
      <c r="J9" s="871"/>
      <c r="K9" s="957"/>
      <c r="L9" s="90"/>
      <c r="M9" s="90"/>
      <c r="N9" s="1437" t="s">
        <v>4446</v>
      </c>
      <c r="O9" s="1438" t="s">
        <v>4432</v>
      </c>
      <c r="P9" s="1193">
        <v>34000</v>
      </c>
      <c r="Q9" s="968" t="s">
        <v>3462</v>
      </c>
      <c r="R9" s="1360" t="s">
        <v>3813</v>
      </c>
      <c r="S9" s="1242" t="s">
        <v>3812</v>
      </c>
      <c r="T9" s="84"/>
      <c r="U9" s="1374"/>
      <c r="V9" s="84"/>
    </row>
    <row r="10" spans="1:22" s="5" customFormat="1" ht="24.6" customHeight="1">
      <c r="B10" s="1467"/>
      <c r="C10" s="881" t="s">
        <v>228</v>
      </c>
      <c r="D10" s="265"/>
      <c r="E10" s="867"/>
      <c r="F10" s="868"/>
      <c r="G10" s="868"/>
      <c r="H10" s="868"/>
      <c r="I10" s="1396" t="s">
        <v>538</v>
      </c>
      <c r="J10" s="868"/>
      <c r="K10" s="957"/>
      <c r="L10" s="90"/>
      <c r="M10" s="90"/>
      <c r="N10" s="1122" t="s">
        <v>4475</v>
      </c>
      <c r="O10" s="1284" t="s">
        <v>4642</v>
      </c>
      <c r="P10" s="1193">
        <v>34000</v>
      </c>
      <c r="Q10" s="968" t="s">
        <v>3462</v>
      </c>
      <c r="R10" s="1370" t="s">
        <v>3813</v>
      </c>
      <c r="S10" s="1370" t="s">
        <v>3813</v>
      </c>
      <c r="T10" s="84"/>
      <c r="U10" s="84"/>
    </row>
    <row r="11" spans="1:22" ht="24.6" customHeight="1">
      <c r="A11" s="84"/>
      <c r="B11" s="84"/>
      <c r="C11" s="5"/>
      <c r="D11" s="5"/>
      <c r="E11" s="935">
        <f>K5+1</f>
        <v>4</v>
      </c>
      <c r="F11" s="924">
        <f t="shared" ref="F11:K11" si="1">E11+1</f>
        <v>5</v>
      </c>
      <c r="G11" s="923">
        <f t="shared" si="1"/>
        <v>6</v>
      </c>
      <c r="H11" s="924">
        <f t="shared" si="1"/>
        <v>7</v>
      </c>
      <c r="I11" s="923">
        <f t="shared" si="1"/>
        <v>8</v>
      </c>
      <c r="J11" s="923">
        <f t="shared" si="1"/>
        <v>9</v>
      </c>
      <c r="K11" s="925">
        <f t="shared" si="1"/>
        <v>10</v>
      </c>
      <c r="N11" s="1405" t="s">
        <v>4680</v>
      </c>
      <c r="O11" s="1406" t="s">
        <v>4781</v>
      </c>
      <c r="P11" s="1442">
        <v>34000</v>
      </c>
      <c r="Q11" s="1382" t="s">
        <v>4521</v>
      </c>
      <c r="R11" s="1373" t="s">
        <v>4672</v>
      </c>
      <c r="S11" s="1373" t="s">
        <v>4672</v>
      </c>
      <c r="T11" s="1374"/>
      <c r="U11" s="1374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78" t="s">
        <v>4644</v>
      </c>
      <c r="G12" s="1779"/>
      <c r="H12" s="936"/>
      <c r="I12" s="1778" t="s">
        <v>4667</v>
      </c>
      <c r="J12" s="1779"/>
      <c r="K12" s="958"/>
      <c r="N12" s="1445" t="s">
        <v>4683</v>
      </c>
      <c r="O12" s="1446" t="s">
        <v>4783</v>
      </c>
      <c r="P12" s="1442">
        <v>12250</v>
      </c>
      <c r="Q12" s="1382" t="s">
        <v>4522</v>
      </c>
      <c r="R12" s="1373" t="s">
        <v>4672</v>
      </c>
      <c r="S12" s="1373" t="s">
        <v>4672</v>
      </c>
      <c r="T12" s="1374"/>
      <c r="U12" s="1374"/>
    </row>
    <row r="13" spans="1:22" ht="24.6" customHeight="1">
      <c r="A13" s="84"/>
      <c r="B13" s="1467"/>
      <c r="C13" s="879"/>
      <c r="D13" s="265"/>
      <c r="E13" s="869"/>
      <c r="F13" s="936"/>
      <c r="G13" s="1778" t="s">
        <v>4666</v>
      </c>
      <c r="H13" s="1779"/>
      <c r="I13" s="937"/>
      <c r="J13" s="1778" t="s">
        <v>4649</v>
      </c>
      <c r="K13" s="1779"/>
      <c r="N13" s="1405" t="s">
        <v>4679</v>
      </c>
      <c r="O13" s="1406" t="s">
        <v>4673</v>
      </c>
      <c r="P13" s="1442">
        <v>14400</v>
      </c>
      <c r="Q13" s="1382" t="s">
        <v>4522</v>
      </c>
      <c r="R13" s="1373" t="s">
        <v>4672</v>
      </c>
      <c r="S13" s="1373" t="s">
        <v>4672</v>
      </c>
      <c r="T13" s="1374"/>
      <c r="U13" s="1374"/>
    </row>
    <row r="14" spans="1:22" ht="24.6" customHeight="1">
      <c r="A14" s="84"/>
      <c r="B14" s="1467"/>
      <c r="C14" s="880" t="s">
        <v>292</v>
      </c>
      <c r="D14" s="265"/>
      <c r="E14" s="869"/>
      <c r="F14" s="1421" t="s">
        <v>4775</v>
      </c>
      <c r="G14" s="1786" t="s">
        <v>4641</v>
      </c>
      <c r="H14" s="1781"/>
      <c r="I14" s="1786" t="s">
        <v>4788</v>
      </c>
      <c r="J14" s="1781"/>
      <c r="K14" s="958"/>
      <c r="N14" s="1411" t="s">
        <v>4685</v>
      </c>
      <c r="O14" s="1407" t="s">
        <v>4671</v>
      </c>
      <c r="P14" s="1443">
        <v>12000</v>
      </c>
      <c r="Q14" s="1382" t="s">
        <v>4522</v>
      </c>
      <c r="R14" s="1384" t="s">
        <v>4674</v>
      </c>
      <c r="S14" s="1373" t="s">
        <v>4674</v>
      </c>
      <c r="T14" s="1374" t="s">
        <v>4677</v>
      </c>
      <c r="U14" s="1374"/>
    </row>
    <row r="15" spans="1:22" ht="24.6" customHeight="1">
      <c r="A15" s="84"/>
      <c r="B15" s="1467"/>
      <c r="C15" s="880"/>
      <c r="D15" s="265"/>
      <c r="E15" s="869"/>
      <c r="F15" s="1786" t="s">
        <v>4436</v>
      </c>
      <c r="G15" s="1781"/>
      <c r="H15" s="1786" t="s">
        <v>4779</v>
      </c>
      <c r="I15" s="1781"/>
      <c r="K15" s="958"/>
      <c r="N15" s="1411" t="s">
        <v>4684</v>
      </c>
      <c r="O15" s="1417" t="s">
        <v>4792</v>
      </c>
      <c r="P15" s="1443">
        <v>34000</v>
      </c>
      <c r="Q15" s="1382" t="s">
        <v>4521</v>
      </c>
      <c r="R15" s="1384" t="s">
        <v>4674</v>
      </c>
      <c r="S15" s="1373" t="s">
        <v>4674</v>
      </c>
      <c r="T15" s="1374" t="s">
        <v>4677</v>
      </c>
      <c r="U15" s="1374"/>
    </row>
    <row r="16" spans="1:22" ht="24.6" customHeight="1">
      <c r="A16" s="84"/>
      <c r="B16" s="1398"/>
      <c r="C16" s="881" t="s">
        <v>228</v>
      </c>
      <c r="D16" s="265"/>
      <c r="E16" s="869"/>
      <c r="F16" s="936"/>
      <c r="G16" s="936"/>
      <c r="K16" s="958"/>
      <c r="N16" s="1411" t="s">
        <v>4706</v>
      </c>
      <c r="O16" s="1408" t="s">
        <v>4671</v>
      </c>
      <c r="P16" s="1444">
        <v>12000</v>
      </c>
      <c r="Q16" s="1382" t="s">
        <v>4522</v>
      </c>
      <c r="R16" s="1384" t="s">
        <v>4674</v>
      </c>
      <c r="S16" s="1373" t="s">
        <v>4674</v>
      </c>
      <c r="T16" s="1374" t="s">
        <v>4676</v>
      </c>
    </row>
    <row r="17" spans="1:21" ht="24.6" customHeight="1">
      <c r="A17" s="84"/>
      <c r="B17" s="84"/>
      <c r="C17" s="5"/>
      <c r="D17" s="5"/>
      <c r="E17" s="939">
        <f>K11+1</f>
        <v>11</v>
      </c>
      <c r="F17" s="940">
        <f t="shared" ref="F17:K17" si="2">E17+1</f>
        <v>12</v>
      </c>
      <c r="G17" s="971">
        <f t="shared" si="2"/>
        <v>13</v>
      </c>
      <c r="H17" s="942">
        <f t="shared" si="2"/>
        <v>14</v>
      </c>
      <c r="I17" s="943">
        <f t="shared" si="2"/>
        <v>15</v>
      </c>
      <c r="J17" s="943">
        <f t="shared" si="2"/>
        <v>16</v>
      </c>
      <c r="K17" s="959">
        <f t="shared" si="2"/>
        <v>17</v>
      </c>
      <c r="M17" s="203"/>
      <c r="N17" s="1412" t="s">
        <v>4682</v>
      </c>
      <c r="O17" s="1408" t="s">
        <v>4671</v>
      </c>
      <c r="P17" s="1444">
        <v>9600</v>
      </c>
      <c r="Q17" s="1382" t="s">
        <v>4522</v>
      </c>
      <c r="R17" s="1384" t="s">
        <v>4674</v>
      </c>
      <c r="S17" s="1373" t="s">
        <v>4674</v>
      </c>
      <c r="T17" s="1374"/>
    </row>
    <row r="18" spans="1:21" ht="24.6" customHeight="1">
      <c r="A18" s="84"/>
      <c r="B18" s="1467" t="s">
        <v>4690</v>
      </c>
      <c r="C18" s="879" t="s">
        <v>9</v>
      </c>
      <c r="D18" s="265"/>
      <c r="E18" s="871"/>
      <c r="F18" s="1778" t="s">
        <v>4650</v>
      </c>
      <c r="G18" s="1779"/>
      <c r="H18" s="868"/>
      <c r="I18" s="1778" t="s">
        <v>4652</v>
      </c>
      <c r="J18" s="1779"/>
      <c r="K18" s="868"/>
      <c r="N18" s="1412" t="s">
        <v>4688</v>
      </c>
      <c r="O18" s="1408" t="s">
        <v>4671</v>
      </c>
      <c r="P18" s="1444">
        <v>2400</v>
      </c>
      <c r="Q18" s="1382" t="s">
        <v>4522</v>
      </c>
      <c r="R18" s="1384" t="s">
        <v>4674</v>
      </c>
      <c r="S18" s="1373" t="s">
        <v>4674</v>
      </c>
      <c r="T18" s="1374"/>
    </row>
    <row r="19" spans="1:21" ht="24.6" customHeight="1">
      <c r="A19" s="84"/>
      <c r="B19" s="1467"/>
      <c r="C19" s="879"/>
      <c r="D19" s="265"/>
      <c r="E19" s="871"/>
      <c r="F19" s="868"/>
      <c r="G19" s="1778" t="s">
        <v>4734</v>
      </c>
      <c r="H19" s="1779"/>
      <c r="I19" s="868"/>
      <c r="J19" s="1778" t="s">
        <v>4653</v>
      </c>
      <c r="K19" s="1779"/>
      <c r="L19" s="84"/>
      <c r="M19" s="84"/>
      <c r="N19" s="1412" t="s">
        <v>4729</v>
      </c>
      <c r="O19" s="1408" t="s">
        <v>4671</v>
      </c>
      <c r="P19" s="1444">
        <v>6000</v>
      </c>
      <c r="Q19" s="1382" t="s">
        <v>4522</v>
      </c>
      <c r="R19" s="1384" t="s">
        <v>4674</v>
      </c>
      <c r="S19" s="1373" t="s">
        <v>4674</v>
      </c>
    </row>
    <row r="20" spans="1:21" ht="24.6" customHeight="1">
      <c r="A20" s="84"/>
      <c r="B20" s="1467"/>
      <c r="C20" s="880" t="s">
        <v>292</v>
      </c>
      <c r="D20" s="265"/>
      <c r="E20" s="871"/>
      <c r="F20" s="1447" t="s">
        <v>4784</v>
      </c>
      <c r="G20" s="871"/>
      <c r="H20" s="1786" t="s">
        <v>4787</v>
      </c>
      <c r="I20" s="1781"/>
      <c r="J20" s="1312" t="s">
        <v>4689</v>
      </c>
      <c r="K20" s="960"/>
      <c r="L20" s="84"/>
      <c r="M20" s="84"/>
      <c r="N20" s="1412" t="s">
        <v>4799</v>
      </c>
      <c r="O20" s="1408" t="s">
        <v>4054</v>
      </c>
      <c r="P20" s="1444">
        <v>3000</v>
      </c>
      <c r="Q20" s="1382" t="s">
        <v>3463</v>
      </c>
      <c r="R20" s="1384" t="s">
        <v>4674</v>
      </c>
      <c r="S20" s="1373" t="s">
        <v>4674</v>
      </c>
    </row>
    <row r="21" spans="1:21" ht="24.6" customHeight="1">
      <c r="A21" s="84"/>
      <c r="B21" s="1467"/>
      <c r="C21" s="880"/>
      <c r="D21" s="265"/>
      <c r="E21" s="871"/>
      <c r="F21" s="871"/>
      <c r="G21" s="1786" t="s">
        <v>4780</v>
      </c>
      <c r="H21" s="1781"/>
      <c r="J21" s="1312" t="s">
        <v>4687</v>
      </c>
      <c r="K21" s="960"/>
      <c r="L21" s="84"/>
      <c r="M21" s="84"/>
      <c r="N21" s="1194" t="s">
        <v>4800</v>
      </c>
      <c r="O21" s="1413" t="s">
        <v>4794</v>
      </c>
      <c r="P21" s="1436">
        <v>34000</v>
      </c>
      <c r="Q21" s="1382" t="s">
        <v>3462</v>
      </c>
      <c r="R21" s="1384" t="s">
        <v>3465</v>
      </c>
      <c r="S21" s="1384" t="s">
        <v>3465</v>
      </c>
      <c r="T21" s="1434" t="s">
        <v>4770</v>
      </c>
    </row>
    <row r="22" spans="1:21" ht="24.6" customHeight="1">
      <c r="A22" s="84"/>
      <c r="B22" s="1398"/>
      <c r="C22" s="881" t="s">
        <v>228</v>
      </c>
      <c r="D22" s="265"/>
      <c r="E22" s="871"/>
      <c r="F22" s="944"/>
      <c r="G22" s="868"/>
      <c r="H22" s="868"/>
      <c r="I22" s="868"/>
      <c r="J22" s="868"/>
      <c r="K22" s="960"/>
      <c r="L22" s="84"/>
      <c r="M22" s="84"/>
      <c r="N22" s="1194" t="s">
        <v>4768</v>
      </c>
      <c r="O22" s="1413" t="s">
        <v>4795</v>
      </c>
      <c r="P22" s="1436">
        <v>34000</v>
      </c>
      <c r="Q22" s="1382" t="s">
        <v>3462</v>
      </c>
      <c r="R22" s="1384" t="s">
        <v>3465</v>
      </c>
      <c r="S22" s="1384" t="s">
        <v>3465</v>
      </c>
      <c r="T22" s="1434" t="s">
        <v>4771</v>
      </c>
    </row>
    <row r="23" spans="1:21" ht="24.6" customHeight="1">
      <c r="A23" s="84"/>
      <c r="B23" s="84"/>
      <c r="C23" s="5"/>
      <c r="D23" s="5"/>
      <c r="E23" s="935">
        <f>K17+1</f>
        <v>18</v>
      </c>
      <c r="F23" s="924">
        <f t="shared" ref="F23:K23" si="3">E23+1</f>
        <v>19</v>
      </c>
      <c r="G23" s="923">
        <f t="shared" si="3"/>
        <v>20</v>
      </c>
      <c r="H23" s="924">
        <f t="shared" si="3"/>
        <v>21</v>
      </c>
      <c r="I23" s="923">
        <f t="shared" si="3"/>
        <v>22</v>
      </c>
      <c r="J23" s="923">
        <f t="shared" si="3"/>
        <v>23</v>
      </c>
      <c r="K23" s="925">
        <f t="shared" si="3"/>
        <v>24</v>
      </c>
      <c r="L23" s="84"/>
      <c r="M23" s="84"/>
      <c r="N23" s="1194" t="s">
        <v>4769</v>
      </c>
      <c r="O23" s="1413" t="s">
        <v>4796</v>
      </c>
      <c r="P23" s="1436">
        <v>34000</v>
      </c>
      <c r="Q23" s="1382" t="s">
        <v>3462</v>
      </c>
      <c r="R23" s="1384" t="s">
        <v>3465</v>
      </c>
      <c r="S23" s="1384" t="s">
        <v>3465</v>
      </c>
      <c r="T23" s="1434" t="s">
        <v>4772</v>
      </c>
    </row>
    <row r="24" spans="1:21" ht="24.6" customHeight="1">
      <c r="A24" s="84"/>
      <c r="B24" s="1467" t="s">
        <v>4690</v>
      </c>
      <c r="C24" s="879" t="s">
        <v>9</v>
      </c>
      <c r="D24" s="265"/>
      <c r="E24" s="869"/>
      <c r="F24" s="1778" t="s">
        <v>4654</v>
      </c>
      <c r="G24" s="1779"/>
      <c r="H24" s="936"/>
      <c r="I24" s="1778" t="s">
        <v>4655</v>
      </c>
      <c r="J24" s="1779"/>
      <c r="K24" s="958"/>
      <c r="L24" s="84"/>
      <c r="M24" s="84"/>
      <c r="N24" s="1194" t="s">
        <v>4801</v>
      </c>
      <c r="O24" s="1413" t="s">
        <v>4765</v>
      </c>
      <c r="P24" s="1436">
        <v>34000</v>
      </c>
      <c r="Q24" s="968" t="s">
        <v>3462</v>
      </c>
      <c r="R24" s="1368" t="s">
        <v>3465</v>
      </c>
      <c r="S24" s="1368" t="s">
        <v>3465</v>
      </c>
      <c r="U24" s="1374"/>
    </row>
    <row r="25" spans="1:21" ht="24.6" customHeight="1">
      <c r="A25" s="84"/>
      <c r="B25" s="1467"/>
      <c r="C25" s="879"/>
      <c r="D25" s="265"/>
      <c r="E25" s="869"/>
      <c r="F25" s="936"/>
      <c r="G25" s="1778" t="s">
        <v>4645</v>
      </c>
      <c r="H25" s="1779"/>
      <c r="J25" s="1778" t="s">
        <v>4656</v>
      </c>
      <c r="K25" s="1779"/>
      <c r="L25" s="84"/>
      <c r="M25" s="84"/>
      <c r="N25" s="1194" t="s">
        <v>4695</v>
      </c>
      <c r="O25" s="1413" t="s">
        <v>4766</v>
      </c>
      <c r="P25" s="1436">
        <v>34000</v>
      </c>
      <c r="Q25" s="1382" t="s">
        <v>4521</v>
      </c>
      <c r="R25" s="1384" t="s">
        <v>3469</v>
      </c>
      <c r="S25" s="1384" t="s">
        <v>3469</v>
      </c>
      <c r="T25" s="1374"/>
      <c r="U25" s="1374"/>
    </row>
    <row r="26" spans="1:21" ht="24.6" customHeight="1">
      <c r="A26" s="84"/>
      <c r="B26" s="1467"/>
      <c r="C26" s="880" t="s">
        <v>292</v>
      </c>
      <c r="D26" s="265"/>
      <c r="E26" s="869"/>
      <c r="F26" s="1802" t="s">
        <v>4791</v>
      </c>
      <c r="G26" s="1803"/>
      <c r="H26" s="1312" t="s">
        <v>4705</v>
      </c>
      <c r="J26" s="1312" t="s">
        <v>4804</v>
      </c>
      <c r="K26" s="958"/>
      <c r="L26" s="84"/>
      <c r="M26" s="84"/>
      <c r="N26" s="1194" t="s">
        <v>4767</v>
      </c>
      <c r="O26" s="1413" t="s">
        <v>4786</v>
      </c>
      <c r="P26" s="1436">
        <v>34000</v>
      </c>
      <c r="Q26" s="1382" t="s">
        <v>4521</v>
      </c>
      <c r="R26" s="1384" t="s">
        <v>3469</v>
      </c>
      <c r="S26" s="1384" t="s">
        <v>3469</v>
      </c>
      <c r="T26" s="1374"/>
      <c r="U26" s="1374"/>
    </row>
    <row r="27" spans="1:21" ht="24.6" customHeight="1">
      <c r="A27" s="84"/>
      <c r="B27" s="1467"/>
      <c r="C27" s="880"/>
      <c r="D27" s="265"/>
      <c r="E27" s="869"/>
      <c r="G27" s="1312" t="s">
        <v>4686</v>
      </c>
      <c r="H27" s="1312" t="s">
        <v>4730</v>
      </c>
      <c r="I27" s="1786" t="s">
        <v>4803</v>
      </c>
      <c r="J27" s="1781"/>
      <c r="K27" s="958"/>
      <c r="L27" s="84"/>
      <c r="M27" s="84"/>
      <c r="N27" s="1440" t="s">
        <v>4678</v>
      </c>
      <c r="O27" s="1186" t="s">
        <v>4715</v>
      </c>
      <c r="P27" s="1193">
        <v>4800</v>
      </c>
      <c r="Q27" s="1278" t="s">
        <v>3463</v>
      </c>
      <c r="R27" s="1242" t="s">
        <v>3812</v>
      </c>
      <c r="S27" s="1242" t="s">
        <v>3812</v>
      </c>
      <c r="T27" s="84" t="s">
        <v>4716</v>
      </c>
    </row>
    <row r="28" spans="1:21" ht="24" customHeight="1">
      <c r="A28" s="84"/>
      <c r="B28" s="1398"/>
      <c r="C28" s="881" t="s">
        <v>228</v>
      </c>
      <c r="D28" s="265"/>
      <c r="E28" s="869"/>
      <c r="F28" s="869"/>
      <c r="G28" s="869"/>
      <c r="H28" s="869"/>
      <c r="I28" s="869"/>
      <c r="J28" s="869"/>
      <c r="K28" s="869"/>
      <c r="L28" s="84"/>
      <c r="M28" s="84"/>
    </row>
    <row r="29" spans="1:21" ht="24.6" customHeight="1">
      <c r="A29" s="84"/>
      <c r="B29" s="84"/>
      <c r="C29" s="269"/>
      <c r="D29" s="265"/>
      <c r="E29" s="946">
        <f>K23+1</f>
        <v>25</v>
      </c>
      <c r="F29" s="947">
        <f>E29+1</f>
        <v>26</v>
      </c>
      <c r="G29" s="947">
        <f t="shared" ref="G29:K29" si="4">F29+1</f>
        <v>27</v>
      </c>
      <c r="H29" s="947">
        <f t="shared" si="4"/>
        <v>28</v>
      </c>
      <c r="I29" s="947">
        <f t="shared" si="4"/>
        <v>29</v>
      </c>
      <c r="J29" s="947">
        <f>I29+1</f>
        <v>30</v>
      </c>
      <c r="K29" s="947">
        <f t="shared" si="4"/>
        <v>31</v>
      </c>
      <c r="L29" s="84"/>
      <c r="M29" s="84"/>
      <c r="U29" s="1374"/>
    </row>
    <row r="30" spans="1:21" ht="24.6" customHeight="1">
      <c r="A30" s="84"/>
      <c r="B30" s="1467" t="s">
        <v>4690</v>
      </c>
      <c r="C30" s="879" t="s">
        <v>9</v>
      </c>
      <c r="D30" s="265"/>
      <c r="E30" s="871"/>
      <c r="F30" s="1778" t="s">
        <v>4646</v>
      </c>
      <c r="G30" s="1779"/>
      <c r="H30" s="874"/>
      <c r="I30" s="1778" t="s">
        <v>4657</v>
      </c>
      <c r="J30" s="1779"/>
      <c r="K30" s="960"/>
      <c r="L30" s="84"/>
      <c r="M30" s="84"/>
      <c r="U30" s="1374"/>
    </row>
    <row r="31" spans="1:21" ht="24.6" customHeight="1">
      <c r="A31" s="84"/>
      <c r="B31" s="1467"/>
      <c r="C31" s="879"/>
      <c r="D31" s="265"/>
      <c r="E31" s="871"/>
      <c r="F31" s="944"/>
      <c r="G31" s="1778" t="s">
        <v>4651</v>
      </c>
      <c r="H31" s="1779"/>
      <c r="I31" s="871"/>
      <c r="J31" s="1778" t="s">
        <v>4658</v>
      </c>
      <c r="K31" s="1779"/>
      <c r="L31" s="84"/>
      <c r="M31" s="84"/>
      <c r="U31" s="1374"/>
    </row>
    <row r="32" spans="1:21" ht="24.6" customHeight="1">
      <c r="A32" s="84"/>
      <c r="B32" s="1467"/>
      <c r="C32" s="880" t="s">
        <v>292</v>
      </c>
      <c r="D32" s="265"/>
      <c r="E32" s="871"/>
      <c r="F32" s="1786" t="s">
        <v>4797</v>
      </c>
      <c r="G32" s="1781"/>
      <c r="H32" s="871"/>
      <c r="I32" s="1776" t="s">
        <v>4809</v>
      </c>
      <c r="J32" s="1777"/>
      <c r="K32" s="960"/>
      <c r="L32" s="84"/>
      <c r="M32" s="84"/>
      <c r="O32" s="1143"/>
      <c r="R32" s="1143"/>
      <c r="S32" s="1373"/>
      <c r="T32" s="1374"/>
      <c r="U32" s="1374"/>
    </row>
    <row r="33" spans="1:21" ht="24.6" customHeight="1">
      <c r="A33" s="84"/>
      <c r="B33" s="1467"/>
      <c r="C33" s="880"/>
      <c r="D33" s="265"/>
      <c r="E33" s="871"/>
      <c r="F33" s="871"/>
      <c r="G33" s="1786" t="s">
        <v>4798</v>
      </c>
      <c r="H33" s="1781"/>
      <c r="I33" s="871"/>
      <c r="J33" s="960"/>
      <c r="K33" s="960"/>
      <c r="L33" s="84"/>
      <c r="M33" s="84"/>
      <c r="N33" s="90" t="s">
        <v>4670</v>
      </c>
      <c r="O33" s="1143"/>
      <c r="R33" s="1143"/>
      <c r="S33" s="1373"/>
      <c r="T33" s="1374"/>
      <c r="U33" s="1374"/>
    </row>
    <row r="34" spans="1:21" ht="24.6" customHeight="1">
      <c r="A34" s="84"/>
      <c r="B34" s="1398"/>
      <c r="C34" s="881" t="s">
        <v>228</v>
      </c>
      <c r="D34" s="265"/>
      <c r="E34" s="872"/>
      <c r="F34" s="872"/>
      <c r="G34" s="872"/>
      <c r="H34" s="872"/>
      <c r="I34" s="872"/>
      <c r="J34" s="872"/>
      <c r="K34" s="966"/>
      <c r="L34" s="84"/>
      <c r="M34" s="84"/>
      <c r="N34" s="1409" t="s">
        <v>4675</v>
      </c>
      <c r="O34" s="1410" t="s">
        <v>4671</v>
      </c>
      <c r="P34" s="1409">
        <v>3000</v>
      </c>
      <c r="Q34" s="1382" t="s">
        <v>4522</v>
      </c>
      <c r="R34" s="1143" t="s">
        <v>4674</v>
      </c>
      <c r="S34" s="1373" t="s">
        <v>4674</v>
      </c>
      <c r="U34" s="1374"/>
    </row>
    <row r="35" spans="1:21" ht="19.149999999999999">
      <c r="O35" s="1143"/>
      <c r="R35" s="1143"/>
      <c r="S35" s="1373"/>
      <c r="T35" s="1374"/>
    </row>
    <row r="36" spans="1:21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72" t="s">
        <v>3768</v>
      </c>
      <c r="L36" s="84"/>
      <c r="M36" s="84"/>
      <c r="O36" s="1143"/>
      <c r="R36" s="1143"/>
      <c r="S36" s="1373"/>
      <c r="T36" s="1374"/>
    </row>
    <row r="37" spans="1:21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O37" s="1143"/>
      <c r="R37" s="1143"/>
      <c r="S37" s="1373"/>
      <c r="T37" s="1374"/>
    </row>
    <row r="38" spans="1:21" ht="19.149999999999999">
      <c r="O38" s="1143"/>
      <c r="R38" s="1143"/>
      <c r="S38" s="1373"/>
      <c r="T38" s="1374"/>
    </row>
    <row r="39" spans="1:21" ht="19.149999999999999">
      <c r="O39" s="1143"/>
      <c r="R39" s="1143"/>
      <c r="S39" s="1373"/>
    </row>
    <row r="40" spans="1:21" ht="19.149999999999999">
      <c r="O40" s="1143"/>
      <c r="R40" s="1143"/>
      <c r="S40" s="1373"/>
    </row>
    <row r="41" spans="1:21" ht="19.149999999999999">
      <c r="O41" s="1143"/>
      <c r="R41" s="1143"/>
      <c r="S41" s="1373"/>
    </row>
    <row r="42" spans="1:21" ht="19.149999999999999">
      <c r="O42" s="1143"/>
      <c r="R42" s="1143"/>
      <c r="S42" s="1373"/>
    </row>
    <row r="43" spans="1:21" ht="19.149999999999999">
      <c r="O43" s="1143"/>
      <c r="R43" s="1143"/>
      <c r="S43" s="1373"/>
    </row>
    <row r="46" spans="1:21" ht="19.149999999999999">
      <c r="R46" s="1143"/>
      <c r="S46" s="1373"/>
    </row>
    <row r="47" spans="1:21" ht="19.149999999999999">
      <c r="R47" s="1143"/>
      <c r="S47" s="1373"/>
    </row>
    <row r="48" spans="1:21" ht="19.149999999999999">
      <c r="R48" s="1143"/>
      <c r="S48" s="1373"/>
    </row>
    <row r="49" spans="18:19" ht="19.149999999999999">
      <c r="R49" s="1143"/>
      <c r="S49" s="1373"/>
    </row>
    <row r="50" spans="18:19" ht="19.149999999999999">
      <c r="R50" s="1143"/>
      <c r="S50" s="1373"/>
    </row>
    <row r="51" spans="18:19" ht="19.149999999999999">
      <c r="R51" s="1143"/>
      <c r="S51" s="1373"/>
    </row>
    <row r="52" spans="18:19" ht="19.149999999999999">
      <c r="R52" s="1143"/>
      <c r="S52" s="1373"/>
    </row>
    <row r="53" spans="18:19" ht="19.149999999999999">
      <c r="R53" s="1143"/>
      <c r="S53" s="1373"/>
    </row>
  </sheetData>
  <sortState ref="N10:T26">
    <sortCondition ref="Q9:Q25"/>
  </sortState>
  <mergeCells count="38">
    <mergeCell ref="O2:P2"/>
    <mergeCell ref="Q2:R2"/>
    <mergeCell ref="E3:G3"/>
    <mergeCell ref="H3:K3"/>
    <mergeCell ref="O3:P3"/>
    <mergeCell ref="Q3:R3"/>
    <mergeCell ref="G33:H33"/>
    <mergeCell ref="B30:B33"/>
    <mergeCell ref="B18:B21"/>
    <mergeCell ref="F18:G18"/>
    <mergeCell ref="F24:G24"/>
    <mergeCell ref="G31:H31"/>
    <mergeCell ref="F30:G30"/>
    <mergeCell ref="G19:H19"/>
    <mergeCell ref="H20:I20"/>
    <mergeCell ref="B24:B27"/>
    <mergeCell ref="J31:K31"/>
    <mergeCell ref="I14:J14"/>
    <mergeCell ref="I32:J32"/>
    <mergeCell ref="F26:G26"/>
    <mergeCell ref="I24:J24"/>
    <mergeCell ref="G25:H25"/>
    <mergeCell ref="J25:K25"/>
    <mergeCell ref="I18:J18"/>
    <mergeCell ref="J19:K19"/>
    <mergeCell ref="G14:H14"/>
    <mergeCell ref="I27:J27"/>
    <mergeCell ref="F15:G15"/>
    <mergeCell ref="G21:H21"/>
    <mergeCell ref="F32:G32"/>
    <mergeCell ref="B6:B10"/>
    <mergeCell ref="I30:J30"/>
    <mergeCell ref="B12:B15"/>
    <mergeCell ref="F12:G12"/>
    <mergeCell ref="I12:J12"/>
    <mergeCell ref="G13:H13"/>
    <mergeCell ref="J13:K13"/>
    <mergeCell ref="H15:I15"/>
  </mergeCells>
  <phoneticPr fontId="6" type="noConversion"/>
  <pageMargins left="0.7" right="0.7" top="0.75" bottom="0.75" header="0.3" footer="0.3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60"/>
  <sheetViews>
    <sheetView showGridLines="0" topLeftCell="C2" zoomScale="70" zoomScaleNormal="70" workbookViewId="0">
      <selection activeCell="G8" sqref="G8:H8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20" width="47.77734375" style="84" bestFit="1" customWidth="1"/>
    <col min="21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46054</v>
      </c>
      <c r="F3" s="1759"/>
      <c r="G3" s="1759"/>
      <c r="H3" s="1760" t="s">
        <v>10</v>
      </c>
      <c r="I3" s="1717"/>
      <c r="J3" s="1717"/>
      <c r="K3" s="1717"/>
      <c r="N3" s="989">
        <f ca="1">SUMIF($Q$8:$Q$66,"F",$P$8:$P$65)</f>
        <v>272000</v>
      </c>
      <c r="O3" s="1715">
        <f ca="1">SUMIF($Q$7:$Q$58,"S",$P$7:$P$50)</f>
        <v>57300</v>
      </c>
      <c r="P3" s="1715"/>
      <c r="Q3" s="1706">
        <f ca="1">N3+O3</f>
        <v>329300</v>
      </c>
      <c r="R3" s="1707"/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90"/>
    </row>
    <row r="5" spans="1:22" s="5" customFormat="1" ht="24.6" customHeight="1">
      <c r="E5" s="973">
        <v>1</v>
      </c>
      <c r="F5" s="941">
        <f t="shared" ref="F5:G5" si="0">E5+1</f>
        <v>2</v>
      </c>
      <c r="G5" s="941">
        <f t="shared" si="0"/>
        <v>3</v>
      </c>
      <c r="H5" s="941">
        <f t="shared" ref="H5:K5" si="1">G5+1</f>
        <v>4</v>
      </c>
      <c r="I5" s="941">
        <f t="shared" si="1"/>
        <v>5</v>
      </c>
      <c r="J5" s="941">
        <f t="shared" si="1"/>
        <v>6</v>
      </c>
      <c r="K5" s="957">
        <f t="shared" si="1"/>
        <v>7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1724" t="s">
        <v>336</v>
      </c>
      <c r="G6" s="1725"/>
      <c r="H6" s="1725"/>
      <c r="I6" s="1725"/>
      <c r="J6" s="1732"/>
      <c r="K6" s="957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868"/>
      <c r="H7" s="868"/>
      <c r="I7" s="868"/>
      <c r="J7" s="868"/>
      <c r="K7" s="957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1447" t="s">
        <v>4789</v>
      </c>
      <c r="G8" s="1804" t="s">
        <v>4807</v>
      </c>
      <c r="H8" s="1805"/>
      <c r="I8" s="1804" t="s">
        <v>4807</v>
      </c>
      <c r="J8" s="1805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1448" t="s">
        <v>4793</v>
      </c>
      <c r="G9" s="868"/>
      <c r="H9" s="1804" t="s">
        <v>4807</v>
      </c>
      <c r="I9" s="1805"/>
      <c r="J9" s="868"/>
      <c r="K9" s="957"/>
      <c r="L9" s="90"/>
      <c r="M9" s="90"/>
      <c r="N9" s="90" t="s">
        <v>4531</v>
      </c>
      <c r="O9" s="1143"/>
      <c r="P9" s="800">
        <v>34000</v>
      </c>
      <c r="Q9" s="702" t="s">
        <v>3462</v>
      </c>
      <c r="R9" s="1143"/>
      <c r="S9" s="1373"/>
      <c r="T9" s="90"/>
      <c r="U9" s="84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7"/>
      <c r="G10" s="867"/>
      <c r="H10" s="867"/>
      <c r="I10" s="868"/>
      <c r="J10" s="868"/>
      <c r="K10" s="957"/>
      <c r="L10" s="90"/>
      <c r="M10" s="90"/>
      <c r="N10" s="1445" t="s">
        <v>4681</v>
      </c>
      <c r="O10" s="1446" t="s">
        <v>4782</v>
      </c>
      <c r="P10" s="1442">
        <v>6000</v>
      </c>
      <c r="Q10" s="1382" t="s">
        <v>4522</v>
      </c>
      <c r="R10" s="1373" t="s">
        <v>4672</v>
      </c>
      <c r="S10" s="1373" t="s">
        <v>4672</v>
      </c>
      <c r="T10" s="1374"/>
      <c r="U10" s="84"/>
    </row>
    <row r="11" spans="1:22" ht="24.6" customHeight="1">
      <c r="A11" s="84"/>
      <c r="B11" s="84"/>
      <c r="C11" s="5"/>
      <c r="D11" s="5"/>
      <c r="E11" s="935">
        <f>K5+1</f>
        <v>8</v>
      </c>
      <c r="F11" s="924">
        <f t="shared" ref="F11:K11" si="2">E11+1</f>
        <v>9</v>
      </c>
      <c r="G11" s="923">
        <f t="shared" si="2"/>
        <v>10</v>
      </c>
      <c r="H11" s="924">
        <f t="shared" si="2"/>
        <v>11</v>
      </c>
      <c r="I11" s="923">
        <f t="shared" si="2"/>
        <v>12</v>
      </c>
      <c r="J11" s="923">
        <f t="shared" si="2"/>
        <v>13</v>
      </c>
      <c r="K11" s="925">
        <f t="shared" si="2"/>
        <v>14</v>
      </c>
      <c r="N11" s="90" t="s">
        <v>4552</v>
      </c>
      <c r="O11" s="1143"/>
      <c r="P11" s="800">
        <v>34000</v>
      </c>
      <c r="Q11" s="702" t="s">
        <v>4521</v>
      </c>
      <c r="R11" s="1384"/>
      <c r="S11" s="1373"/>
      <c r="T11" s="90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24" t="s">
        <v>336</v>
      </c>
      <c r="G12" s="1725"/>
      <c r="H12" s="1725"/>
      <c r="I12" s="1725"/>
      <c r="J12" s="1732"/>
      <c r="K12" s="958"/>
      <c r="N12" s="90" t="s">
        <v>4554</v>
      </c>
      <c r="O12" s="1143"/>
      <c r="P12" s="800">
        <v>34000</v>
      </c>
      <c r="Q12" s="702" t="s">
        <v>4521</v>
      </c>
      <c r="R12" s="1384"/>
      <c r="S12" s="1373"/>
      <c r="T12" s="90"/>
    </row>
    <row r="13" spans="1:22" ht="24.6" customHeight="1">
      <c r="A13" s="84"/>
      <c r="B13" s="1467"/>
      <c r="C13" s="879"/>
      <c r="D13" s="265"/>
      <c r="E13" s="869"/>
      <c r="F13" s="936"/>
      <c r="G13" s="937"/>
      <c r="H13" s="937"/>
      <c r="I13" s="937"/>
      <c r="J13" s="937"/>
      <c r="K13" s="958"/>
      <c r="N13" s="90" t="s">
        <v>4554</v>
      </c>
      <c r="O13" s="1143"/>
      <c r="P13" s="800">
        <v>34000</v>
      </c>
      <c r="Q13" s="702" t="s">
        <v>4521</v>
      </c>
      <c r="R13" s="1384"/>
      <c r="S13" s="1373"/>
      <c r="T13" s="90"/>
    </row>
    <row r="14" spans="1:22" ht="24.6" customHeight="1">
      <c r="A14" s="84"/>
      <c r="B14" s="1467"/>
      <c r="C14" s="880" t="s">
        <v>991</v>
      </c>
      <c r="D14" s="265"/>
      <c r="E14" s="869"/>
      <c r="F14" s="936"/>
      <c r="G14" s="1804" t="s">
        <v>4807</v>
      </c>
      <c r="H14" s="1805"/>
      <c r="I14" s="1804" t="s">
        <v>4807</v>
      </c>
      <c r="J14" s="1805"/>
      <c r="K14" s="958"/>
      <c r="N14" s="90" t="s">
        <v>4533</v>
      </c>
      <c r="O14" s="1384"/>
      <c r="P14" s="800">
        <v>9000</v>
      </c>
      <c r="Q14" s="702" t="s">
        <v>3463</v>
      </c>
      <c r="R14" s="1384"/>
      <c r="S14" s="1373"/>
      <c r="T14" s="90"/>
    </row>
    <row r="15" spans="1:22" ht="24.6" customHeight="1">
      <c r="A15" s="84"/>
      <c r="B15" s="1467"/>
      <c r="C15" s="880"/>
      <c r="D15" s="265"/>
      <c r="E15" s="869"/>
      <c r="F15" s="936"/>
      <c r="G15" s="937"/>
      <c r="H15" s="1804" t="s">
        <v>4807</v>
      </c>
      <c r="I15" s="1805"/>
      <c r="J15" s="937"/>
      <c r="K15" s="958"/>
      <c r="N15" s="90" t="s">
        <v>4535</v>
      </c>
      <c r="O15" s="1384"/>
      <c r="P15" s="800">
        <v>6000</v>
      </c>
      <c r="Q15" s="702" t="s">
        <v>3463</v>
      </c>
      <c r="R15" s="1384"/>
      <c r="S15" s="1373"/>
      <c r="T15" s="90"/>
    </row>
    <row r="16" spans="1:22" ht="24.6" customHeight="1">
      <c r="A16" s="84"/>
      <c r="B16" s="1398"/>
      <c r="C16" s="881" t="s">
        <v>994</v>
      </c>
      <c r="D16" s="265"/>
      <c r="E16" s="869"/>
      <c r="F16" s="1420" t="s">
        <v>4738</v>
      </c>
      <c r="G16" s="937"/>
      <c r="H16" s="937"/>
      <c r="I16" s="937"/>
      <c r="J16" s="937"/>
      <c r="K16" s="937"/>
      <c r="N16" s="90" t="s">
        <v>4536</v>
      </c>
      <c r="O16" s="1384"/>
      <c r="P16" s="800">
        <v>9000</v>
      </c>
      <c r="Q16" s="702" t="s">
        <v>3463</v>
      </c>
      <c r="R16" s="1384"/>
      <c r="S16" s="1373"/>
      <c r="T16" s="90"/>
      <c r="U16" s="1277"/>
      <c r="V16" s="1277"/>
    </row>
    <row r="17" spans="1:22" ht="24.6" customHeight="1">
      <c r="A17" s="84"/>
      <c r="B17" s="84"/>
      <c r="C17" s="5"/>
      <c r="D17" s="5"/>
      <c r="E17" s="939">
        <f>K11+1</f>
        <v>15</v>
      </c>
      <c r="F17" s="940">
        <f t="shared" ref="F17:K17" si="3">E17+1</f>
        <v>16</v>
      </c>
      <c r="G17" s="941">
        <f t="shared" si="3"/>
        <v>17</v>
      </c>
      <c r="H17" s="942">
        <f t="shared" si="3"/>
        <v>18</v>
      </c>
      <c r="I17" s="943">
        <f t="shared" si="3"/>
        <v>19</v>
      </c>
      <c r="J17" s="943">
        <f t="shared" si="3"/>
        <v>20</v>
      </c>
      <c r="K17" s="959">
        <f t="shared" si="3"/>
        <v>21</v>
      </c>
      <c r="M17" s="203"/>
      <c r="N17" s="90" t="s">
        <v>4540</v>
      </c>
      <c r="O17" s="1143"/>
      <c r="P17" s="800">
        <v>4000</v>
      </c>
      <c r="Q17" s="702" t="s">
        <v>3463</v>
      </c>
      <c r="R17" s="1384" t="s">
        <v>4754</v>
      </c>
      <c r="S17" s="1373"/>
      <c r="T17" s="90"/>
      <c r="V17" s="1277"/>
    </row>
    <row r="18" spans="1:22" ht="24.6" customHeight="1">
      <c r="A18" s="84"/>
      <c r="B18" s="1467" t="s">
        <v>4690</v>
      </c>
      <c r="C18" s="879" t="s">
        <v>9</v>
      </c>
      <c r="D18" s="265"/>
      <c r="E18" s="871"/>
      <c r="F18" s="1724" t="s">
        <v>336</v>
      </c>
      <c r="G18" s="1725"/>
      <c r="H18" s="1725"/>
      <c r="I18" s="1725"/>
      <c r="J18" s="1725"/>
      <c r="K18" s="960"/>
      <c r="N18" s="90" t="s">
        <v>4547</v>
      </c>
      <c r="O18" s="1143"/>
      <c r="P18" s="800">
        <v>3300</v>
      </c>
      <c r="Q18" s="702" t="s">
        <v>3463</v>
      </c>
      <c r="R18" s="1384"/>
      <c r="S18" s="1373"/>
      <c r="T18" s="90"/>
      <c r="U18" s="1277"/>
    </row>
    <row r="19" spans="1:22" ht="24.6" customHeight="1">
      <c r="A19" s="84"/>
      <c r="B19" s="1467"/>
      <c r="C19" s="879"/>
      <c r="D19" s="265"/>
      <c r="E19" s="871"/>
      <c r="F19" s="944"/>
      <c r="G19" s="868"/>
      <c r="H19" s="874"/>
      <c r="I19" s="871"/>
      <c r="J19" s="871"/>
      <c r="K19" s="960"/>
      <c r="L19" s="84"/>
      <c r="M19" s="84"/>
      <c r="N19" s="90" t="s">
        <v>4548</v>
      </c>
      <c r="O19" s="1143"/>
      <c r="P19" s="800">
        <v>4000</v>
      </c>
      <c r="Q19" s="702" t="s">
        <v>4549</v>
      </c>
      <c r="R19" s="1384"/>
      <c r="S19" s="1373" t="s">
        <v>3812</v>
      </c>
      <c r="T19" s="90" t="s">
        <v>4550</v>
      </c>
    </row>
    <row r="20" spans="1:22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1804" t="s">
        <v>4807</v>
      </c>
      <c r="J20" s="1805"/>
      <c r="K20" s="960"/>
      <c r="L20" s="84"/>
      <c r="M20" s="84"/>
      <c r="N20" s="90" t="s">
        <v>4553</v>
      </c>
      <c r="O20" s="1143"/>
      <c r="P20" s="800">
        <v>34000</v>
      </c>
      <c r="Q20" s="702" t="s">
        <v>3462</v>
      </c>
      <c r="R20" s="1384"/>
      <c r="S20" s="1373"/>
      <c r="T20" s="90"/>
    </row>
    <row r="21" spans="1:22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1449" t="s">
        <v>4808</v>
      </c>
      <c r="K21" s="960"/>
      <c r="L21" s="84"/>
      <c r="M21" s="84"/>
      <c r="N21" s="90" t="s">
        <v>4553</v>
      </c>
      <c r="O21" s="1143"/>
      <c r="P21" s="800">
        <v>16000</v>
      </c>
      <c r="Q21" s="702" t="s">
        <v>4549</v>
      </c>
      <c r="R21" s="1384"/>
      <c r="S21" s="1373"/>
      <c r="T21" s="90"/>
    </row>
    <row r="22" spans="1:22" ht="24.6" customHeight="1">
      <c r="A22" s="84"/>
      <c r="B22" s="1398"/>
      <c r="C22" s="881" t="s">
        <v>994</v>
      </c>
      <c r="D22" s="265"/>
      <c r="E22" s="871"/>
      <c r="F22" s="1352" t="s">
        <v>4390</v>
      </c>
      <c r="G22" s="1352" t="s">
        <v>1064</v>
      </c>
      <c r="H22" s="1352" t="s">
        <v>4390</v>
      </c>
      <c r="I22" s="871"/>
      <c r="J22" s="871"/>
      <c r="K22" s="960"/>
      <c r="L22" s="84"/>
      <c r="M22" s="84"/>
      <c r="N22" s="1405" t="s">
        <v>4696</v>
      </c>
      <c r="O22" s="1413" t="s">
        <v>4763</v>
      </c>
      <c r="P22" s="90">
        <v>34000</v>
      </c>
      <c r="Q22" s="702" t="s">
        <v>4521</v>
      </c>
      <c r="R22" s="1384"/>
      <c r="S22" s="1373"/>
      <c r="T22" s="90"/>
    </row>
    <row r="23" spans="1:22" ht="24.6" customHeight="1">
      <c r="A23" s="84"/>
      <c r="B23" s="84"/>
      <c r="C23" s="5"/>
      <c r="D23" s="5"/>
      <c r="E23" s="935">
        <f>K17+1</f>
        <v>22</v>
      </c>
      <c r="F23" s="924">
        <f t="shared" ref="F23:K23" si="4">E23+1</f>
        <v>23</v>
      </c>
      <c r="G23" s="923">
        <f t="shared" si="4"/>
        <v>24</v>
      </c>
      <c r="H23" s="924">
        <f t="shared" si="4"/>
        <v>25</v>
      </c>
      <c r="I23" s="923">
        <f t="shared" si="4"/>
        <v>26</v>
      </c>
      <c r="J23" s="923">
        <f t="shared" si="4"/>
        <v>27</v>
      </c>
      <c r="K23" s="925">
        <f t="shared" si="4"/>
        <v>28</v>
      </c>
      <c r="L23" s="84"/>
      <c r="M23" s="84"/>
      <c r="N23" s="1405" t="s">
        <v>4697</v>
      </c>
      <c r="O23" s="1413" t="s">
        <v>4764</v>
      </c>
      <c r="P23" s="90">
        <v>34000</v>
      </c>
      <c r="Q23" s="702" t="s">
        <v>4521</v>
      </c>
      <c r="R23" s="1384"/>
      <c r="S23" s="1373"/>
      <c r="T23" s="90"/>
    </row>
    <row r="24" spans="1:22" ht="24.6" customHeight="1">
      <c r="A24" s="84"/>
      <c r="B24" s="1467" t="s">
        <v>4690</v>
      </c>
      <c r="C24" s="879" t="s">
        <v>9</v>
      </c>
      <c r="D24" s="265"/>
      <c r="E24" s="869"/>
      <c r="F24" s="1724" t="s">
        <v>336</v>
      </c>
      <c r="G24" s="1725"/>
      <c r="H24" s="1725"/>
      <c r="I24" s="1725"/>
      <c r="J24" s="1725"/>
      <c r="K24" s="958"/>
      <c r="L24" s="84"/>
      <c r="M24" s="84"/>
      <c r="N24" s="90" t="s">
        <v>4530</v>
      </c>
      <c r="O24" s="1143"/>
      <c r="P24" s="90">
        <v>34000</v>
      </c>
      <c r="Q24" s="702" t="s">
        <v>4521</v>
      </c>
      <c r="R24" s="1143"/>
      <c r="S24" s="1373"/>
      <c r="T24" s="90"/>
      <c r="U24" s="1374"/>
    </row>
    <row r="25" spans="1:22" ht="24.6" customHeight="1">
      <c r="A25" s="84"/>
      <c r="B25" s="1467"/>
      <c r="C25" s="879"/>
      <c r="D25" s="265"/>
      <c r="E25" s="869"/>
      <c r="F25" s="936"/>
      <c r="G25" s="937"/>
      <c r="H25" s="936"/>
      <c r="I25" s="937"/>
      <c r="J25" s="937"/>
      <c r="K25" s="958"/>
      <c r="L25" s="84"/>
      <c r="M25" s="84"/>
      <c r="Q25" s="702"/>
    </row>
    <row r="26" spans="1:22" ht="24.6" customHeight="1">
      <c r="A26" s="84"/>
      <c r="B26" s="1467"/>
      <c r="C26" s="880" t="s">
        <v>991</v>
      </c>
      <c r="D26" s="265"/>
      <c r="E26" s="869"/>
      <c r="F26" s="1804" t="s">
        <v>4807</v>
      </c>
      <c r="G26" s="1805"/>
      <c r="H26" s="1449" t="s">
        <v>4808</v>
      </c>
      <c r="I26" s="1449" t="s">
        <v>4808</v>
      </c>
      <c r="J26" s="937"/>
      <c r="K26" s="958"/>
      <c r="L26" s="84"/>
      <c r="M26" s="84"/>
    </row>
    <row r="27" spans="1:22" ht="24.6" customHeight="1">
      <c r="A27" s="84"/>
      <c r="B27" s="1467"/>
      <c r="C27" s="880"/>
      <c r="D27" s="265"/>
      <c r="E27" s="869"/>
      <c r="F27" s="936"/>
      <c r="G27" s="1449" t="s">
        <v>4808</v>
      </c>
      <c r="H27" s="1449" t="s">
        <v>4808</v>
      </c>
      <c r="I27" s="1449" t="s">
        <v>4808</v>
      </c>
      <c r="J27" s="937"/>
      <c r="K27" s="958"/>
      <c r="L27" s="84"/>
      <c r="M27" s="84"/>
    </row>
    <row r="28" spans="1:22" ht="24" customHeight="1">
      <c r="A28" s="84"/>
      <c r="B28" s="1398"/>
      <c r="C28" s="881" t="s">
        <v>994</v>
      </c>
      <c r="D28" s="265"/>
      <c r="E28" s="870"/>
      <c r="F28" s="945"/>
      <c r="G28" s="938"/>
      <c r="H28" s="945"/>
      <c r="I28" s="1356"/>
      <c r="J28" s="938"/>
      <c r="K28" s="961"/>
      <c r="L28" s="84"/>
      <c r="M28" s="84"/>
    </row>
    <row r="30" spans="1:22" ht="24" customHeight="1">
      <c r="A30" s="84"/>
      <c r="B30" s="5"/>
      <c r="C30" s="962" t="s">
        <v>3744</v>
      </c>
      <c r="D30" s="84"/>
      <c r="E30" s="931" t="s">
        <v>3740</v>
      </c>
      <c r="F30" s="933" t="s">
        <v>3743</v>
      </c>
      <c r="G30" s="1352" t="s">
        <v>3768</v>
      </c>
      <c r="L30" s="84"/>
      <c r="M30" s="84"/>
    </row>
    <row r="31" spans="1:22" ht="24.6" customHeight="1">
      <c r="A31" s="84"/>
      <c r="B31" s="5"/>
      <c r="D31" s="84"/>
      <c r="E31" s="932" t="s">
        <v>3741</v>
      </c>
      <c r="F31" s="1186" t="s">
        <v>3742</v>
      </c>
      <c r="G31" s="972" t="s">
        <v>336</v>
      </c>
      <c r="L31" s="84"/>
      <c r="M31" s="84"/>
    </row>
    <row r="39" spans="15:20" ht="19.149999999999999">
      <c r="O39" s="1143"/>
      <c r="R39" s="1143"/>
      <c r="S39" s="1373"/>
      <c r="T39" s="90"/>
    </row>
    <row r="40" spans="15:20" ht="19.149999999999999">
      <c r="O40" s="1143"/>
      <c r="R40" s="1143"/>
      <c r="S40" s="1373"/>
      <c r="T40" s="90"/>
    </row>
    <row r="41" spans="15:20" ht="19.149999999999999">
      <c r="O41" s="1143"/>
      <c r="R41" s="1143"/>
      <c r="S41" s="1373"/>
      <c r="T41" s="90"/>
    </row>
    <row r="42" spans="15:20" ht="19.149999999999999">
      <c r="O42" s="1143"/>
      <c r="R42" s="1143"/>
      <c r="S42" s="1373"/>
      <c r="T42" s="90"/>
    </row>
    <row r="43" spans="15:20" ht="19.149999999999999">
      <c r="O43" s="1143"/>
      <c r="R43" s="1143"/>
      <c r="S43" s="1373"/>
      <c r="T43" s="90"/>
    </row>
    <row r="44" spans="15:20" ht="19.149999999999999">
      <c r="O44" s="1143"/>
      <c r="R44" s="1143"/>
      <c r="S44" s="1373"/>
      <c r="T44" s="90"/>
    </row>
    <row r="45" spans="15:20" ht="19.149999999999999">
      <c r="O45" s="1143"/>
      <c r="R45" s="1143"/>
      <c r="S45" s="1373"/>
      <c r="T45" s="90"/>
    </row>
    <row r="46" spans="15:20" ht="19.149999999999999">
      <c r="O46" s="1143"/>
      <c r="R46" s="1143"/>
      <c r="S46" s="1373"/>
      <c r="T46" s="90"/>
    </row>
    <row r="47" spans="15:20" ht="19.149999999999999">
      <c r="O47" s="1143"/>
      <c r="R47" s="1143"/>
      <c r="S47" s="1373"/>
      <c r="T47" s="90"/>
    </row>
    <row r="48" spans="15:20" ht="19.149999999999999">
      <c r="O48" s="1143"/>
      <c r="R48" s="1143"/>
      <c r="S48" s="1373"/>
      <c r="T48" s="90"/>
    </row>
    <row r="49" spans="15:20" ht="19.149999999999999">
      <c r="O49" s="1143"/>
      <c r="R49" s="1143"/>
      <c r="S49" s="1373"/>
      <c r="T49" s="90"/>
    </row>
    <row r="50" spans="15:20" ht="19.149999999999999">
      <c r="O50" s="1143"/>
      <c r="R50" s="1143"/>
      <c r="S50" s="1373"/>
      <c r="T50" s="90"/>
    </row>
    <row r="51" spans="15:20" ht="19.149999999999999">
      <c r="O51" s="1143"/>
      <c r="R51" s="1143"/>
      <c r="S51" s="1373"/>
      <c r="T51" s="90"/>
    </row>
    <row r="52" spans="15:20" ht="19.149999999999999">
      <c r="O52" s="1143"/>
      <c r="R52" s="1143"/>
      <c r="S52" s="1373"/>
      <c r="T52" s="90"/>
    </row>
    <row r="53" spans="15:20" ht="19.149999999999999">
      <c r="O53" s="1143"/>
      <c r="R53" s="1143"/>
      <c r="S53" s="1373"/>
      <c r="T53" s="90"/>
    </row>
    <row r="54" spans="15:20" ht="19.149999999999999">
      <c r="O54" s="1143"/>
      <c r="R54" s="1143"/>
      <c r="S54" s="1373"/>
      <c r="T54" s="90"/>
    </row>
    <row r="55" spans="15:20" ht="19.149999999999999">
      <c r="O55" s="1143"/>
      <c r="R55" s="1143"/>
      <c r="S55" s="1373"/>
      <c r="T55" s="90"/>
    </row>
    <row r="56" spans="15:20" ht="19.149999999999999">
      <c r="O56" s="1143"/>
      <c r="R56" s="1143"/>
      <c r="S56" s="1373"/>
      <c r="T56" s="90"/>
    </row>
    <row r="57" spans="15:20" ht="19.149999999999999">
      <c r="O57" s="1143"/>
      <c r="R57" s="1143"/>
      <c r="S57" s="1373"/>
      <c r="T57" s="90"/>
    </row>
    <row r="58" spans="15:20" ht="19.149999999999999">
      <c r="O58" s="1143"/>
      <c r="R58" s="1143"/>
      <c r="S58" s="1373"/>
      <c r="T58" s="90"/>
    </row>
    <row r="59" spans="15:20" ht="19.149999999999999">
      <c r="O59" s="1143"/>
      <c r="R59" s="1143"/>
      <c r="S59" s="1373"/>
      <c r="T59" s="90"/>
    </row>
    <row r="60" spans="15:20" ht="19.149999999999999">
      <c r="O60" s="1143"/>
      <c r="R60" s="1143"/>
      <c r="S60" s="1373"/>
      <c r="T60" s="90"/>
    </row>
  </sheetData>
  <autoFilter ref="N8:T42">
    <sortState ref="N9:T48">
      <sortCondition ref="Q9:Q48"/>
    </sortState>
  </autoFilter>
  <mergeCells count="22">
    <mergeCell ref="O2:P2"/>
    <mergeCell ref="Q2:R2"/>
    <mergeCell ref="E3:G3"/>
    <mergeCell ref="H3:K3"/>
    <mergeCell ref="O3:P3"/>
    <mergeCell ref="Q3:R3"/>
    <mergeCell ref="B12:B15"/>
    <mergeCell ref="B18:B21"/>
    <mergeCell ref="B24:B27"/>
    <mergeCell ref="B6:B10"/>
    <mergeCell ref="F12:J12"/>
    <mergeCell ref="F18:J18"/>
    <mergeCell ref="F24:J24"/>
    <mergeCell ref="F6:J6"/>
    <mergeCell ref="G8:H8"/>
    <mergeCell ref="H9:I9"/>
    <mergeCell ref="I8:J8"/>
    <mergeCell ref="G14:H14"/>
    <mergeCell ref="H15:I15"/>
    <mergeCell ref="I14:J14"/>
    <mergeCell ref="I20:J20"/>
    <mergeCell ref="F26:G26"/>
  </mergeCells>
  <phoneticPr fontId="6" type="noConversion"/>
  <pageMargins left="0.7" right="0.7" top="0.75" bottom="0.75" header="0.3" footer="0.3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48"/>
  <sheetViews>
    <sheetView showGridLines="0" topLeftCell="C1" zoomScale="55" zoomScaleNormal="55" workbookViewId="0">
      <selection activeCell="K21" sqref="K21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46082</v>
      </c>
      <c r="F3" s="1759"/>
      <c r="G3" s="1759"/>
      <c r="H3" s="1760" t="s">
        <v>10</v>
      </c>
      <c r="I3" s="1717"/>
      <c r="J3" s="1717"/>
      <c r="K3" s="1717"/>
      <c r="N3" s="989">
        <f>SUMIF($Q$8:$Q$59,"F",$P$8:$P$59)</f>
        <v>306000</v>
      </c>
      <c r="O3" s="1715">
        <f>SUMIF($Q$7:$Q$64,"S",$P$7:$P$64)</f>
        <v>121800</v>
      </c>
      <c r="P3" s="1715"/>
      <c r="Q3" s="1706">
        <f>N3+O3</f>
        <v>427800</v>
      </c>
      <c r="R3" s="1707"/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90"/>
    </row>
    <row r="5" spans="1:22" s="5" customFormat="1" ht="24.6" customHeight="1">
      <c r="E5" s="973">
        <v>1</v>
      </c>
      <c r="F5" s="941">
        <f t="shared" ref="F5:J5" si="0">E5+1</f>
        <v>2</v>
      </c>
      <c r="G5" s="941">
        <f t="shared" si="0"/>
        <v>3</v>
      </c>
      <c r="H5" s="941">
        <f t="shared" si="0"/>
        <v>4</v>
      </c>
      <c r="I5" s="941">
        <f t="shared" si="0"/>
        <v>5</v>
      </c>
      <c r="J5" s="941">
        <f t="shared" si="0"/>
        <v>6</v>
      </c>
      <c r="K5" s="957">
        <f t="shared" ref="K5" si="1">J5+1</f>
        <v>7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1724" t="s">
        <v>336</v>
      </c>
      <c r="G6" s="1725"/>
      <c r="H6" s="1725"/>
      <c r="I6" s="1725"/>
      <c r="J6" s="1725"/>
      <c r="K6" s="957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868"/>
      <c r="H7" s="868"/>
      <c r="I7" s="868"/>
      <c r="J7" s="868"/>
      <c r="K7" s="957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7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1802"/>
      <c r="I9" s="1803"/>
      <c r="J9" s="868"/>
      <c r="K9" s="957"/>
      <c r="L9" s="90"/>
      <c r="M9" s="90"/>
      <c r="N9" s="90" t="s">
        <v>4568</v>
      </c>
      <c r="O9" s="1143"/>
      <c r="P9" s="1382">
        <v>34000</v>
      </c>
      <c r="Q9" s="702" t="s">
        <v>4571</v>
      </c>
      <c r="R9" s="1143"/>
      <c r="S9" s="1373"/>
      <c r="T9" s="90"/>
      <c r="U9" s="84"/>
      <c r="V9" s="84"/>
    </row>
    <row r="10" spans="1:22" s="5" customFormat="1" ht="24.6" customHeight="1">
      <c r="B10" s="1467"/>
      <c r="C10" s="881" t="s">
        <v>994</v>
      </c>
      <c r="D10" s="265"/>
      <c r="E10" s="1352" t="s">
        <v>4401</v>
      </c>
      <c r="F10" s="1352" t="s">
        <v>3771</v>
      </c>
      <c r="G10" s="868"/>
      <c r="H10" s="868"/>
      <c r="I10" s="868"/>
      <c r="J10" s="868"/>
      <c r="K10" s="957"/>
      <c r="L10" s="90"/>
      <c r="M10" s="90"/>
      <c r="N10" s="90" t="s">
        <v>4569</v>
      </c>
      <c r="O10" s="1143"/>
      <c r="P10" s="1382">
        <v>34000</v>
      </c>
      <c r="Q10" s="702" t="s">
        <v>4526</v>
      </c>
      <c r="R10" s="1143"/>
      <c r="S10" s="1373"/>
      <c r="T10" s="90"/>
      <c r="U10" s="84"/>
    </row>
    <row r="11" spans="1:22" ht="24.6" customHeight="1">
      <c r="A11" s="84"/>
      <c r="B11" s="84"/>
      <c r="C11" s="5"/>
      <c r="D11" s="5"/>
      <c r="E11" s="935">
        <f>K5+1</f>
        <v>8</v>
      </c>
      <c r="F11" s="924">
        <f t="shared" ref="F11:K11" si="2">E11+1</f>
        <v>9</v>
      </c>
      <c r="G11" s="923">
        <f t="shared" si="2"/>
        <v>10</v>
      </c>
      <c r="H11" s="924">
        <f t="shared" si="2"/>
        <v>11</v>
      </c>
      <c r="I11" s="923">
        <f t="shared" si="2"/>
        <v>12</v>
      </c>
      <c r="J11" s="923">
        <f t="shared" si="2"/>
        <v>13</v>
      </c>
      <c r="K11" s="925">
        <f t="shared" si="2"/>
        <v>14</v>
      </c>
      <c r="N11" s="90" t="s">
        <v>4570</v>
      </c>
      <c r="O11" s="1143"/>
      <c r="P11" s="1382">
        <v>34000</v>
      </c>
      <c r="Q11" s="702" t="s">
        <v>4521</v>
      </c>
      <c r="R11" s="1143"/>
      <c r="S11" s="1373"/>
      <c r="T11" s="90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24" t="s">
        <v>336</v>
      </c>
      <c r="G12" s="1725"/>
      <c r="H12" s="1725"/>
      <c r="I12" s="1725"/>
      <c r="J12" s="1725"/>
      <c r="K12" s="958"/>
      <c r="N12" s="90" t="s">
        <v>4572</v>
      </c>
      <c r="O12" s="1143"/>
      <c r="P12" s="1382">
        <v>34000</v>
      </c>
      <c r="Q12" s="702" t="s">
        <v>4571</v>
      </c>
      <c r="R12" s="1143"/>
      <c r="S12" s="1373"/>
      <c r="T12" s="90"/>
    </row>
    <row r="13" spans="1:22" ht="24.6" customHeight="1">
      <c r="A13" s="84"/>
      <c r="B13" s="1467"/>
      <c r="C13" s="879"/>
      <c r="D13" s="265"/>
      <c r="E13" s="869"/>
      <c r="F13" s="936"/>
      <c r="G13" s="937"/>
      <c r="H13" s="937"/>
      <c r="I13" s="937"/>
      <c r="J13" s="937"/>
      <c r="K13" s="958"/>
      <c r="N13" s="90" t="s">
        <v>4554</v>
      </c>
      <c r="O13" s="1143"/>
      <c r="P13" s="1382">
        <v>34000</v>
      </c>
      <c r="Q13" s="702" t="s">
        <v>4571</v>
      </c>
      <c r="R13" s="1143"/>
      <c r="S13" s="1373"/>
      <c r="T13" s="90"/>
    </row>
    <row r="14" spans="1:22" ht="24.6" customHeight="1">
      <c r="A14" s="84"/>
      <c r="B14" s="1467"/>
      <c r="C14" s="880" t="s">
        <v>991</v>
      </c>
      <c r="D14" s="265"/>
      <c r="E14" s="869"/>
      <c r="F14" s="1802"/>
      <c r="G14" s="1803"/>
      <c r="H14" s="1802"/>
      <c r="I14" s="1803"/>
      <c r="J14" s="937"/>
      <c r="K14" s="958"/>
      <c r="N14" s="90" t="s">
        <v>4573</v>
      </c>
      <c r="O14" s="1143"/>
      <c r="P14" s="1382">
        <v>34000</v>
      </c>
      <c r="Q14" s="702" t="s">
        <v>3462</v>
      </c>
      <c r="R14" s="1143"/>
      <c r="S14" s="1373"/>
      <c r="T14" s="90"/>
      <c r="U14" s="90"/>
    </row>
    <row r="15" spans="1:22" ht="24.6" customHeight="1">
      <c r="A15" s="84"/>
      <c r="B15" s="1467"/>
      <c r="C15" s="880"/>
      <c r="D15" s="265"/>
      <c r="E15" s="869"/>
      <c r="F15" s="936"/>
      <c r="G15" s="1802"/>
      <c r="H15" s="1803"/>
      <c r="I15" s="1802"/>
      <c r="J15" s="1803"/>
      <c r="K15" s="958"/>
      <c r="N15" s="1378" t="s">
        <v>4555</v>
      </c>
      <c r="O15" s="562"/>
      <c r="P15" s="1382">
        <v>34000</v>
      </c>
      <c r="Q15" s="702" t="s">
        <v>4571</v>
      </c>
      <c r="S15" s="1371"/>
      <c r="T15" s="5"/>
      <c r="U15" s="90"/>
    </row>
    <row r="16" spans="1:22" ht="24.6" customHeight="1">
      <c r="A16" s="84"/>
      <c r="B16" s="1398"/>
      <c r="C16" s="881" t="s">
        <v>994</v>
      </c>
      <c r="D16" s="265"/>
      <c r="E16" s="869"/>
      <c r="F16" s="936"/>
      <c r="G16" s="938"/>
      <c r="H16" s="937"/>
      <c r="I16" s="937"/>
      <c r="J16" s="937"/>
      <c r="K16" s="958"/>
      <c r="N16" s="1378" t="s">
        <v>4574</v>
      </c>
      <c r="O16" s="562"/>
      <c r="P16" s="1382">
        <v>34000</v>
      </c>
      <c r="Q16" s="702" t="s">
        <v>4571</v>
      </c>
      <c r="S16" s="1371"/>
      <c r="U16" s="90"/>
      <c r="V16" s="1277"/>
    </row>
    <row r="17" spans="1:22" ht="24.6" customHeight="1">
      <c r="A17" s="84"/>
      <c r="B17" s="84"/>
      <c r="C17" s="5"/>
      <c r="D17" s="5"/>
      <c r="E17" s="939">
        <f>K11+1</f>
        <v>15</v>
      </c>
      <c r="F17" s="940">
        <f t="shared" ref="F17:K17" si="3">E17+1</f>
        <v>16</v>
      </c>
      <c r="G17" s="941">
        <f t="shared" si="3"/>
        <v>17</v>
      </c>
      <c r="H17" s="942">
        <f t="shared" si="3"/>
        <v>18</v>
      </c>
      <c r="I17" s="943">
        <f t="shared" si="3"/>
        <v>19</v>
      </c>
      <c r="J17" s="943">
        <f t="shared" si="3"/>
        <v>20</v>
      </c>
      <c r="K17" s="959">
        <f t="shared" si="3"/>
        <v>21</v>
      </c>
      <c r="M17" s="203"/>
      <c r="N17" s="1378" t="s">
        <v>4574</v>
      </c>
      <c r="O17" s="562"/>
      <c r="P17" s="1382">
        <v>34000</v>
      </c>
      <c r="Q17" s="702" t="s">
        <v>4571</v>
      </c>
      <c r="S17" s="1371"/>
      <c r="U17" s="90"/>
      <c r="V17" s="1277"/>
    </row>
    <row r="18" spans="1:22" ht="24.6" customHeight="1">
      <c r="A18" s="84"/>
      <c r="B18" s="1467" t="s">
        <v>4690</v>
      </c>
      <c r="C18" s="879" t="s">
        <v>9</v>
      </c>
      <c r="D18" s="265"/>
      <c r="E18" s="871"/>
      <c r="F18" s="1724" t="s">
        <v>336</v>
      </c>
      <c r="G18" s="1725"/>
      <c r="H18" s="1725"/>
      <c r="I18" s="1725"/>
      <c r="J18" s="1725"/>
      <c r="K18" s="957"/>
      <c r="N18" s="90" t="s">
        <v>4556</v>
      </c>
      <c r="O18" s="1143"/>
      <c r="P18" s="1382">
        <v>15000</v>
      </c>
      <c r="Q18" s="702" t="s">
        <v>4557</v>
      </c>
      <c r="R18" s="1143"/>
      <c r="S18" s="1373"/>
      <c r="T18" s="90"/>
      <c r="U18" s="90"/>
    </row>
    <row r="19" spans="1:22" ht="24.6" customHeight="1">
      <c r="A19" s="84"/>
      <c r="B19" s="1467"/>
      <c r="C19" s="879"/>
      <c r="D19" s="265"/>
      <c r="E19" s="871"/>
      <c r="F19" s="868"/>
      <c r="G19" s="868"/>
      <c r="H19" s="868"/>
      <c r="I19" s="868"/>
      <c r="J19" s="868"/>
      <c r="K19" s="957"/>
      <c r="L19" s="84"/>
      <c r="M19" s="84"/>
      <c r="N19" s="90" t="s">
        <v>4559</v>
      </c>
      <c r="O19" s="1143"/>
      <c r="P19" s="1382">
        <v>12000</v>
      </c>
      <c r="Q19" s="702" t="s">
        <v>4522</v>
      </c>
      <c r="R19" s="1143"/>
      <c r="S19" s="1373"/>
      <c r="T19" s="90"/>
      <c r="U19" s="90"/>
    </row>
    <row r="20" spans="1:22" ht="24.6" customHeight="1">
      <c r="A20" s="84"/>
      <c r="B20" s="1467"/>
      <c r="C20" s="880" t="s">
        <v>991</v>
      </c>
      <c r="D20" s="265"/>
      <c r="E20" s="871"/>
      <c r="F20" s="1802"/>
      <c r="G20" s="1806"/>
      <c r="H20" s="944"/>
      <c r="I20" s="944"/>
      <c r="J20" s="868"/>
      <c r="K20" s="960"/>
      <c r="L20" s="84"/>
      <c r="M20" s="84"/>
      <c r="N20" s="90" t="s">
        <v>4560</v>
      </c>
      <c r="O20" s="1143"/>
      <c r="P20" s="1382">
        <v>31200</v>
      </c>
      <c r="Q20" s="702" t="s">
        <v>4561</v>
      </c>
      <c r="R20" s="1143"/>
      <c r="S20" s="1373"/>
      <c r="T20" s="90"/>
      <c r="U20" s="90"/>
    </row>
    <row r="21" spans="1:22" ht="24.6" customHeight="1">
      <c r="A21" s="84"/>
      <c r="B21" s="1467"/>
      <c r="C21" s="880"/>
      <c r="D21" s="265"/>
      <c r="E21" s="871"/>
      <c r="F21" s="944"/>
      <c r="G21" s="1802"/>
      <c r="H21" s="1803"/>
      <c r="I21" s="868"/>
      <c r="J21" s="871"/>
      <c r="K21" s="960"/>
      <c r="L21" s="84"/>
      <c r="M21" s="84"/>
      <c r="N21" s="90" t="s">
        <v>4562</v>
      </c>
      <c r="O21" s="1143"/>
      <c r="P21" s="1382">
        <v>24000</v>
      </c>
      <c r="Q21" s="702" t="s">
        <v>4563</v>
      </c>
      <c r="R21" s="1143"/>
      <c r="S21" s="1373"/>
      <c r="T21" s="90"/>
      <c r="U21" s="90"/>
    </row>
    <row r="22" spans="1:22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960"/>
      <c r="L22" s="84"/>
      <c r="M22" s="84"/>
      <c r="N22" s="90" t="s">
        <v>2976</v>
      </c>
      <c r="O22" s="1143"/>
      <c r="P22" s="1382">
        <v>12000</v>
      </c>
      <c r="Q22" s="702" t="s">
        <v>3463</v>
      </c>
      <c r="R22" s="1143"/>
      <c r="S22" s="1373"/>
      <c r="T22" s="90"/>
      <c r="U22" s="90"/>
    </row>
    <row r="23" spans="1:22" ht="24.6" customHeight="1">
      <c r="A23" s="84"/>
      <c r="B23" s="84"/>
      <c r="C23" s="5"/>
      <c r="D23" s="5"/>
      <c r="E23" s="935">
        <f>K17+1</f>
        <v>22</v>
      </c>
      <c r="F23" s="924">
        <f t="shared" ref="F23:K23" si="4">E23+1</f>
        <v>23</v>
      </c>
      <c r="G23" s="923">
        <f t="shared" si="4"/>
        <v>24</v>
      </c>
      <c r="H23" s="924">
        <f t="shared" si="4"/>
        <v>25</v>
      </c>
      <c r="I23" s="923">
        <f t="shared" si="4"/>
        <v>26</v>
      </c>
      <c r="J23" s="923">
        <f t="shared" si="4"/>
        <v>27</v>
      </c>
      <c r="K23" s="925">
        <f t="shared" si="4"/>
        <v>28</v>
      </c>
      <c r="L23" s="84"/>
      <c r="M23" s="84"/>
      <c r="N23" s="90" t="s">
        <v>4540</v>
      </c>
      <c r="O23" s="1143"/>
      <c r="P23" s="1382">
        <v>2500</v>
      </c>
      <c r="Q23" s="702" t="s">
        <v>3463</v>
      </c>
      <c r="R23" s="1143"/>
      <c r="S23" s="1373"/>
      <c r="T23" s="90"/>
      <c r="U23" s="90"/>
    </row>
    <row r="24" spans="1:22" ht="24.6" customHeight="1">
      <c r="A24" s="84"/>
      <c r="B24" s="1467" t="s">
        <v>4690</v>
      </c>
      <c r="C24" s="879" t="s">
        <v>9</v>
      </c>
      <c r="D24" s="265"/>
      <c r="E24" s="869"/>
      <c r="F24" s="1724" t="s">
        <v>336</v>
      </c>
      <c r="G24" s="1725"/>
      <c r="H24" s="1725"/>
      <c r="I24" s="1725"/>
      <c r="J24" s="1725"/>
      <c r="K24" s="958"/>
      <c r="L24" s="84"/>
      <c r="M24" s="84"/>
      <c r="N24" s="90" t="s">
        <v>4542</v>
      </c>
      <c r="O24" s="1143"/>
      <c r="P24" s="1382">
        <v>7200</v>
      </c>
      <c r="Q24" s="702" t="s">
        <v>4564</v>
      </c>
      <c r="R24" s="1143"/>
      <c r="S24" s="1373"/>
      <c r="T24" s="90"/>
      <c r="U24" s="90"/>
    </row>
    <row r="25" spans="1:22" ht="24.6" customHeight="1">
      <c r="A25" s="84"/>
      <c r="B25" s="1467"/>
      <c r="C25" s="879"/>
      <c r="D25" s="265"/>
      <c r="E25" s="869"/>
      <c r="F25" s="869"/>
      <c r="G25" s="869"/>
      <c r="H25" s="869"/>
      <c r="I25" s="869"/>
      <c r="J25" s="869"/>
      <c r="K25" s="958"/>
      <c r="L25" s="84"/>
      <c r="M25" s="84"/>
      <c r="N25" s="90" t="s">
        <v>2980</v>
      </c>
      <c r="O25" s="1143"/>
      <c r="P25" s="1382">
        <v>5000</v>
      </c>
      <c r="Q25" s="702" t="s">
        <v>4564</v>
      </c>
      <c r="R25" s="1143"/>
      <c r="S25" s="1373"/>
      <c r="T25" s="90"/>
      <c r="U25" s="90"/>
    </row>
    <row r="26" spans="1:22" ht="24.6" customHeight="1">
      <c r="A26" s="84"/>
      <c r="B26" s="1467"/>
      <c r="C26" s="880" t="s">
        <v>991</v>
      </c>
      <c r="D26" s="265"/>
      <c r="E26" s="869"/>
      <c r="F26" s="869"/>
      <c r="G26" s="869"/>
      <c r="H26" s="869"/>
      <c r="I26" s="869"/>
      <c r="J26" s="869"/>
      <c r="K26" s="958"/>
      <c r="L26" s="84"/>
      <c r="M26" s="84"/>
      <c r="N26" s="90" t="s">
        <v>641</v>
      </c>
      <c r="O26" s="1143"/>
      <c r="P26" s="1382">
        <v>2400</v>
      </c>
      <c r="Q26" s="702" t="s">
        <v>4525</v>
      </c>
      <c r="R26" s="1143"/>
      <c r="S26" s="1373"/>
      <c r="T26" s="90"/>
      <c r="U26" s="90"/>
    </row>
    <row r="27" spans="1:22" ht="24.6" customHeight="1">
      <c r="A27" s="84"/>
      <c r="B27" s="1467"/>
      <c r="C27" s="880"/>
      <c r="D27" s="265"/>
      <c r="E27" s="869"/>
      <c r="F27" s="869"/>
      <c r="G27" s="869"/>
      <c r="H27" s="869"/>
      <c r="I27" s="869"/>
      <c r="J27" s="869"/>
      <c r="K27" s="958"/>
      <c r="L27" s="84"/>
      <c r="M27" s="67"/>
      <c r="N27" s="90" t="s">
        <v>4565</v>
      </c>
      <c r="O27" s="1143"/>
      <c r="P27" s="1382">
        <v>3000</v>
      </c>
      <c r="Q27" s="702" t="s">
        <v>4563</v>
      </c>
      <c r="R27" s="1143"/>
      <c r="S27" s="1373"/>
      <c r="T27" s="90"/>
      <c r="U27" s="90"/>
    </row>
    <row r="28" spans="1:22" ht="24" customHeight="1">
      <c r="A28" s="84"/>
      <c r="B28" s="1398"/>
      <c r="C28" s="881" t="s">
        <v>994</v>
      </c>
      <c r="D28" s="265"/>
      <c r="E28" s="870"/>
      <c r="F28" s="945"/>
      <c r="G28" s="938"/>
      <c r="H28" s="945"/>
      <c r="I28" s="1356"/>
      <c r="J28" s="938"/>
      <c r="K28" s="961"/>
      <c r="L28" s="84"/>
      <c r="M28" s="84"/>
      <c r="N28" s="90" t="s">
        <v>4566</v>
      </c>
      <c r="O28" s="1143"/>
      <c r="P28" s="1382">
        <v>2500</v>
      </c>
      <c r="Q28" s="702" t="s">
        <v>4563</v>
      </c>
      <c r="R28" s="1143"/>
      <c r="S28" s="1373"/>
      <c r="T28" s="90"/>
      <c r="U28" s="90"/>
    </row>
    <row r="29" spans="1:22" ht="24.6" customHeight="1">
      <c r="A29" s="84"/>
      <c r="B29" s="84"/>
      <c r="C29" s="269"/>
      <c r="D29" s="265"/>
      <c r="E29" s="946">
        <f>K23+1</f>
        <v>29</v>
      </c>
      <c r="F29" s="947">
        <f>E29+1</f>
        <v>30</v>
      </c>
      <c r="G29" s="947">
        <f>F29+1</f>
        <v>31</v>
      </c>
      <c r="H29" s="947"/>
      <c r="I29" s="947"/>
      <c r="J29" s="947"/>
      <c r="K29" s="984"/>
      <c r="L29" s="84"/>
      <c r="M29" s="84"/>
      <c r="N29" s="90" t="s">
        <v>4567</v>
      </c>
      <c r="O29" s="1143"/>
      <c r="P29" s="1382">
        <v>5000</v>
      </c>
      <c r="Q29" s="702" t="s">
        <v>4549</v>
      </c>
      <c r="R29" s="1143"/>
      <c r="S29" s="1373"/>
      <c r="T29" s="90"/>
      <c r="U29" s="90"/>
    </row>
    <row r="30" spans="1:22" ht="24.6" customHeight="1">
      <c r="A30" s="84"/>
      <c r="B30" s="1467" t="s">
        <v>4690</v>
      </c>
      <c r="C30" s="879" t="s">
        <v>9</v>
      </c>
      <c r="D30" s="265"/>
      <c r="E30" s="871"/>
      <c r="F30" s="1724" t="s">
        <v>336</v>
      </c>
      <c r="G30" s="1725"/>
      <c r="H30" s="874"/>
      <c r="I30" s="871"/>
      <c r="J30" s="871"/>
      <c r="K30" s="957"/>
      <c r="L30" s="84"/>
      <c r="M30" s="84"/>
      <c r="N30" s="1378"/>
      <c r="O30" s="562"/>
      <c r="P30" s="702"/>
      <c r="Q30" s="702"/>
      <c r="S30" s="1371"/>
      <c r="T30" s="5"/>
      <c r="U30" s="90"/>
    </row>
    <row r="31" spans="1:22" ht="24.6" customHeight="1">
      <c r="A31" s="84"/>
      <c r="B31" s="1467"/>
      <c r="C31" s="879"/>
      <c r="D31" s="265"/>
      <c r="E31" s="871"/>
      <c r="F31" s="868"/>
      <c r="G31" s="868"/>
      <c r="H31" s="868"/>
      <c r="I31" s="868"/>
      <c r="J31" s="868"/>
      <c r="K31" s="957"/>
      <c r="L31" s="84"/>
      <c r="M31" s="84"/>
      <c r="N31" s="1378"/>
      <c r="O31" s="562"/>
      <c r="P31" s="702"/>
      <c r="Q31" s="702"/>
      <c r="S31" s="1371"/>
      <c r="U31" s="90"/>
    </row>
    <row r="32" spans="1:22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O32" s="1143"/>
      <c r="P32" s="1379"/>
      <c r="Q32" s="702"/>
      <c r="R32" s="1143"/>
      <c r="S32" s="1373"/>
      <c r="T32" s="90"/>
      <c r="U32" s="90"/>
    </row>
    <row r="33" spans="1:21" ht="24.6" customHeight="1">
      <c r="A33" s="84"/>
      <c r="B33" s="1467"/>
      <c r="C33" s="880"/>
      <c r="D33" s="265"/>
      <c r="E33" s="871"/>
      <c r="F33" s="944"/>
      <c r="G33" s="868"/>
      <c r="H33" s="874"/>
      <c r="I33" s="871"/>
      <c r="J33" s="871"/>
      <c r="K33" s="960"/>
      <c r="L33" s="84"/>
      <c r="M33" s="84"/>
      <c r="O33" s="1143"/>
      <c r="P33" s="1379"/>
      <c r="Q33" s="702"/>
      <c r="R33" s="1143"/>
      <c r="S33" s="1373"/>
      <c r="T33" s="90"/>
      <c r="U33" s="90"/>
    </row>
    <row r="34" spans="1:21" ht="24.6" customHeight="1">
      <c r="A34" s="84"/>
      <c r="B34" s="1398"/>
      <c r="C34" s="881" t="s">
        <v>994</v>
      </c>
      <c r="D34" s="265"/>
      <c r="E34" s="872"/>
      <c r="F34" s="963"/>
      <c r="G34" s="964"/>
      <c r="H34" s="965"/>
      <c r="I34" s="872"/>
      <c r="J34" s="872"/>
      <c r="K34" s="966"/>
      <c r="L34" s="84"/>
      <c r="M34" s="84"/>
      <c r="O34" s="1143"/>
      <c r="P34" s="702"/>
      <c r="Q34" s="702"/>
      <c r="R34" s="1143"/>
      <c r="S34" s="1373"/>
      <c r="T34" s="90"/>
      <c r="U34" s="90"/>
    </row>
    <row r="35" spans="1:21" ht="19.149999999999999">
      <c r="O35" s="1143"/>
      <c r="P35" s="702"/>
      <c r="Q35" s="702"/>
      <c r="R35" s="1143"/>
      <c r="S35" s="1373"/>
      <c r="T35" s="90"/>
      <c r="U35" s="90"/>
    </row>
    <row r="36" spans="1:21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2" t="s">
        <v>3768</v>
      </c>
      <c r="L36" s="84"/>
      <c r="M36" s="84"/>
      <c r="O36" s="1143"/>
      <c r="P36" s="702"/>
      <c r="Q36" s="702"/>
      <c r="R36" s="1143"/>
      <c r="S36" s="1373"/>
      <c r="T36" s="90"/>
      <c r="U36" s="90"/>
    </row>
    <row r="37" spans="1:21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O37" s="1143"/>
      <c r="P37" s="702"/>
      <c r="Q37" s="702"/>
      <c r="R37" s="1143"/>
      <c r="S37" s="1373"/>
      <c r="T37" s="90"/>
      <c r="U37" s="90"/>
    </row>
    <row r="38" spans="1:21" ht="19.149999999999999">
      <c r="O38" s="1143"/>
      <c r="P38" s="702"/>
      <c r="Q38" s="702"/>
      <c r="R38" s="1143"/>
      <c r="S38" s="1373"/>
      <c r="T38" s="90"/>
      <c r="U38" s="90"/>
    </row>
    <row r="39" spans="1:21" ht="19.149999999999999">
      <c r="O39" s="1143"/>
      <c r="P39" s="702"/>
      <c r="Q39" s="702"/>
      <c r="R39" s="1143"/>
      <c r="S39" s="1373"/>
      <c r="T39" s="90"/>
      <c r="U39" s="90"/>
    </row>
    <row r="40" spans="1:21" ht="19.149999999999999">
      <c r="O40" s="1143"/>
      <c r="R40" s="1143"/>
      <c r="S40" s="1373"/>
      <c r="T40" s="90"/>
      <c r="U40" s="90"/>
    </row>
    <row r="41" spans="1:21" ht="19.149999999999999">
      <c r="O41" s="1143"/>
      <c r="R41" s="1143"/>
      <c r="S41" s="1373"/>
      <c r="T41" s="90"/>
      <c r="U41" s="90"/>
    </row>
    <row r="42" spans="1:21" ht="19.149999999999999">
      <c r="O42" s="1143"/>
      <c r="R42" s="1143"/>
      <c r="S42" s="1373"/>
      <c r="T42" s="90"/>
      <c r="U42" s="90"/>
    </row>
    <row r="43" spans="1:21" ht="19.149999999999999">
      <c r="O43" s="1143"/>
      <c r="R43" s="1143"/>
      <c r="S43" s="1373"/>
      <c r="T43" s="90"/>
      <c r="U43" s="90"/>
    </row>
    <row r="44" spans="1:21" ht="19.149999999999999">
      <c r="O44" s="1143"/>
      <c r="R44" s="1143"/>
      <c r="S44" s="1373"/>
      <c r="T44" s="90"/>
      <c r="U44" s="90"/>
    </row>
    <row r="45" spans="1:21" ht="19.149999999999999">
      <c r="O45" s="1143"/>
      <c r="R45" s="1143"/>
      <c r="S45" s="1373"/>
      <c r="T45" s="90"/>
      <c r="U45" s="90"/>
    </row>
    <row r="46" spans="1:21" ht="19.149999999999999">
      <c r="O46" s="1143"/>
      <c r="R46" s="1143"/>
      <c r="S46" s="1373"/>
      <c r="T46" s="90"/>
      <c r="U46" s="90"/>
    </row>
    <row r="47" spans="1:21" ht="19.149999999999999">
      <c r="O47" s="1143"/>
      <c r="R47" s="1143"/>
      <c r="S47" s="1373"/>
      <c r="T47" s="90"/>
      <c r="U47" s="90"/>
    </row>
    <row r="48" spans="1:21" ht="19.149999999999999">
      <c r="O48" s="1143"/>
      <c r="R48" s="1143"/>
      <c r="S48" s="1373"/>
      <c r="T48" s="90"/>
      <c r="U48" s="90"/>
    </row>
  </sheetData>
  <sortState ref="N9:T30">
    <sortCondition ref="Q9:Q30"/>
  </sortState>
  <mergeCells count="23">
    <mergeCell ref="F6:J6"/>
    <mergeCell ref="F12:J12"/>
    <mergeCell ref="F18:J18"/>
    <mergeCell ref="F24:J24"/>
    <mergeCell ref="F30:G30"/>
    <mergeCell ref="H9:I9"/>
    <mergeCell ref="F14:G14"/>
    <mergeCell ref="G15:H15"/>
    <mergeCell ref="H14:I14"/>
    <mergeCell ref="I15:J15"/>
    <mergeCell ref="F20:G20"/>
    <mergeCell ref="G21:H21"/>
    <mergeCell ref="O2:P2"/>
    <mergeCell ref="Q2:R2"/>
    <mergeCell ref="E3:G3"/>
    <mergeCell ref="H3:K3"/>
    <mergeCell ref="O3:P3"/>
    <mergeCell ref="Q3:R3"/>
    <mergeCell ref="B12:B15"/>
    <mergeCell ref="B24:B27"/>
    <mergeCell ref="B30:B33"/>
    <mergeCell ref="B18:B21"/>
    <mergeCell ref="B6:B10"/>
  </mergeCells>
  <phoneticPr fontId="6" type="noConversion"/>
  <pageMargins left="0.7" right="0.7" top="0.75" bottom="0.75" header="0.3" footer="0.3"/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44"/>
  <sheetViews>
    <sheetView showGridLines="0" topLeftCell="A4" zoomScale="55" zoomScaleNormal="55" workbookViewId="0">
      <selection activeCell="N11" sqref="N11:N13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46113</v>
      </c>
      <c r="F3" s="1759"/>
      <c r="G3" s="1759"/>
      <c r="H3" s="1760" t="s">
        <v>10</v>
      </c>
      <c r="I3" s="1717"/>
      <c r="J3" s="1717"/>
      <c r="K3" s="1717"/>
      <c r="N3" s="989">
        <f>SUMIF($Q$8:$Q$70,"F",$P$8:$P$73)</f>
        <v>272000</v>
      </c>
      <c r="O3" s="1715">
        <f ca="1">SUMIF($Q$7:$Q$60,"S",$P$7:$P$57)</f>
        <v>67500</v>
      </c>
      <c r="P3" s="1715"/>
      <c r="Q3" s="1706">
        <f ca="1">N3+O3</f>
        <v>339500</v>
      </c>
      <c r="R3" s="1707"/>
      <c r="S3" s="1380">
        <f ca="1">400000-Q3</f>
        <v>60500</v>
      </c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1381">
        <f ca="1">S3/34000</f>
        <v>1.7794117647058822</v>
      </c>
    </row>
    <row r="5" spans="1:22" s="5" customFormat="1" ht="24.6" customHeight="1">
      <c r="E5" s="973"/>
      <c r="F5" s="941"/>
      <c r="G5" s="941"/>
      <c r="H5" s="941">
        <f t="shared" ref="H5:K5" si="0">G5+1</f>
        <v>1</v>
      </c>
      <c r="I5" s="941">
        <f t="shared" si="0"/>
        <v>2</v>
      </c>
      <c r="J5" s="941">
        <f t="shared" si="0"/>
        <v>3</v>
      </c>
      <c r="K5" s="957">
        <f t="shared" si="0"/>
        <v>4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1724" t="s">
        <v>336</v>
      </c>
      <c r="G6" s="1725"/>
      <c r="H6" s="1725"/>
      <c r="I6" s="1725"/>
      <c r="J6" s="1725"/>
      <c r="K6" s="957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868"/>
      <c r="H7" s="868"/>
      <c r="I7" s="868"/>
      <c r="J7" s="868"/>
      <c r="K7" s="957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7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90" t="s">
        <v>4575</v>
      </c>
      <c r="O9" s="1143"/>
      <c r="P9" s="1382">
        <v>34000</v>
      </c>
      <c r="Q9" s="1382" t="s">
        <v>4576</v>
      </c>
      <c r="R9" s="1143"/>
      <c r="S9" s="1373"/>
      <c r="T9" s="90"/>
      <c r="U9" s="90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8"/>
      <c r="G10" s="868"/>
      <c r="H10" s="868"/>
      <c r="I10" s="868"/>
      <c r="J10" s="868"/>
      <c r="K10" s="957"/>
      <c r="L10" s="90"/>
      <c r="M10" s="90"/>
      <c r="N10" s="90" t="s">
        <v>4580</v>
      </c>
      <c r="O10" s="1143"/>
      <c r="P10" s="1382">
        <v>34000</v>
      </c>
      <c r="Q10" s="1382" t="s">
        <v>4523</v>
      </c>
      <c r="R10" s="1143"/>
      <c r="S10" s="1373"/>
      <c r="T10" s="90" t="s">
        <v>4603</v>
      </c>
      <c r="U10" s="90"/>
    </row>
    <row r="11" spans="1:22" ht="24.6" customHeight="1">
      <c r="A11" s="84"/>
      <c r="B11" s="84"/>
      <c r="C11" s="5"/>
      <c r="D11" s="5"/>
      <c r="E11" s="935">
        <f>K5+1</f>
        <v>5</v>
      </c>
      <c r="F11" s="924">
        <f t="shared" ref="F11:K11" si="1">E11+1</f>
        <v>6</v>
      </c>
      <c r="G11" s="923">
        <f t="shared" si="1"/>
        <v>7</v>
      </c>
      <c r="H11" s="924">
        <f t="shared" si="1"/>
        <v>8</v>
      </c>
      <c r="I11" s="923">
        <f t="shared" si="1"/>
        <v>9</v>
      </c>
      <c r="J11" s="923">
        <f t="shared" si="1"/>
        <v>10</v>
      </c>
      <c r="K11" s="925">
        <f t="shared" si="1"/>
        <v>11</v>
      </c>
      <c r="N11" s="90" t="s">
        <v>4588</v>
      </c>
      <c r="O11" s="1143"/>
      <c r="P11" s="1382">
        <v>34000</v>
      </c>
      <c r="Q11" s="1382" t="s">
        <v>4523</v>
      </c>
      <c r="R11" s="1143"/>
      <c r="S11" s="1373"/>
      <c r="T11" s="90"/>
      <c r="U11" s="90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78"/>
      <c r="G12" s="1779"/>
      <c r="H12" s="869"/>
      <c r="I12" s="1778"/>
      <c r="J12" s="1779"/>
      <c r="K12" s="869"/>
      <c r="N12" s="90" t="s">
        <v>4588</v>
      </c>
      <c r="O12" s="1143"/>
      <c r="P12" s="1382">
        <v>34000</v>
      </c>
      <c r="Q12" s="1382" t="s">
        <v>4523</v>
      </c>
      <c r="R12" s="1143"/>
      <c r="S12" s="1373"/>
      <c r="T12" s="90"/>
      <c r="U12" s="90"/>
    </row>
    <row r="13" spans="1:22" ht="24.6" customHeight="1">
      <c r="A13" s="84"/>
      <c r="B13" s="1467"/>
      <c r="C13" s="879"/>
      <c r="D13" s="265"/>
      <c r="E13" s="869"/>
      <c r="F13" s="869"/>
      <c r="G13" s="1778"/>
      <c r="H13" s="1779"/>
      <c r="I13" s="869"/>
      <c r="J13" s="1778"/>
      <c r="K13" s="1779"/>
      <c r="N13" s="90" t="s">
        <v>4588</v>
      </c>
      <c r="O13" s="1143"/>
      <c r="P13" s="1382">
        <v>34000</v>
      </c>
      <c r="Q13" s="1382" t="s">
        <v>4523</v>
      </c>
      <c r="R13" s="1143"/>
      <c r="S13" s="1373"/>
      <c r="T13" s="90"/>
      <c r="U13" s="90"/>
    </row>
    <row r="14" spans="1:22" ht="24.6" customHeight="1">
      <c r="A14" s="84"/>
      <c r="B14" s="1467"/>
      <c r="C14" s="880" t="s">
        <v>991</v>
      </c>
      <c r="D14" s="265"/>
      <c r="E14" s="869"/>
      <c r="F14" s="936"/>
      <c r="G14" s="937"/>
      <c r="H14" s="937"/>
      <c r="I14" s="937"/>
      <c r="J14" s="937"/>
      <c r="K14" s="958"/>
      <c r="N14" s="90" t="s">
        <v>4589</v>
      </c>
      <c r="O14" s="1143"/>
      <c r="P14" s="1382">
        <v>34000</v>
      </c>
      <c r="Q14" s="1382" t="s">
        <v>4523</v>
      </c>
      <c r="R14" s="1143"/>
      <c r="S14" s="1373"/>
      <c r="T14" s="90"/>
      <c r="U14" s="90"/>
    </row>
    <row r="15" spans="1:22" ht="24.6" customHeight="1">
      <c r="A15" s="84"/>
      <c r="B15" s="1467"/>
      <c r="C15" s="880"/>
      <c r="D15" s="265"/>
      <c r="E15" s="869"/>
      <c r="F15" s="936"/>
      <c r="G15" s="937"/>
      <c r="H15" s="937"/>
      <c r="I15" s="937"/>
      <c r="J15" s="937"/>
      <c r="K15" s="958"/>
      <c r="N15" s="90" t="s">
        <v>4589</v>
      </c>
      <c r="O15" s="1143"/>
      <c r="P15" s="1382">
        <v>34000</v>
      </c>
      <c r="Q15" s="1382" t="s">
        <v>4523</v>
      </c>
      <c r="R15" s="1143"/>
      <c r="S15" s="1373"/>
      <c r="T15" s="90"/>
      <c r="U15" s="90"/>
    </row>
    <row r="16" spans="1:22" ht="24.6" customHeight="1">
      <c r="A16" s="84"/>
      <c r="B16" s="1398"/>
      <c r="C16" s="881" t="s">
        <v>994</v>
      </c>
      <c r="D16" s="265"/>
      <c r="E16" s="869"/>
      <c r="F16" s="936"/>
      <c r="G16" s="938"/>
      <c r="H16" s="937"/>
      <c r="I16" s="937"/>
      <c r="J16" s="937"/>
      <c r="K16" s="958"/>
      <c r="N16" s="90" t="s">
        <v>4580</v>
      </c>
      <c r="O16" s="1143"/>
      <c r="P16" s="784">
        <v>34000</v>
      </c>
      <c r="Q16" s="1382" t="s">
        <v>3462</v>
      </c>
      <c r="R16" s="1143"/>
      <c r="S16" s="1373"/>
      <c r="T16" s="90"/>
      <c r="U16" s="90"/>
      <c r="V16" s="1277"/>
    </row>
    <row r="17" spans="1:22" ht="24.6" customHeight="1">
      <c r="A17" s="84"/>
      <c r="B17" s="84"/>
      <c r="C17" s="5"/>
      <c r="D17" s="5"/>
      <c r="E17" s="939">
        <f>K11+1</f>
        <v>12</v>
      </c>
      <c r="F17" s="940">
        <f t="shared" ref="F17:K17" si="2">E17+1</f>
        <v>13</v>
      </c>
      <c r="G17" s="941">
        <f t="shared" si="2"/>
        <v>14</v>
      </c>
      <c r="H17" s="942">
        <f t="shared" si="2"/>
        <v>15</v>
      </c>
      <c r="I17" s="943">
        <f t="shared" si="2"/>
        <v>16</v>
      </c>
      <c r="J17" s="943">
        <f t="shared" si="2"/>
        <v>17</v>
      </c>
      <c r="K17" s="959">
        <f t="shared" si="2"/>
        <v>18</v>
      </c>
      <c r="M17" s="203"/>
      <c r="N17" s="90" t="s">
        <v>4534</v>
      </c>
      <c r="O17" s="1143"/>
      <c r="P17" s="1382">
        <v>12000</v>
      </c>
      <c r="Q17" s="1382" t="s">
        <v>4577</v>
      </c>
      <c r="R17" s="1143"/>
      <c r="S17" s="1373"/>
      <c r="T17" s="90"/>
      <c r="U17" s="90"/>
      <c r="V17" s="1277"/>
    </row>
    <row r="18" spans="1:22" ht="24.6" customHeight="1">
      <c r="A18" s="84"/>
      <c r="B18" s="1467" t="s">
        <v>4690</v>
      </c>
      <c r="C18" s="879" t="s">
        <v>9</v>
      </c>
      <c r="D18" s="265"/>
      <c r="E18" s="871"/>
      <c r="F18" s="1778"/>
      <c r="G18" s="1779"/>
      <c r="H18" s="868"/>
      <c r="I18" s="1778"/>
      <c r="J18" s="1779"/>
      <c r="K18" s="868"/>
      <c r="N18" s="90" t="s">
        <v>4578</v>
      </c>
      <c r="O18" s="1143"/>
      <c r="P18" s="1382">
        <v>6000</v>
      </c>
      <c r="Q18" s="1382" t="s">
        <v>3463</v>
      </c>
      <c r="R18" s="1143"/>
      <c r="S18" s="1373"/>
      <c r="T18" s="90"/>
      <c r="U18" s="90"/>
    </row>
    <row r="19" spans="1:22" ht="24.6" customHeight="1">
      <c r="A19" s="84"/>
      <c r="B19" s="1467"/>
      <c r="C19" s="879"/>
      <c r="D19" s="265"/>
      <c r="E19" s="871"/>
      <c r="F19" s="868"/>
      <c r="G19" s="1778"/>
      <c r="H19" s="1779"/>
      <c r="I19" s="868"/>
      <c r="J19" s="1778"/>
      <c r="K19" s="1779"/>
      <c r="L19" s="84"/>
      <c r="M19" s="84"/>
      <c r="N19" s="90" t="s">
        <v>4579</v>
      </c>
      <c r="O19" s="1143"/>
      <c r="P19" s="1382">
        <v>15000</v>
      </c>
      <c r="Q19" s="1382" t="s">
        <v>3463</v>
      </c>
      <c r="R19" s="1143"/>
      <c r="S19" s="1373"/>
      <c r="T19" s="90"/>
      <c r="U19" s="90"/>
    </row>
    <row r="20" spans="1:22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871"/>
      <c r="J20" s="871"/>
      <c r="K20" s="960"/>
      <c r="L20" s="84"/>
      <c r="M20" s="84"/>
      <c r="N20" s="90" t="s">
        <v>4539</v>
      </c>
      <c r="O20" s="1143"/>
      <c r="P20" s="784">
        <v>12000</v>
      </c>
      <c r="Q20" s="1382" t="s">
        <v>4590</v>
      </c>
      <c r="R20" s="1143"/>
      <c r="S20" s="1373"/>
      <c r="T20" s="90"/>
      <c r="U20" s="90"/>
    </row>
    <row r="21" spans="1:22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871"/>
      <c r="K21" s="960"/>
      <c r="L21" s="84"/>
      <c r="M21" s="84"/>
      <c r="N21" s="90" t="s">
        <v>4591</v>
      </c>
      <c r="O21" s="1143"/>
      <c r="P21" s="784">
        <v>4000</v>
      </c>
      <c r="Q21" s="1382" t="s">
        <v>4525</v>
      </c>
      <c r="R21" s="1143"/>
      <c r="S21" s="1373"/>
      <c r="T21" s="90"/>
      <c r="U21" s="90"/>
    </row>
    <row r="22" spans="1:22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960"/>
      <c r="L22" s="84"/>
      <c r="M22" s="84"/>
      <c r="N22" s="90" t="s">
        <v>4592</v>
      </c>
      <c r="O22" s="1143"/>
      <c r="P22" s="784">
        <v>4600</v>
      </c>
      <c r="Q22" s="1382" t="s">
        <v>4525</v>
      </c>
      <c r="R22" s="1143"/>
      <c r="S22" s="1373"/>
      <c r="T22" s="90"/>
      <c r="U22" s="90"/>
    </row>
    <row r="23" spans="1:22" ht="24.6" customHeight="1">
      <c r="A23" s="84"/>
      <c r="B23" s="84"/>
      <c r="C23" s="5"/>
      <c r="D23" s="5"/>
      <c r="E23" s="935">
        <f>K17+1</f>
        <v>19</v>
      </c>
      <c r="F23" s="924">
        <f t="shared" ref="F23:K23" si="3">E23+1</f>
        <v>20</v>
      </c>
      <c r="G23" s="923">
        <f t="shared" si="3"/>
        <v>21</v>
      </c>
      <c r="H23" s="924">
        <f t="shared" si="3"/>
        <v>22</v>
      </c>
      <c r="I23" s="923">
        <f t="shared" si="3"/>
        <v>23</v>
      </c>
      <c r="J23" s="923">
        <f t="shared" si="3"/>
        <v>24</v>
      </c>
      <c r="K23" s="925">
        <f t="shared" si="3"/>
        <v>25</v>
      </c>
      <c r="L23" s="84"/>
      <c r="M23" s="84"/>
      <c r="N23" s="90" t="s">
        <v>4593</v>
      </c>
      <c r="O23" s="1143"/>
      <c r="P23" s="784">
        <v>2400</v>
      </c>
      <c r="Q23" s="1382" t="s">
        <v>4590</v>
      </c>
      <c r="R23" s="1143"/>
      <c r="S23" s="1373"/>
      <c r="T23" s="90"/>
      <c r="U23" s="90"/>
    </row>
    <row r="24" spans="1:22" ht="24.6" customHeight="1">
      <c r="A24" s="84"/>
      <c r="B24" s="1467" t="s">
        <v>4690</v>
      </c>
      <c r="C24" s="879" t="s">
        <v>9</v>
      </c>
      <c r="D24" s="265"/>
      <c r="E24" s="869"/>
      <c r="F24" s="1778"/>
      <c r="G24" s="1779"/>
      <c r="H24" s="936"/>
      <c r="I24" s="1784"/>
      <c r="J24" s="1785"/>
      <c r="K24" s="958"/>
      <c r="L24" s="84"/>
      <c r="M24" s="84"/>
      <c r="N24" s="90" t="s">
        <v>4544</v>
      </c>
      <c r="O24" s="1143"/>
      <c r="P24" s="784">
        <v>2500</v>
      </c>
      <c r="Q24" s="1382" t="s">
        <v>3463</v>
      </c>
      <c r="R24" s="1143"/>
      <c r="S24" s="1373"/>
      <c r="T24" s="90"/>
      <c r="U24" s="90"/>
    </row>
    <row r="25" spans="1:22" ht="24.6" customHeight="1">
      <c r="A25" s="84"/>
      <c r="B25" s="1467"/>
      <c r="C25" s="879"/>
      <c r="D25" s="265"/>
      <c r="E25" s="869"/>
      <c r="F25" s="936"/>
      <c r="G25" s="1778"/>
      <c r="H25" s="1779"/>
      <c r="I25" s="937"/>
      <c r="J25" s="1784"/>
      <c r="K25" s="1785"/>
      <c r="L25" s="84"/>
      <c r="M25" s="84"/>
      <c r="N25" s="90" t="s">
        <v>4594</v>
      </c>
      <c r="O25" s="1143"/>
      <c r="P25" s="784">
        <v>6000</v>
      </c>
      <c r="Q25" s="1382" t="s">
        <v>4525</v>
      </c>
      <c r="R25" s="1143"/>
      <c r="S25" s="1373"/>
      <c r="T25" s="90"/>
      <c r="U25" s="90"/>
    </row>
    <row r="26" spans="1:22" ht="24.6" customHeight="1">
      <c r="A26" s="84"/>
      <c r="B26" s="1467"/>
      <c r="C26" s="880" t="s">
        <v>991</v>
      </c>
      <c r="D26" s="265"/>
      <c r="E26" s="869"/>
      <c r="F26" s="936"/>
      <c r="G26" s="937"/>
      <c r="H26" s="936"/>
      <c r="I26" s="937"/>
      <c r="J26" s="937"/>
      <c r="K26" s="958"/>
      <c r="L26" s="84"/>
      <c r="M26" s="84"/>
      <c r="N26" s="90" t="s">
        <v>4595</v>
      </c>
      <c r="O26" s="1143"/>
      <c r="P26" s="784">
        <v>3000</v>
      </c>
      <c r="Q26" s="1382" t="s">
        <v>4549</v>
      </c>
      <c r="R26" s="1143"/>
      <c r="S26" s="1373"/>
      <c r="T26" s="90"/>
      <c r="U26" s="90"/>
    </row>
    <row r="27" spans="1:22" ht="24.6" customHeight="1">
      <c r="A27" s="84"/>
      <c r="B27" s="1467"/>
      <c r="C27" s="880"/>
      <c r="D27" s="265"/>
      <c r="E27" s="869"/>
      <c r="F27" s="936"/>
      <c r="G27" s="937"/>
      <c r="H27" s="936"/>
      <c r="I27" s="937"/>
      <c r="J27" s="937"/>
      <c r="K27" s="958"/>
      <c r="L27" s="84"/>
      <c r="M27" s="84"/>
    </row>
    <row r="28" spans="1:22" ht="24" customHeight="1">
      <c r="A28" s="84"/>
      <c r="B28" s="1398"/>
      <c r="C28" s="881" t="s">
        <v>994</v>
      </c>
      <c r="D28" s="265"/>
      <c r="E28" s="870"/>
      <c r="F28" s="945"/>
      <c r="G28" s="938"/>
      <c r="H28" s="945"/>
      <c r="I28" s="1356"/>
      <c r="J28" s="938"/>
      <c r="K28" s="961"/>
      <c r="L28" s="84"/>
      <c r="M28" s="84"/>
      <c r="O28" s="1143"/>
      <c r="P28" s="784"/>
      <c r="Q28" s="1382"/>
      <c r="R28" s="1143"/>
      <c r="S28" s="1373"/>
      <c r="T28" s="90"/>
      <c r="U28" s="90"/>
    </row>
    <row r="29" spans="1:22" ht="24.6" customHeight="1">
      <c r="A29" s="84"/>
      <c r="B29" s="84"/>
      <c r="C29" s="269"/>
      <c r="D29" s="265"/>
      <c r="E29" s="946">
        <f>K23+1</f>
        <v>26</v>
      </c>
      <c r="F29" s="947">
        <f>E29+1</f>
        <v>27</v>
      </c>
      <c r="G29" s="947">
        <f>F29+1</f>
        <v>28</v>
      </c>
      <c r="H29" s="947">
        <f t="shared" ref="H29:I29" si="4">G29+1</f>
        <v>29</v>
      </c>
      <c r="I29" s="947">
        <f t="shared" si="4"/>
        <v>30</v>
      </c>
      <c r="J29" s="947"/>
      <c r="K29" s="984"/>
      <c r="L29" s="84"/>
      <c r="M29" s="84"/>
      <c r="O29" s="1143"/>
      <c r="P29" s="1382"/>
      <c r="Q29" s="1382"/>
      <c r="R29" s="1143"/>
      <c r="S29" s="1373"/>
      <c r="T29" s="90"/>
      <c r="U29" s="90"/>
    </row>
    <row r="30" spans="1:22" ht="24.6" customHeight="1">
      <c r="A30" s="84"/>
      <c r="B30" s="1467" t="s">
        <v>4690</v>
      </c>
      <c r="C30" s="879" t="s">
        <v>9</v>
      </c>
      <c r="D30" s="265"/>
      <c r="E30" s="871"/>
      <c r="F30" s="1778"/>
      <c r="G30" s="1779"/>
      <c r="H30" s="874"/>
      <c r="I30" s="1778"/>
      <c r="J30" s="1779"/>
      <c r="K30" s="960"/>
      <c r="L30" s="84"/>
      <c r="M30" s="84"/>
      <c r="O30" s="1143"/>
      <c r="P30" s="1382"/>
      <c r="Q30" s="1382"/>
      <c r="R30" s="1143"/>
      <c r="S30" s="1373"/>
      <c r="T30" s="90"/>
      <c r="U30" s="90"/>
    </row>
    <row r="31" spans="1:22" ht="24.6" customHeight="1">
      <c r="A31" s="84"/>
      <c r="B31" s="1467"/>
      <c r="C31" s="879"/>
      <c r="D31" s="265"/>
      <c r="E31" s="871"/>
      <c r="F31" s="944"/>
      <c r="G31" s="1778"/>
      <c r="H31" s="1779"/>
      <c r="I31" s="871"/>
      <c r="J31" s="871"/>
      <c r="K31" s="960"/>
      <c r="L31" s="84"/>
      <c r="M31" s="84"/>
      <c r="O31" s="1143"/>
      <c r="P31" s="1382"/>
      <c r="Q31" s="702"/>
      <c r="R31" s="1143"/>
      <c r="S31" s="1373"/>
      <c r="T31" s="90"/>
      <c r="U31" s="90"/>
    </row>
    <row r="32" spans="1:22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M32" s="84"/>
      <c r="O32" s="1143"/>
      <c r="P32" s="1382"/>
      <c r="Q32" s="702"/>
      <c r="R32" s="1143"/>
      <c r="S32" s="1373"/>
      <c r="T32" s="90"/>
      <c r="U32" s="90"/>
    </row>
    <row r="33" spans="1:21" ht="24.6" customHeight="1">
      <c r="A33" s="84"/>
      <c r="B33" s="1467"/>
      <c r="C33" s="880"/>
      <c r="D33" s="265"/>
      <c r="E33" s="871"/>
      <c r="F33" s="944"/>
      <c r="G33" s="868"/>
      <c r="H33" s="874"/>
      <c r="I33" s="871"/>
      <c r="J33" s="871"/>
      <c r="K33" s="960"/>
      <c r="L33" s="84"/>
      <c r="M33" s="84"/>
      <c r="O33" s="1143"/>
      <c r="P33" s="1382"/>
      <c r="Q33" s="702"/>
      <c r="R33" s="1143"/>
      <c r="S33" s="1373"/>
      <c r="T33" s="90"/>
      <c r="U33" s="90"/>
    </row>
    <row r="34" spans="1:21" ht="24.6" customHeight="1">
      <c r="A34" s="84"/>
      <c r="B34" s="1398"/>
      <c r="C34" s="881" t="s">
        <v>994</v>
      </c>
      <c r="D34" s="265"/>
      <c r="E34" s="872"/>
      <c r="F34" s="963"/>
      <c r="G34" s="964"/>
      <c r="H34" s="965"/>
      <c r="I34" s="872"/>
      <c r="J34" s="872"/>
      <c r="K34" s="966"/>
      <c r="L34" s="84"/>
      <c r="M34" s="84"/>
      <c r="O34" s="1143"/>
      <c r="P34" s="702"/>
      <c r="Q34" s="702"/>
      <c r="R34" s="1143"/>
      <c r="S34" s="1373"/>
      <c r="T34" s="90"/>
      <c r="U34" s="90"/>
    </row>
    <row r="35" spans="1:21" ht="19.149999999999999">
      <c r="O35" s="1143"/>
      <c r="P35" s="702"/>
      <c r="Q35" s="702"/>
      <c r="R35" s="1143"/>
      <c r="S35" s="1373"/>
      <c r="T35" s="90"/>
      <c r="U35" s="90"/>
    </row>
    <row r="36" spans="1:21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2" t="s">
        <v>3768</v>
      </c>
      <c r="L36" s="84"/>
      <c r="M36" s="84"/>
      <c r="O36" s="1143"/>
      <c r="P36" s="702"/>
      <c r="Q36" s="702"/>
      <c r="R36" s="1143"/>
      <c r="S36" s="1373"/>
      <c r="T36" s="90"/>
      <c r="U36" s="90"/>
    </row>
    <row r="37" spans="1:21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O37" s="1143"/>
      <c r="P37" s="702"/>
      <c r="Q37" s="702"/>
      <c r="R37" s="1143"/>
      <c r="S37" s="1373"/>
      <c r="T37" s="90"/>
      <c r="U37" s="90"/>
    </row>
    <row r="38" spans="1:21" ht="19.149999999999999">
      <c r="O38" s="1143"/>
      <c r="P38" s="702"/>
      <c r="Q38" s="702"/>
      <c r="R38" s="1143"/>
      <c r="S38" s="1373"/>
      <c r="T38" s="90"/>
      <c r="U38" s="90"/>
    </row>
    <row r="39" spans="1:21" ht="19.149999999999999">
      <c r="O39" s="1143"/>
      <c r="P39" s="702"/>
      <c r="Q39" s="702"/>
      <c r="R39" s="1143"/>
      <c r="S39" s="1373"/>
      <c r="T39" s="90"/>
      <c r="U39" s="90"/>
    </row>
    <row r="40" spans="1:21" ht="19.149999999999999">
      <c r="O40" s="1143"/>
      <c r="P40" s="702"/>
      <c r="Q40" s="702"/>
      <c r="R40" s="1143"/>
      <c r="S40" s="1373"/>
      <c r="T40" s="90"/>
      <c r="U40" s="90"/>
    </row>
    <row r="41" spans="1:21" ht="19.149999999999999">
      <c r="O41" s="1143"/>
      <c r="P41" s="702"/>
      <c r="Q41" s="702"/>
      <c r="R41" s="1143"/>
      <c r="S41" s="1373"/>
      <c r="T41" s="90"/>
      <c r="U41" s="90"/>
    </row>
    <row r="42" spans="1:21" ht="19.149999999999999">
      <c r="O42" s="1143"/>
      <c r="P42" s="702"/>
      <c r="Q42" s="702"/>
      <c r="R42" s="1143"/>
      <c r="S42" s="1373"/>
      <c r="T42" s="90"/>
      <c r="U42" s="90"/>
    </row>
    <row r="43" spans="1:21" ht="19.149999999999999">
      <c r="O43" s="1143"/>
      <c r="P43" s="702"/>
      <c r="Q43" s="702"/>
      <c r="R43" s="1143"/>
      <c r="S43" s="1373"/>
      <c r="T43" s="90"/>
      <c r="U43" s="90"/>
    </row>
    <row r="44" spans="1:21" ht="19.149999999999999">
      <c r="O44" s="1143"/>
      <c r="P44" s="702"/>
      <c r="Q44" s="702"/>
      <c r="R44" s="1143"/>
      <c r="S44" s="1373"/>
      <c r="T44" s="90"/>
      <c r="U44" s="90"/>
    </row>
  </sheetData>
  <sortState ref="N9:T27">
    <sortCondition ref="Q9:Q27"/>
  </sortState>
  <mergeCells count="27">
    <mergeCell ref="I12:J12"/>
    <mergeCell ref="G13:H13"/>
    <mergeCell ref="J13:K13"/>
    <mergeCell ref="B6:B10"/>
    <mergeCell ref="F6:J6"/>
    <mergeCell ref="O2:P2"/>
    <mergeCell ref="Q2:R2"/>
    <mergeCell ref="E3:G3"/>
    <mergeCell ref="H3:K3"/>
    <mergeCell ref="O3:P3"/>
    <mergeCell ref="Q3:R3"/>
    <mergeCell ref="I30:J30"/>
    <mergeCell ref="I24:J24"/>
    <mergeCell ref="G25:H25"/>
    <mergeCell ref="J25:K25"/>
    <mergeCell ref="B12:B15"/>
    <mergeCell ref="I18:J18"/>
    <mergeCell ref="G19:H19"/>
    <mergeCell ref="J19:K19"/>
    <mergeCell ref="B30:B33"/>
    <mergeCell ref="F30:G30"/>
    <mergeCell ref="G31:H31"/>
    <mergeCell ref="B18:B21"/>
    <mergeCell ref="F18:G18"/>
    <mergeCell ref="B24:B27"/>
    <mergeCell ref="F24:G24"/>
    <mergeCell ref="F12:G12"/>
  </mergeCells>
  <phoneticPr fontId="6" type="noConversion"/>
  <pageMargins left="0.7" right="0.7" top="0.75" bottom="0.75" header="0.3" footer="0.3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46"/>
  <sheetViews>
    <sheetView showGridLines="0" topLeftCell="B1" zoomScale="55" zoomScaleNormal="55" workbookViewId="0">
      <selection activeCell="N12" sqref="N12:N14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20" width="15.88671875" style="84" bestFit="1" customWidth="1"/>
    <col min="21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46143</v>
      </c>
      <c r="F3" s="1759"/>
      <c r="G3" s="1759"/>
      <c r="H3" s="1760" t="s">
        <v>10</v>
      </c>
      <c r="I3" s="1717"/>
      <c r="J3" s="1717"/>
      <c r="K3" s="1717"/>
      <c r="N3" s="989">
        <f>SUMIF($Q$8:$Q$60,"F",$P$8:$P$60)</f>
        <v>306000</v>
      </c>
      <c r="O3" s="1715">
        <f>SUMIF($Q$7:$Q$57,"S",$P$7:$P$57)</f>
        <v>46000</v>
      </c>
      <c r="P3" s="1715"/>
      <c r="Q3" s="1706">
        <f>N3+O3</f>
        <v>352000</v>
      </c>
      <c r="R3" s="1707"/>
      <c r="S3" s="1380">
        <f>400000-Q3</f>
        <v>48000</v>
      </c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1381">
        <f>S3/34000</f>
        <v>1.411764705882353</v>
      </c>
    </row>
    <row r="5" spans="1:22" s="5" customFormat="1" ht="24.6" customHeight="1">
      <c r="E5" s="973"/>
      <c r="F5" s="941"/>
      <c r="G5" s="941"/>
      <c r="H5" s="941"/>
      <c r="I5" s="941"/>
      <c r="J5" s="941">
        <f t="shared" ref="J5:K5" si="0">I5+1</f>
        <v>1</v>
      </c>
      <c r="K5" s="957">
        <f t="shared" si="0"/>
        <v>2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868"/>
      <c r="G6" s="868"/>
      <c r="H6" s="868"/>
      <c r="I6" s="1778"/>
      <c r="J6" s="1779"/>
      <c r="K6" s="868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868"/>
      <c r="H7" s="868"/>
      <c r="I7" s="868"/>
      <c r="J7" s="868"/>
      <c r="K7" s="957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7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90" t="s">
        <v>4587</v>
      </c>
      <c r="O9" s="1143"/>
      <c r="P9" s="1382">
        <v>34000</v>
      </c>
      <c r="Q9" s="702" t="s">
        <v>3462</v>
      </c>
      <c r="R9" s="1143"/>
      <c r="S9" s="1373"/>
      <c r="T9" s="90"/>
      <c r="U9" s="84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8"/>
      <c r="G10" s="868"/>
      <c r="H10" s="868"/>
      <c r="I10" s="868"/>
      <c r="J10" s="1392" t="s">
        <v>4648</v>
      </c>
      <c r="K10" s="957"/>
      <c r="L10" s="90"/>
      <c r="M10" s="90"/>
      <c r="N10" s="90" t="s">
        <v>4587</v>
      </c>
      <c r="O10" s="1143"/>
      <c r="P10" s="1382">
        <v>34000</v>
      </c>
      <c r="Q10" s="702" t="s">
        <v>3462</v>
      </c>
      <c r="R10" s="1143"/>
      <c r="S10" s="1373"/>
      <c r="T10" s="90"/>
      <c r="U10" s="84"/>
    </row>
    <row r="11" spans="1:22" ht="24.6" customHeight="1">
      <c r="A11" s="84"/>
      <c r="B11" s="84"/>
      <c r="C11" s="5"/>
      <c r="D11" s="5"/>
      <c r="E11" s="935">
        <f>K5+1</f>
        <v>3</v>
      </c>
      <c r="F11" s="924">
        <f t="shared" ref="F11:K11" si="1">E11+1</f>
        <v>4</v>
      </c>
      <c r="G11" s="923">
        <f t="shared" si="1"/>
        <v>5</v>
      </c>
      <c r="H11" s="924">
        <f t="shared" si="1"/>
        <v>6</v>
      </c>
      <c r="I11" s="923">
        <f t="shared" si="1"/>
        <v>7</v>
      </c>
      <c r="J11" s="923">
        <f t="shared" si="1"/>
        <v>8</v>
      </c>
      <c r="K11" s="925">
        <f t="shared" si="1"/>
        <v>9</v>
      </c>
      <c r="N11" s="90" t="s">
        <v>4587</v>
      </c>
      <c r="O11" s="1143"/>
      <c r="P11" s="1382">
        <v>34000</v>
      </c>
      <c r="Q11" s="702" t="s">
        <v>3462</v>
      </c>
      <c r="R11" s="1143"/>
      <c r="S11" s="1373"/>
      <c r="T11" s="90" t="s">
        <v>4604</v>
      </c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807"/>
      <c r="G12" s="1808"/>
      <c r="H12" s="936"/>
      <c r="I12" s="1778"/>
      <c r="J12" s="1779"/>
      <c r="K12" s="958"/>
      <c r="N12" s="90" t="s">
        <v>4588</v>
      </c>
      <c r="O12" s="1143"/>
      <c r="P12" s="1382">
        <v>34000</v>
      </c>
      <c r="Q12" s="1382" t="s">
        <v>4523</v>
      </c>
      <c r="R12" s="1143"/>
      <c r="S12" s="1373"/>
      <c r="T12" s="90"/>
      <c r="U12" s="90"/>
    </row>
    <row r="13" spans="1:22" ht="24.6" customHeight="1">
      <c r="A13" s="84"/>
      <c r="B13" s="1467"/>
      <c r="C13" s="879"/>
      <c r="D13" s="265"/>
      <c r="E13" s="869"/>
      <c r="F13" s="936"/>
      <c r="G13" s="1807"/>
      <c r="H13" s="1808"/>
      <c r="I13" s="937"/>
      <c r="J13" s="1778"/>
      <c r="K13" s="1779"/>
      <c r="N13" s="90" t="s">
        <v>4588</v>
      </c>
      <c r="O13" s="1143"/>
      <c r="P13" s="1382">
        <v>34000</v>
      </c>
      <c r="Q13" s="702" t="s">
        <v>4521</v>
      </c>
      <c r="R13" s="1143"/>
      <c r="S13" s="1373"/>
      <c r="T13" s="90"/>
      <c r="U13" s="90"/>
    </row>
    <row r="14" spans="1:22" ht="24.6" customHeight="1">
      <c r="A14" s="84"/>
      <c r="B14" s="1467"/>
      <c r="C14" s="880" t="s">
        <v>991</v>
      </c>
      <c r="D14" s="265"/>
      <c r="E14" s="869"/>
      <c r="F14" s="936"/>
      <c r="G14" s="937"/>
      <c r="H14" s="937"/>
      <c r="I14" s="937"/>
      <c r="J14" s="937"/>
      <c r="K14" s="958"/>
      <c r="N14" s="90" t="s">
        <v>4588</v>
      </c>
      <c r="O14" s="1143"/>
      <c r="P14" s="1382">
        <v>34000</v>
      </c>
      <c r="Q14" s="702" t="s">
        <v>4521</v>
      </c>
      <c r="R14" s="1143"/>
      <c r="S14" s="1373"/>
      <c r="T14" s="90" t="s">
        <v>4604</v>
      </c>
    </row>
    <row r="15" spans="1:22" ht="24.6" customHeight="1">
      <c r="A15" s="84"/>
      <c r="B15" s="1467"/>
      <c r="C15" s="880"/>
      <c r="D15" s="265"/>
      <c r="E15" s="869"/>
      <c r="F15" s="936"/>
      <c r="G15" s="937"/>
      <c r="H15" s="937"/>
      <c r="I15" s="937"/>
      <c r="J15" s="937"/>
      <c r="K15" s="958"/>
      <c r="N15" s="90" t="s">
        <v>4574</v>
      </c>
      <c r="O15" s="1143"/>
      <c r="P15" s="1382">
        <v>34000</v>
      </c>
      <c r="Q15" s="702" t="s">
        <v>4596</v>
      </c>
      <c r="R15" s="1143"/>
      <c r="S15" s="1373"/>
      <c r="T15" s="90"/>
      <c r="U15" s="90"/>
    </row>
    <row r="16" spans="1:22" ht="24.6" customHeight="1">
      <c r="A16" s="84"/>
      <c r="B16" s="1398"/>
      <c r="C16" s="881" t="s">
        <v>994</v>
      </c>
      <c r="D16" s="265"/>
      <c r="E16" s="869"/>
      <c r="F16" s="936"/>
      <c r="G16" s="1352" t="s">
        <v>92</v>
      </c>
      <c r="H16" s="937"/>
      <c r="I16" s="937"/>
      <c r="J16" s="937"/>
      <c r="K16" s="958"/>
      <c r="N16" s="90" t="s">
        <v>4597</v>
      </c>
      <c r="O16" s="1143"/>
      <c r="P16" s="1382">
        <v>34000</v>
      </c>
      <c r="Q16" s="702" t="s">
        <v>4521</v>
      </c>
      <c r="R16" s="1143"/>
      <c r="S16" s="1373"/>
      <c r="T16" s="90"/>
      <c r="U16" s="90"/>
    </row>
    <row r="17" spans="1:21" ht="24.6" customHeight="1">
      <c r="A17" s="84"/>
      <c r="B17" s="84"/>
      <c r="C17" s="5"/>
      <c r="D17" s="5"/>
      <c r="E17" s="939">
        <f>K11+1</f>
        <v>10</v>
      </c>
      <c r="F17" s="940">
        <f t="shared" ref="F17:K17" si="2">E17+1</f>
        <v>11</v>
      </c>
      <c r="G17" s="941">
        <f t="shared" si="2"/>
        <v>12</v>
      </c>
      <c r="H17" s="942">
        <f t="shared" si="2"/>
        <v>13</v>
      </c>
      <c r="I17" s="943">
        <f t="shared" si="2"/>
        <v>14</v>
      </c>
      <c r="J17" s="943">
        <f t="shared" si="2"/>
        <v>15</v>
      </c>
      <c r="K17" s="959">
        <f t="shared" si="2"/>
        <v>16</v>
      </c>
      <c r="M17" s="203"/>
      <c r="N17" s="90" t="s">
        <v>4598</v>
      </c>
      <c r="O17" s="1143"/>
      <c r="P17" s="1382">
        <v>15000</v>
      </c>
      <c r="Q17" s="702" t="s">
        <v>4525</v>
      </c>
      <c r="R17" s="1143"/>
      <c r="S17" s="1373"/>
      <c r="T17" s="90"/>
    </row>
    <row r="18" spans="1:21" ht="24.6" customHeight="1">
      <c r="A18" s="84"/>
      <c r="B18" s="1467" t="s">
        <v>4690</v>
      </c>
      <c r="C18" s="879" t="s">
        <v>9</v>
      </c>
      <c r="D18" s="265"/>
      <c r="E18" s="871"/>
      <c r="F18" s="1778"/>
      <c r="G18" s="1779"/>
      <c r="H18" s="868"/>
      <c r="I18" s="1778"/>
      <c r="J18" s="1779"/>
      <c r="K18" s="868"/>
      <c r="N18" s="90" t="s">
        <v>4599</v>
      </c>
      <c r="O18" s="1143"/>
      <c r="P18" s="1382">
        <v>6000</v>
      </c>
      <c r="Q18" s="702" t="s">
        <v>3463</v>
      </c>
      <c r="R18" s="1143"/>
      <c r="S18" s="1373"/>
      <c r="T18" s="90"/>
    </row>
    <row r="19" spans="1:21" ht="24.6" customHeight="1">
      <c r="A19" s="84"/>
      <c r="B19" s="1467"/>
      <c r="C19" s="879"/>
      <c r="D19" s="265"/>
      <c r="E19" s="871"/>
      <c r="F19" s="868"/>
      <c r="G19" s="1778"/>
      <c r="H19" s="1779"/>
      <c r="I19" s="868"/>
      <c r="J19" s="1778"/>
      <c r="K19" s="1779"/>
      <c r="L19" s="84"/>
      <c r="N19" s="1418" t="s">
        <v>4724</v>
      </c>
      <c r="O19" s="1418"/>
      <c r="P19" s="1418">
        <v>34000</v>
      </c>
      <c r="Q19" s="1418"/>
      <c r="R19" s="1418"/>
      <c r="S19" s="1418"/>
      <c r="T19" s="1419" t="s">
        <v>4725</v>
      </c>
      <c r="U19" s="1419"/>
    </row>
    <row r="20" spans="1:21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871"/>
      <c r="J20" s="871"/>
      <c r="K20" s="960"/>
      <c r="L20" s="84"/>
      <c r="M20" s="84"/>
      <c r="N20" s="90" t="s">
        <v>4600</v>
      </c>
      <c r="O20" s="1143"/>
      <c r="P20" s="1382">
        <v>9000</v>
      </c>
      <c r="Q20" s="702" t="s">
        <v>3463</v>
      </c>
      <c r="R20" s="1143"/>
      <c r="S20" s="1373"/>
      <c r="T20" s="90"/>
      <c r="U20" s="90"/>
    </row>
    <row r="21" spans="1:21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871"/>
      <c r="K21" s="960"/>
      <c r="L21" s="84"/>
      <c r="M21" s="84"/>
      <c r="N21" s="90" t="s">
        <v>4541</v>
      </c>
      <c r="O21" s="1143"/>
      <c r="P21" s="1382">
        <v>4600</v>
      </c>
      <c r="Q21" s="702" t="s">
        <v>4549</v>
      </c>
      <c r="R21" s="1143"/>
      <c r="S21" s="1373"/>
      <c r="T21" s="90"/>
      <c r="U21" s="90"/>
    </row>
    <row r="22" spans="1:21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960"/>
      <c r="L22" s="84"/>
      <c r="M22" s="84"/>
      <c r="N22" s="90" t="s">
        <v>643</v>
      </c>
      <c r="O22" s="1143"/>
      <c r="P22" s="1382">
        <v>2400</v>
      </c>
      <c r="Q22" s="702" t="s">
        <v>4601</v>
      </c>
      <c r="R22" s="1143"/>
      <c r="S22" s="1373"/>
      <c r="T22" s="90"/>
      <c r="U22" s="90"/>
    </row>
    <row r="23" spans="1:21" ht="24.6" customHeight="1">
      <c r="A23" s="84"/>
      <c r="B23" s="84"/>
      <c r="C23" s="5"/>
      <c r="D23" s="5"/>
      <c r="E23" s="935">
        <f>K17+1</f>
        <v>17</v>
      </c>
      <c r="F23" s="924">
        <f t="shared" ref="F23:K23" si="3">E23+1</f>
        <v>18</v>
      </c>
      <c r="G23" s="923">
        <f t="shared" si="3"/>
        <v>19</v>
      </c>
      <c r="H23" s="924">
        <f t="shared" si="3"/>
        <v>20</v>
      </c>
      <c r="I23" s="923">
        <f t="shared" si="3"/>
        <v>21</v>
      </c>
      <c r="J23" s="923">
        <f t="shared" si="3"/>
        <v>22</v>
      </c>
      <c r="K23" s="925">
        <f t="shared" si="3"/>
        <v>23</v>
      </c>
      <c r="L23" s="84"/>
      <c r="M23" s="84"/>
      <c r="N23" s="90" t="s">
        <v>4602</v>
      </c>
      <c r="O23" s="1143"/>
      <c r="P23" s="1382">
        <v>5000</v>
      </c>
      <c r="Q23" s="702" t="s">
        <v>4549</v>
      </c>
      <c r="R23" s="1143"/>
      <c r="S23" s="1373"/>
      <c r="T23" s="90"/>
      <c r="U23" s="90"/>
    </row>
    <row r="24" spans="1:21" ht="24.6" customHeight="1">
      <c r="A24" s="84"/>
      <c r="B24" s="1467" t="s">
        <v>4690</v>
      </c>
      <c r="C24" s="879" t="s">
        <v>9</v>
      </c>
      <c r="D24" s="265"/>
      <c r="E24" s="869"/>
      <c r="F24" s="1778"/>
      <c r="G24" s="1779"/>
      <c r="H24" s="936"/>
      <c r="I24" s="1784"/>
      <c r="J24" s="1785"/>
      <c r="K24" s="958"/>
      <c r="L24" s="84"/>
      <c r="M24" s="84"/>
      <c r="N24" s="90" t="s">
        <v>4584</v>
      </c>
      <c r="O24" s="1143"/>
      <c r="P24" s="1382">
        <v>4000</v>
      </c>
      <c r="Q24" s="702" t="s">
        <v>4549</v>
      </c>
      <c r="R24" s="1143"/>
      <c r="S24" s="1373"/>
      <c r="T24" s="90"/>
      <c r="U24" s="90"/>
    </row>
    <row r="25" spans="1:21" ht="24.6" customHeight="1">
      <c r="A25" s="84"/>
      <c r="B25" s="1467"/>
      <c r="C25" s="879"/>
      <c r="D25" s="265"/>
      <c r="E25" s="869"/>
      <c r="F25" s="936"/>
      <c r="G25" s="1778"/>
      <c r="H25" s="1779"/>
      <c r="I25" s="937"/>
      <c r="J25" s="1784"/>
      <c r="K25" s="1785"/>
      <c r="L25" s="84"/>
      <c r="M25" s="84"/>
      <c r="N25" s="90" t="s">
        <v>4613</v>
      </c>
      <c r="O25" s="1143"/>
      <c r="P25" s="1382">
        <v>34000</v>
      </c>
      <c r="Q25" s="1382" t="s">
        <v>4614</v>
      </c>
      <c r="R25" s="1143"/>
      <c r="S25" s="1373"/>
      <c r="T25" s="90"/>
      <c r="U25" s="90"/>
    </row>
    <row r="26" spans="1:21" ht="24.6" customHeight="1">
      <c r="A26" s="84"/>
      <c r="B26" s="1467"/>
      <c r="C26" s="880" t="s">
        <v>991</v>
      </c>
      <c r="D26" s="265"/>
      <c r="E26" s="869"/>
      <c r="F26" s="936"/>
      <c r="G26" s="937"/>
      <c r="H26" s="936"/>
      <c r="I26" s="937"/>
      <c r="J26" s="937"/>
      <c r="K26" s="958"/>
      <c r="L26" s="84"/>
      <c r="M26" s="84"/>
      <c r="N26" s="1376"/>
      <c r="P26" s="1377"/>
      <c r="S26" s="1371"/>
      <c r="T26" s="5"/>
      <c r="U26" s="90"/>
    </row>
    <row r="27" spans="1:21" ht="24.6" customHeight="1">
      <c r="A27" s="84"/>
      <c r="B27" s="1467"/>
      <c r="C27" s="880"/>
      <c r="D27" s="265"/>
      <c r="E27" s="869"/>
      <c r="F27" s="936"/>
      <c r="G27" s="937"/>
      <c r="H27" s="936"/>
      <c r="I27" s="937"/>
      <c r="J27" s="937"/>
      <c r="K27" s="958"/>
      <c r="L27" s="84"/>
      <c r="M27" s="84"/>
      <c r="O27" s="1143"/>
      <c r="P27" s="702"/>
      <c r="Q27" s="702"/>
      <c r="R27" s="1143"/>
      <c r="S27" s="1373"/>
      <c r="T27" s="90"/>
      <c r="U27" s="90"/>
    </row>
    <row r="28" spans="1:21" ht="24" customHeight="1">
      <c r="A28" s="84"/>
      <c r="B28" s="1398"/>
      <c r="C28" s="881" t="s">
        <v>994</v>
      </c>
      <c r="D28" s="265"/>
      <c r="E28" s="870"/>
      <c r="F28" s="945"/>
      <c r="G28" s="938"/>
      <c r="H28" s="945"/>
      <c r="I28" s="1356"/>
      <c r="J28" s="938"/>
      <c r="K28" s="961"/>
      <c r="L28" s="84"/>
      <c r="M28" s="84"/>
      <c r="O28" s="1143"/>
      <c r="P28" s="702"/>
      <c r="Q28" s="702"/>
      <c r="R28" s="1143"/>
      <c r="S28" s="1373"/>
      <c r="T28" s="90"/>
      <c r="U28" s="90"/>
    </row>
    <row r="29" spans="1:21" ht="24.6" customHeight="1">
      <c r="A29" s="84"/>
      <c r="B29" s="84"/>
      <c r="C29" s="269"/>
      <c r="D29" s="265"/>
      <c r="E29" s="946">
        <f>K23+1</f>
        <v>24</v>
      </c>
      <c r="F29" s="947">
        <f>E29+1</f>
        <v>25</v>
      </c>
      <c r="G29" s="947">
        <f>F29+1</f>
        <v>26</v>
      </c>
      <c r="H29" s="947">
        <f t="shared" ref="H29:K29" si="4">G29+1</f>
        <v>27</v>
      </c>
      <c r="I29" s="947">
        <f t="shared" si="4"/>
        <v>28</v>
      </c>
      <c r="J29" s="947">
        <f t="shared" si="4"/>
        <v>29</v>
      </c>
      <c r="K29" s="984">
        <f t="shared" si="4"/>
        <v>30</v>
      </c>
      <c r="L29" s="84"/>
      <c r="M29" s="84"/>
      <c r="O29" s="1143"/>
      <c r="P29" s="702"/>
      <c r="Q29" s="702"/>
      <c r="R29" s="1143"/>
      <c r="S29" s="1373"/>
      <c r="T29" s="90"/>
      <c r="U29" s="90"/>
    </row>
    <row r="30" spans="1:21" ht="24.6" customHeight="1">
      <c r="A30" s="84"/>
      <c r="B30" s="1467" t="s">
        <v>4690</v>
      </c>
      <c r="C30" s="879" t="s">
        <v>9</v>
      </c>
      <c r="D30" s="265"/>
      <c r="E30" s="871"/>
      <c r="F30" s="868"/>
      <c r="G30" s="874"/>
      <c r="H30" s="874"/>
      <c r="I30" s="1778"/>
      <c r="J30" s="1779"/>
      <c r="K30" s="960"/>
      <c r="L30" s="84"/>
      <c r="M30" s="84"/>
      <c r="O30" s="1143"/>
      <c r="P30" s="702"/>
      <c r="Q30" s="702"/>
      <c r="R30" s="1143"/>
      <c r="S30" s="1373"/>
      <c r="T30" s="90"/>
      <c r="U30" s="90"/>
    </row>
    <row r="31" spans="1:21" ht="24.6" customHeight="1">
      <c r="A31" s="84"/>
      <c r="B31" s="1467"/>
      <c r="C31" s="879"/>
      <c r="D31" s="265"/>
      <c r="E31" s="871"/>
      <c r="F31" s="944"/>
      <c r="G31" s="1778"/>
      <c r="H31" s="1779"/>
      <c r="I31" s="871"/>
      <c r="J31" s="1778"/>
      <c r="K31" s="1779"/>
      <c r="L31" s="84"/>
      <c r="M31" s="84"/>
      <c r="O31" s="1143"/>
      <c r="P31" s="702"/>
      <c r="Q31" s="702"/>
      <c r="R31" s="1143"/>
      <c r="S31" s="1373"/>
      <c r="T31" s="90"/>
      <c r="U31" s="90"/>
    </row>
    <row r="32" spans="1:21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M32" s="84"/>
      <c r="O32" s="1143"/>
      <c r="P32" s="702"/>
      <c r="Q32" s="702"/>
      <c r="R32" s="1143"/>
      <c r="S32" s="1373"/>
      <c r="T32" s="90"/>
      <c r="U32" s="90"/>
    </row>
    <row r="33" spans="1:21" ht="24.6" customHeight="1">
      <c r="A33" s="84"/>
      <c r="B33" s="1467"/>
      <c r="C33" s="880"/>
      <c r="D33" s="265"/>
      <c r="E33" s="871"/>
      <c r="F33" s="944"/>
      <c r="G33" s="868"/>
      <c r="H33" s="874"/>
      <c r="I33" s="871"/>
      <c r="J33" s="871"/>
      <c r="K33" s="960"/>
      <c r="L33" s="84"/>
      <c r="M33" s="84"/>
      <c r="O33" s="1143"/>
      <c r="P33" s="702"/>
      <c r="Q33" s="702"/>
      <c r="R33" s="1143"/>
      <c r="S33" s="1373"/>
      <c r="T33" s="90"/>
      <c r="U33" s="90"/>
    </row>
    <row r="34" spans="1:21" ht="24.6" customHeight="1">
      <c r="A34" s="84"/>
      <c r="B34" s="1398"/>
      <c r="C34" s="881" t="s">
        <v>994</v>
      </c>
      <c r="D34" s="265"/>
      <c r="E34" s="1352" t="s">
        <v>4400</v>
      </c>
      <c r="F34" s="1352" t="s">
        <v>4391</v>
      </c>
      <c r="G34" s="964"/>
      <c r="H34" s="965"/>
      <c r="I34" s="872"/>
      <c r="J34" s="872"/>
      <c r="K34" s="966"/>
      <c r="L34" s="84"/>
      <c r="M34" s="84"/>
      <c r="O34" s="1143"/>
      <c r="P34" s="702"/>
      <c r="Q34" s="702"/>
      <c r="R34" s="1143"/>
      <c r="S34" s="1373"/>
      <c r="T34" s="90"/>
      <c r="U34" s="90"/>
    </row>
    <row r="35" spans="1:21" ht="19.149999999999999">
      <c r="O35" s="1143"/>
      <c r="P35" s="702"/>
      <c r="Q35" s="702"/>
      <c r="R35" s="1143"/>
      <c r="S35" s="1373"/>
      <c r="T35" s="90"/>
      <c r="U35" s="90"/>
    </row>
    <row r="36" spans="1:21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2" t="s">
        <v>3768</v>
      </c>
      <c r="L36" s="84"/>
      <c r="M36" s="84"/>
      <c r="O36" s="1143"/>
      <c r="P36" s="702"/>
      <c r="Q36" s="702"/>
      <c r="R36" s="1143"/>
      <c r="S36" s="1373"/>
      <c r="T36" s="90"/>
      <c r="U36" s="90"/>
    </row>
    <row r="37" spans="1:21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O37" s="1143"/>
      <c r="P37" s="702"/>
      <c r="Q37" s="702"/>
      <c r="R37" s="1143"/>
      <c r="S37" s="1373"/>
      <c r="T37" s="90"/>
      <c r="U37" s="90"/>
    </row>
    <row r="38" spans="1:21" ht="19.149999999999999">
      <c r="O38" s="1143"/>
      <c r="P38" s="702"/>
      <c r="Q38" s="702"/>
      <c r="R38" s="1143"/>
      <c r="S38" s="1373"/>
      <c r="T38" s="90"/>
      <c r="U38" s="90"/>
    </row>
    <row r="39" spans="1:21" ht="19.149999999999999">
      <c r="O39" s="1143"/>
      <c r="P39" s="702"/>
      <c r="Q39" s="702"/>
      <c r="R39" s="1143"/>
      <c r="S39" s="1373"/>
      <c r="T39" s="90"/>
      <c r="U39" s="90"/>
    </row>
    <row r="40" spans="1:21" ht="19.149999999999999">
      <c r="O40" s="1143"/>
      <c r="P40" s="702"/>
      <c r="Q40" s="702"/>
      <c r="R40" s="1143"/>
      <c r="S40" s="1373"/>
      <c r="T40" s="90"/>
      <c r="U40" s="90"/>
    </row>
    <row r="41" spans="1:21" ht="19.149999999999999">
      <c r="O41" s="1143"/>
      <c r="P41" s="702"/>
      <c r="Q41" s="702"/>
      <c r="R41" s="1143"/>
      <c r="S41" s="1373"/>
      <c r="T41" s="90"/>
      <c r="U41" s="90"/>
    </row>
    <row r="42" spans="1:21" ht="19.149999999999999">
      <c r="O42" s="1143"/>
      <c r="P42" s="702"/>
      <c r="Q42" s="702"/>
      <c r="R42" s="1143"/>
      <c r="S42" s="1373"/>
      <c r="T42" s="90"/>
      <c r="U42" s="90"/>
    </row>
    <row r="43" spans="1:21" ht="19.149999999999999">
      <c r="O43" s="1143"/>
      <c r="P43" s="702"/>
      <c r="Q43" s="702"/>
      <c r="R43" s="1143"/>
      <c r="S43" s="1373"/>
      <c r="T43" s="90"/>
      <c r="U43" s="90"/>
    </row>
    <row r="44" spans="1:21" ht="19.149999999999999">
      <c r="O44" s="1143"/>
      <c r="P44" s="702"/>
      <c r="Q44" s="702"/>
      <c r="R44" s="1143"/>
      <c r="S44" s="1373"/>
      <c r="T44" s="90"/>
      <c r="U44" s="90"/>
    </row>
    <row r="45" spans="1:21" ht="19.149999999999999">
      <c r="O45" s="1143"/>
      <c r="P45" s="702"/>
      <c r="Q45" s="702"/>
      <c r="R45" s="1143"/>
      <c r="S45" s="1373"/>
      <c r="T45" s="90"/>
      <c r="U45" s="90"/>
    </row>
    <row r="46" spans="1:21" ht="19.149999999999999">
      <c r="O46" s="1143"/>
      <c r="P46" s="702"/>
      <c r="Q46" s="702"/>
      <c r="R46" s="1143"/>
      <c r="S46" s="1373"/>
      <c r="T46" s="90"/>
      <c r="U46" s="90"/>
    </row>
  </sheetData>
  <sortState ref="N9:U21">
    <sortCondition ref="Q9:Q21"/>
  </sortState>
  <mergeCells count="27">
    <mergeCell ref="I30:J30"/>
    <mergeCell ref="J31:K31"/>
    <mergeCell ref="B6:B10"/>
    <mergeCell ref="O2:P2"/>
    <mergeCell ref="Q2:R2"/>
    <mergeCell ref="E3:G3"/>
    <mergeCell ref="H3:K3"/>
    <mergeCell ref="O3:P3"/>
    <mergeCell ref="Q3:R3"/>
    <mergeCell ref="I6:J6"/>
    <mergeCell ref="B12:B15"/>
    <mergeCell ref="F12:G12"/>
    <mergeCell ref="I12:J12"/>
    <mergeCell ref="G13:H13"/>
    <mergeCell ref="J13:K13"/>
    <mergeCell ref="I18:J18"/>
    <mergeCell ref="J19:K19"/>
    <mergeCell ref="B24:B27"/>
    <mergeCell ref="F24:G24"/>
    <mergeCell ref="I24:J24"/>
    <mergeCell ref="G25:H25"/>
    <mergeCell ref="J25:K25"/>
    <mergeCell ref="B30:B33"/>
    <mergeCell ref="G31:H31"/>
    <mergeCell ref="B18:B21"/>
    <mergeCell ref="F18:G18"/>
    <mergeCell ref="G19:H19"/>
  </mergeCells>
  <phoneticPr fontId="6" type="noConversion"/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52"/>
  <sheetViews>
    <sheetView showGridLines="0" topLeftCell="B1" zoomScale="60" zoomScaleNormal="60" workbookViewId="0">
      <selection activeCell="G36" sqref="G3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46174</v>
      </c>
      <c r="F3" s="1759"/>
      <c r="G3" s="1759"/>
      <c r="H3" s="1760" t="s">
        <v>10</v>
      </c>
      <c r="I3" s="1717"/>
      <c r="J3" s="1717"/>
      <c r="K3" s="1717"/>
      <c r="N3" s="989">
        <f>SUMIF($Q$8:$Q$51,"F",$P$8:$P$51)</f>
        <v>238000</v>
      </c>
      <c r="O3" s="1715">
        <f ca="1">SUMIF($Q$7:$Q$52,"S",$P$7:$P$51)</f>
        <v>120300</v>
      </c>
      <c r="P3" s="1715"/>
      <c r="Q3" s="1706">
        <f ca="1">N3+O3</f>
        <v>358300</v>
      </c>
      <c r="R3" s="1707"/>
      <c r="S3" s="1380">
        <f ca="1">400000-Q3</f>
        <v>41700</v>
      </c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1381">
        <f ca="1">S3/34000</f>
        <v>1.2264705882352942</v>
      </c>
    </row>
    <row r="5" spans="1:22" s="5" customFormat="1" ht="24.6" customHeight="1">
      <c r="E5" s="973"/>
      <c r="F5" s="941">
        <v>1</v>
      </c>
      <c r="G5" s="941">
        <f t="shared" ref="G5" si="0">F5+1</f>
        <v>2</v>
      </c>
      <c r="H5" s="941">
        <f t="shared" ref="H5:K5" si="1">G5+1</f>
        <v>3</v>
      </c>
      <c r="I5" s="941">
        <f t="shared" si="1"/>
        <v>4</v>
      </c>
      <c r="J5" s="941">
        <f t="shared" si="1"/>
        <v>5</v>
      </c>
      <c r="K5" s="957">
        <f t="shared" si="1"/>
        <v>6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1778"/>
      <c r="G6" s="1779"/>
      <c r="H6" s="868"/>
      <c r="I6" s="1778"/>
      <c r="J6" s="1779"/>
      <c r="K6" s="868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1778"/>
      <c r="H7" s="1779"/>
      <c r="I7" s="868"/>
      <c r="J7" s="868"/>
      <c r="K7" s="957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7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90" t="s">
        <v>4531</v>
      </c>
      <c r="O9" s="1143"/>
      <c r="P9" s="1382">
        <v>34000</v>
      </c>
      <c r="Q9" s="1382" t="s">
        <v>3462</v>
      </c>
      <c r="R9" s="1143"/>
      <c r="S9" s="1373"/>
      <c r="T9" s="90"/>
      <c r="U9" s="90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8"/>
      <c r="G10" s="868"/>
      <c r="H10" s="1352" t="s">
        <v>4392</v>
      </c>
      <c r="I10" s="868"/>
      <c r="J10" s="868"/>
      <c r="K10" s="1352" t="s">
        <v>4393</v>
      </c>
      <c r="L10" s="90"/>
      <c r="M10" s="90"/>
      <c r="N10" s="90" t="s">
        <v>4612</v>
      </c>
      <c r="O10" s="1143"/>
      <c r="P10" s="1382">
        <v>34000</v>
      </c>
      <c r="Q10" s="702" t="s">
        <v>4521</v>
      </c>
      <c r="R10" s="1143"/>
      <c r="S10" s="1373"/>
      <c r="T10" s="90"/>
      <c r="U10" s="90"/>
    </row>
    <row r="11" spans="1:22" ht="24.6" customHeight="1">
      <c r="A11" s="84"/>
      <c r="B11" s="84"/>
      <c r="C11" s="5"/>
      <c r="D11" s="5"/>
      <c r="E11" s="935">
        <f>K5+1</f>
        <v>7</v>
      </c>
      <c r="F11" s="924">
        <f t="shared" ref="F11:K11" si="2">E11+1</f>
        <v>8</v>
      </c>
      <c r="G11" s="923">
        <f t="shared" si="2"/>
        <v>9</v>
      </c>
      <c r="H11" s="924">
        <f t="shared" si="2"/>
        <v>10</v>
      </c>
      <c r="I11" s="923">
        <f t="shared" si="2"/>
        <v>11</v>
      </c>
      <c r="J11" s="923">
        <f t="shared" si="2"/>
        <v>12</v>
      </c>
      <c r="K11" s="925">
        <f t="shared" si="2"/>
        <v>13</v>
      </c>
      <c r="N11" s="90" t="s">
        <v>4554</v>
      </c>
      <c r="O11" s="1143"/>
      <c r="P11" s="1382">
        <v>34000</v>
      </c>
      <c r="Q11" s="702" t="s">
        <v>4521</v>
      </c>
      <c r="R11" s="1143"/>
      <c r="S11" s="1373"/>
      <c r="T11" s="90"/>
      <c r="U11" s="90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78"/>
      <c r="G12" s="1779"/>
      <c r="H12" s="936"/>
      <c r="I12" s="1778"/>
      <c r="J12" s="1779"/>
      <c r="K12" s="958"/>
      <c r="N12" s="90" t="s">
        <v>4554</v>
      </c>
      <c r="O12" s="1143"/>
      <c r="P12" s="1382">
        <v>34000</v>
      </c>
      <c r="Q12" s="1382" t="s">
        <v>4521</v>
      </c>
      <c r="R12" s="1143"/>
      <c r="S12" s="1373"/>
      <c r="T12" s="90"/>
      <c r="U12" s="90"/>
    </row>
    <row r="13" spans="1:22" ht="24.6" customHeight="1">
      <c r="A13" s="84"/>
      <c r="B13" s="1467"/>
      <c r="C13" s="879"/>
      <c r="D13" s="265"/>
      <c r="E13" s="869"/>
      <c r="F13" s="936"/>
      <c r="G13" s="1778"/>
      <c r="H13" s="1779"/>
      <c r="I13" s="937"/>
      <c r="J13" s="1778"/>
      <c r="K13" s="1779"/>
      <c r="N13" s="90" t="s">
        <v>4554</v>
      </c>
      <c r="O13" s="1143"/>
      <c r="P13" s="1382">
        <v>34000</v>
      </c>
      <c r="Q13" s="702" t="s">
        <v>4614</v>
      </c>
      <c r="R13" s="1143"/>
      <c r="S13" s="1373"/>
      <c r="T13" s="90"/>
      <c r="U13" s="90"/>
    </row>
    <row r="14" spans="1:22" ht="24.6" customHeight="1">
      <c r="A14" s="84"/>
      <c r="B14" s="1467"/>
      <c r="C14" s="880" t="s">
        <v>991</v>
      </c>
      <c r="D14" s="265"/>
      <c r="E14" s="869"/>
      <c r="F14" s="936"/>
      <c r="G14" s="937"/>
      <c r="H14" s="937"/>
      <c r="I14" s="937"/>
      <c r="J14" s="937"/>
      <c r="K14" s="958"/>
      <c r="N14" s="90" t="s">
        <v>4605</v>
      </c>
      <c r="O14" s="1143"/>
      <c r="P14" s="1382">
        <v>9000</v>
      </c>
      <c r="Q14" s="1382" t="s">
        <v>3463</v>
      </c>
      <c r="R14" s="1143"/>
      <c r="S14" s="1373"/>
      <c r="T14" s="90"/>
      <c r="U14" s="90"/>
      <c r="V14" s="1277"/>
    </row>
    <row r="15" spans="1:22" ht="24.6" customHeight="1">
      <c r="A15" s="84"/>
      <c r="B15" s="1467"/>
      <c r="C15" s="880"/>
      <c r="D15" s="265"/>
      <c r="E15" s="869"/>
      <c r="F15" s="936"/>
      <c r="G15" s="937"/>
      <c r="H15" s="937"/>
      <c r="I15" s="937"/>
      <c r="J15" s="937"/>
      <c r="K15" s="958"/>
      <c r="N15" s="90" t="s">
        <v>4558</v>
      </c>
      <c r="O15" s="1143"/>
      <c r="P15" s="1382">
        <v>6000</v>
      </c>
      <c r="Q15" s="702" t="s">
        <v>4606</v>
      </c>
      <c r="R15" s="1143"/>
      <c r="S15" s="1373"/>
      <c r="T15" s="90"/>
      <c r="U15" s="90"/>
      <c r="V15" s="1277"/>
    </row>
    <row r="16" spans="1:22" ht="24.6" customHeight="1">
      <c r="A16" s="84"/>
      <c r="B16" s="1398"/>
      <c r="C16" s="881" t="s">
        <v>994</v>
      </c>
      <c r="D16" s="265"/>
      <c r="E16" s="869"/>
      <c r="F16" s="936"/>
      <c r="G16" s="938"/>
      <c r="H16" s="937"/>
      <c r="I16" s="937"/>
      <c r="J16" s="937"/>
      <c r="K16" s="958"/>
      <c r="N16" s="90" t="s">
        <v>4559</v>
      </c>
      <c r="O16" s="1143"/>
      <c r="P16" s="1382">
        <v>12000</v>
      </c>
      <c r="Q16" s="1382" t="s">
        <v>4606</v>
      </c>
      <c r="R16" s="1143"/>
      <c r="S16" s="1373"/>
      <c r="T16" s="90"/>
      <c r="U16" s="90"/>
    </row>
    <row r="17" spans="1:22" ht="24.6" customHeight="1">
      <c r="A17" s="84"/>
      <c r="B17" s="84"/>
      <c r="C17" s="5"/>
      <c r="D17" s="5"/>
      <c r="E17" s="939">
        <f>K11+1</f>
        <v>14</v>
      </c>
      <c r="F17" s="940">
        <f t="shared" ref="F17:K17" si="3">E17+1</f>
        <v>15</v>
      </c>
      <c r="G17" s="941">
        <f t="shared" si="3"/>
        <v>16</v>
      </c>
      <c r="H17" s="942">
        <f t="shared" si="3"/>
        <v>17</v>
      </c>
      <c r="I17" s="943">
        <f t="shared" si="3"/>
        <v>18</v>
      </c>
      <c r="J17" s="943">
        <f t="shared" si="3"/>
        <v>19</v>
      </c>
      <c r="K17" s="959">
        <f t="shared" si="3"/>
        <v>20</v>
      </c>
      <c r="M17" s="203"/>
      <c r="N17" s="90" t="s">
        <v>4581</v>
      </c>
      <c r="O17" s="1143"/>
      <c r="P17" s="1382">
        <v>28800</v>
      </c>
      <c r="Q17" s="1382" t="s">
        <v>4606</v>
      </c>
      <c r="R17" s="1143"/>
      <c r="S17" s="1373"/>
      <c r="T17" s="90"/>
      <c r="U17" s="90"/>
    </row>
    <row r="18" spans="1:22" ht="24.6" customHeight="1">
      <c r="A18" s="84"/>
      <c r="B18" s="1467" t="s">
        <v>4690</v>
      </c>
      <c r="C18" s="879" t="s">
        <v>9</v>
      </c>
      <c r="D18" s="265"/>
      <c r="E18" s="871"/>
      <c r="F18" s="1778"/>
      <c r="G18" s="1779"/>
      <c r="H18" s="868"/>
      <c r="I18" s="1778"/>
      <c r="J18" s="1779"/>
      <c r="K18" s="868"/>
      <c r="N18" s="90" t="s">
        <v>4607</v>
      </c>
      <c r="O18" s="1143"/>
      <c r="P18" s="1382">
        <v>24000</v>
      </c>
      <c r="Q18" s="702" t="s">
        <v>4606</v>
      </c>
      <c r="R18" s="1143"/>
      <c r="S18" s="1373"/>
      <c r="T18" s="90"/>
      <c r="U18" s="90"/>
    </row>
    <row r="19" spans="1:22" ht="24.6" customHeight="1">
      <c r="A19" s="84"/>
      <c r="B19" s="1467"/>
      <c r="C19" s="879"/>
      <c r="D19" s="265"/>
      <c r="E19" s="871"/>
      <c r="F19" s="868"/>
      <c r="G19" s="1778"/>
      <c r="H19" s="1779"/>
      <c r="I19" s="868"/>
      <c r="J19" s="1778"/>
      <c r="K19" s="1779"/>
      <c r="L19" s="84"/>
      <c r="M19" s="84"/>
      <c r="N19" s="90" t="s">
        <v>4608</v>
      </c>
      <c r="O19" s="1143"/>
      <c r="P19" s="1382">
        <v>12000</v>
      </c>
      <c r="Q19" s="702" t="s">
        <v>4549</v>
      </c>
      <c r="R19" s="1143"/>
      <c r="S19" s="1373"/>
      <c r="T19" s="90"/>
      <c r="U19" s="90"/>
    </row>
    <row r="20" spans="1:22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871"/>
      <c r="J20" s="871"/>
      <c r="K20" s="960"/>
      <c r="L20" s="84"/>
      <c r="M20" s="84"/>
      <c r="N20" s="90" t="s">
        <v>4609</v>
      </c>
      <c r="O20" s="1143"/>
      <c r="P20" s="1382">
        <v>4000</v>
      </c>
      <c r="Q20" s="1382" t="s">
        <v>4549</v>
      </c>
      <c r="R20" s="1143"/>
      <c r="S20" s="1373"/>
      <c r="T20" s="90"/>
      <c r="U20" s="90"/>
    </row>
    <row r="21" spans="1:22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871"/>
      <c r="K21" s="960"/>
      <c r="L21" s="84"/>
      <c r="M21" s="84"/>
      <c r="N21" s="90" t="s">
        <v>4582</v>
      </c>
      <c r="O21" s="1143"/>
      <c r="P21" s="1382">
        <v>7200</v>
      </c>
      <c r="Q21" s="702" t="s">
        <v>4549</v>
      </c>
      <c r="R21" s="1143"/>
      <c r="S21" s="1373"/>
      <c r="T21" s="90"/>
      <c r="U21" s="90"/>
    </row>
    <row r="22" spans="1:22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960"/>
      <c r="L22" s="84"/>
      <c r="M22" s="84"/>
      <c r="N22" s="90" t="s">
        <v>4610</v>
      </c>
      <c r="O22" s="1143"/>
      <c r="P22" s="1382">
        <v>2400</v>
      </c>
      <c r="Q22" s="702" t="s">
        <v>3463</v>
      </c>
      <c r="R22" s="1143"/>
      <c r="S22" s="1373"/>
      <c r="T22" s="90"/>
      <c r="U22" s="90"/>
    </row>
    <row r="23" spans="1:22" ht="24.6" customHeight="1">
      <c r="A23" s="84"/>
      <c r="B23" s="84"/>
      <c r="C23" s="5"/>
      <c r="D23" s="5"/>
      <c r="E23" s="935">
        <f>K17+1</f>
        <v>21</v>
      </c>
      <c r="F23" s="924">
        <f t="shared" ref="F23:K23" si="4">E23+1</f>
        <v>22</v>
      </c>
      <c r="G23" s="923">
        <f t="shared" si="4"/>
        <v>23</v>
      </c>
      <c r="H23" s="924">
        <f t="shared" si="4"/>
        <v>24</v>
      </c>
      <c r="I23" s="923">
        <f t="shared" si="4"/>
        <v>25</v>
      </c>
      <c r="J23" s="923">
        <f t="shared" si="4"/>
        <v>26</v>
      </c>
      <c r="K23" s="925">
        <f t="shared" si="4"/>
        <v>27</v>
      </c>
      <c r="L23" s="84"/>
      <c r="M23" s="84"/>
      <c r="N23" s="90" t="s">
        <v>4611</v>
      </c>
      <c r="O23" s="1143"/>
      <c r="P23" s="1382">
        <v>4000</v>
      </c>
      <c r="Q23" s="702" t="s">
        <v>3463</v>
      </c>
      <c r="R23" s="1143"/>
      <c r="S23" s="1373"/>
      <c r="T23" s="90"/>
      <c r="U23" s="90"/>
    </row>
    <row r="24" spans="1:22" ht="24.6" customHeight="1">
      <c r="A24" s="84"/>
      <c r="B24" s="1467" t="s">
        <v>4690</v>
      </c>
      <c r="C24" s="879" t="s">
        <v>9</v>
      </c>
      <c r="D24" s="265"/>
      <c r="E24" s="869"/>
      <c r="F24" s="1778"/>
      <c r="G24" s="1779"/>
      <c r="H24" s="936"/>
      <c r="I24" s="1784"/>
      <c r="J24" s="1785"/>
      <c r="K24" s="958"/>
      <c r="L24" s="84"/>
      <c r="M24" s="84"/>
      <c r="N24" s="90" t="s">
        <v>4543</v>
      </c>
      <c r="O24" s="1143"/>
      <c r="P24" s="1382">
        <v>2500</v>
      </c>
      <c r="Q24" s="1382" t="s">
        <v>4549</v>
      </c>
      <c r="R24" s="1143"/>
      <c r="S24" s="1373"/>
      <c r="T24" s="90"/>
      <c r="U24" s="90"/>
    </row>
    <row r="25" spans="1:22" ht="24.6" customHeight="1">
      <c r="A25" s="84"/>
      <c r="B25" s="1467"/>
      <c r="C25" s="879"/>
      <c r="D25" s="265"/>
      <c r="E25" s="869"/>
      <c r="F25" s="936"/>
      <c r="G25" s="1778"/>
      <c r="H25" s="1779"/>
      <c r="I25" s="937"/>
      <c r="J25" s="1784"/>
      <c r="K25" s="1785"/>
      <c r="L25" s="84"/>
      <c r="M25" s="84"/>
      <c r="N25" s="90" t="s">
        <v>4583</v>
      </c>
      <c r="O25" s="1143"/>
      <c r="P25" s="1382">
        <v>3400</v>
      </c>
      <c r="Q25" s="702" t="s">
        <v>3463</v>
      </c>
      <c r="R25" s="1143"/>
      <c r="S25" s="1373"/>
      <c r="T25" s="90"/>
      <c r="U25" s="90"/>
    </row>
    <row r="26" spans="1:22" ht="24.6" customHeight="1">
      <c r="A26" s="84"/>
      <c r="B26" s="1467"/>
      <c r="C26" s="880" t="s">
        <v>991</v>
      </c>
      <c r="D26" s="265"/>
      <c r="E26" s="869"/>
      <c r="F26" s="936"/>
      <c r="G26" s="937"/>
      <c r="H26" s="936"/>
      <c r="I26" s="937"/>
      <c r="J26" s="937"/>
      <c r="K26" s="958"/>
      <c r="L26" s="84"/>
      <c r="M26" s="84"/>
      <c r="N26" s="90" t="s">
        <v>4567</v>
      </c>
      <c r="O26" s="1143"/>
      <c r="P26" s="1382">
        <v>5000</v>
      </c>
      <c r="Q26" s="1382" t="s">
        <v>4549</v>
      </c>
      <c r="R26" s="1143"/>
      <c r="S26" s="1373"/>
      <c r="T26" s="90"/>
      <c r="U26" s="90"/>
    </row>
    <row r="27" spans="1:22" ht="24.6" customHeight="1">
      <c r="A27" s="84"/>
      <c r="B27" s="1467"/>
      <c r="C27" s="880"/>
      <c r="D27" s="265"/>
      <c r="E27" s="869"/>
      <c r="F27" s="936"/>
      <c r="G27" s="937"/>
      <c r="H27" s="936"/>
      <c r="I27" s="937"/>
      <c r="J27" s="937"/>
      <c r="K27" s="958"/>
      <c r="L27" s="84"/>
      <c r="M27" s="84"/>
      <c r="N27" s="90" t="s">
        <v>4588</v>
      </c>
      <c r="O27" s="1143"/>
      <c r="P27" s="800">
        <v>34000</v>
      </c>
      <c r="Q27" s="800" t="s">
        <v>4523</v>
      </c>
      <c r="R27" s="1143"/>
      <c r="S27" s="1373"/>
      <c r="T27" s="90"/>
      <c r="U27" s="90"/>
      <c r="V27" s="1143"/>
    </row>
    <row r="28" spans="1:22" ht="24" customHeight="1">
      <c r="A28" s="84"/>
      <c r="B28" s="1398"/>
      <c r="C28" s="881" t="s">
        <v>994</v>
      </c>
      <c r="D28" s="265"/>
      <c r="E28" s="870"/>
      <c r="F28" s="945"/>
      <c r="G28" s="938"/>
      <c r="H28" s="945"/>
      <c r="I28" s="1356"/>
      <c r="J28" s="938"/>
      <c r="K28" s="961"/>
      <c r="L28" s="84"/>
      <c r="M28" s="84"/>
      <c r="N28" s="90" t="s">
        <v>4802</v>
      </c>
      <c r="O28" s="1143"/>
      <c r="P28" s="800">
        <v>34000</v>
      </c>
      <c r="Q28" s="800" t="s">
        <v>4523</v>
      </c>
      <c r="R28" s="1143"/>
      <c r="S28" s="1373"/>
      <c r="T28" s="90"/>
      <c r="U28" s="90"/>
      <c r="V28" s="1143"/>
    </row>
    <row r="29" spans="1:22" ht="24.6" customHeight="1">
      <c r="A29" s="84"/>
      <c r="B29" s="84"/>
      <c r="C29" s="269"/>
      <c r="D29" s="265"/>
      <c r="E29" s="946">
        <f>K23+1</f>
        <v>28</v>
      </c>
      <c r="F29" s="947">
        <f>E29+1</f>
        <v>29</v>
      </c>
      <c r="G29" s="947">
        <f>F29+1</f>
        <v>30</v>
      </c>
      <c r="H29" s="947"/>
      <c r="I29" s="947"/>
      <c r="J29" s="947"/>
      <c r="K29" s="984"/>
      <c r="L29" s="84"/>
      <c r="M29" s="84"/>
      <c r="O29" s="1143"/>
      <c r="P29" s="1382"/>
      <c r="Q29" s="702"/>
      <c r="R29" s="1143"/>
      <c r="S29" s="1373"/>
      <c r="T29" s="90"/>
      <c r="U29" s="90"/>
    </row>
    <row r="30" spans="1:22" ht="24.6" customHeight="1">
      <c r="A30" s="84"/>
      <c r="B30" s="1467" t="s">
        <v>4690</v>
      </c>
      <c r="C30" s="879" t="s">
        <v>9</v>
      </c>
      <c r="D30" s="265"/>
      <c r="E30" s="871"/>
      <c r="F30" s="1778"/>
      <c r="G30" s="1779"/>
      <c r="H30" s="874"/>
      <c r="I30" s="871"/>
      <c r="J30" s="871"/>
      <c r="K30" s="960"/>
      <c r="L30" s="84"/>
      <c r="M30" s="84"/>
      <c r="O30" s="1143"/>
      <c r="P30" s="1382"/>
      <c r="Q30" s="702"/>
      <c r="R30" s="1143"/>
      <c r="S30" s="1373"/>
      <c r="T30" s="90"/>
      <c r="U30" s="90"/>
    </row>
    <row r="31" spans="1:22" ht="24.6" customHeight="1">
      <c r="A31" s="84"/>
      <c r="B31" s="1467"/>
      <c r="C31" s="879"/>
      <c r="D31" s="265"/>
      <c r="E31" s="871"/>
      <c r="F31" s="944"/>
      <c r="G31" s="1778"/>
      <c r="H31" s="1779"/>
      <c r="I31" s="871"/>
      <c r="J31" s="871"/>
      <c r="K31" s="960"/>
      <c r="L31" s="84"/>
      <c r="M31" s="84"/>
      <c r="O31" s="1143"/>
      <c r="P31" s="1382"/>
      <c r="Q31" s="1382"/>
      <c r="R31" s="1143"/>
      <c r="S31" s="1373"/>
      <c r="T31" s="90"/>
      <c r="U31" s="90"/>
    </row>
    <row r="32" spans="1:22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M32" s="84"/>
      <c r="O32" s="1143"/>
      <c r="P32" s="1382"/>
      <c r="Q32" s="702"/>
      <c r="R32" s="1143"/>
      <c r="S32" s="1373"/>
      <c r="T32" s="90"/>
      <c r="U32" s="90"/>
    </row>
    <row r="33" spans="1:21" ht="24.6" customHeight="1">
      <c r="A33" s="84"/>
      <c r="B33" s="1467"/>
      <c r="C33" s="880"/>
      <c r="D33" s="265"/>
      <c r="E33" s="871"/>
      <c r="F33" s="944"/>
      <c r="G33" s="868"/>
      <c r="H33" s="874"/>
      <c r="I33" s="871"/>
      <c r="J33" s="871"/>
      <c r="K33" s="960"/>
      <c r="L33" s="84"/>
      <c r="M33" s="84"/>
      <c r="O33" s="1143"/>
      <c r="P33" s="1382"/>
      <c r="Q33" s="1382"/>
      <c r="R33" s="1143"/>
      <c r="S33" s="1373"/>
      <c r="T33" s="90"/>
      <c r="U33" s="90"/>
    </row>
    <row r="34" spans="1:21" ht="24.6" customHeight="1">
      <c r="A34" s="84"/>
      <c r="B34" s="1398"/>
      <c r="C34" s="881" t="s">
        <v>994</v>
      </c>
      <c r="D34" s="265"/>
      <c r="E34" s="872"/>
      <c r="F34" s="1352" t="s">
        <v>4391</v>
      </c>
      <c r="G34" s="964"/>
      <c r="H34" s="965"/>
      <c r="I34" s="872"/>
      <c r="J34" s="872"/>
      <c r="K34" s="966"/>
      <c r="L34" s="84"/>
      <c r="M34" s="84"/>
      <c r="O34" s="1143"/>
      <c r="P34" s="1382"/>
      <c r="Q34" s="702"/>
      <c r="R34" s="1143"/>
      <c r="S34" s="1373"/>
      <c r="T34" s="90"/>
      <c r="U34" s="90"/>
    </row>
    <row r="35" spans="1:21" ht="19.149999999999999">
      <c r="O35" s="1143"/>
      <c r="P35" s="1382"/>
      <c r="Q35" s="1382"/>
      <c r="R35" s="1143"/>
      <c r="S35" s="1373"/>
      <c r="T35" s="90"/>
      <c r="U35" s="90"/>
    </row>
    <row r="36" spans="1:21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2" t="s">
        <v>3768</v>
      </c>
      <c r="L36" s="84"/>
      <c r="M36" s="84"/>
      <c r="O36" s="1143"/>
      <c r="P36" s="1382"/>
      <c r="Q36" s="702"/>
      <c r="R36" s="1143"/>
      <c r="S36" s="1373"/>
      <c r="T36" s="90"/>
      <c r="U36" s="90"/>
    </row>
    <row r="37" spans="1:21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O37" s="1143"/>
      <c r="P37" s="1382"/>
      <c r="Q37" s="1382"/>
      <c r="R37" s="1143"/>
      <c r="S37" s="1373"/>
      <c r="T37" s="90"/>
      <c r="U37" s="90"/>
    </row>
    <row r="38" spans="1:21" ht="19.149999999999999">
      <c r="O38" s="1143"/>
      <c r="P38" s="1382"/>
      <c r="Q38" s="1382"/>
      <c r="R38" s="1143"/>
      <c r="S38" s="1373"/>
      <c r="T38" s="90"/>
      <c r="U38" s="90"/>
    </row>
    <row r="39" spans="1:21" ht="19.149999999999999">
      <c r="O39" s="1143"/>
      <c r="P39" s="1382"/>
      <c r="Q39" s="1382"/>
      <c r="R39" s="1143"/>
      <c r="S39" s="1373"/>
      <c r="T39" s="90"/>
      <c r="U39" s="90"/>
    </row>
    <row r="40" spans="1:21" ht="19.149999999999999">
      <c r="O40" s="1143"/>
      <c r="P40" s="1382"/>
      <c r="Q40" s="702"/>
      <c r="R40" s="1143"/>
      <c r="S40" s="1373"/>
      <c r="T40" s="90"/>
      <c r="U40" s="90"/>
    </row>
    <row r="41" spans="1:21" ht="19.149999999999999">
      <c r="O41" s="1143"/>
      <c r="P41" s="1382"/>
      <c r="Q41" s="1382"/>
      <c r="R41" s="1143"/>
      <c r="S41" s="1373"/>
      <c r="T41" s="90"/>
      <c r="U41" s="90"/>
    </row>
    <row r="42" spans="1:21" ht="19.149999999999999">
      <c r="O42" s="1143"/>
      <c r="P42" s="1382"/>
      <c r="Q42" s="702"/>
      <c r="R42" s="1143"/>
      <c r="S42" s="1373"/>
      <c r="T42" s="90"/>
      <c r="U42" s="90"/>
    </row>
    <row r="43" spans="1:21" ht="19.149999999999999">
      <c r="O43" s="1143"/>
      <c r="P43" s="1382"/>
      <c r="Q43" s="1382"/>
      <c r="R43" s="1143"/>
      <c r="S43" s="1373"/>
      <c r="T43" s="90"/>
      <c r="U43" s="90"/>
    </row>
    <row r="44" spans="1:21" ht="19.149999999999999">
      <c r="O44" s="1143"/>
      <c r="P44" s="1382"/>
      <c r="Q44" s="1382"/>
      <c r="R44" s="1143"/>
      <c r="S44" s="1373"/>
      <c r="T44" s="90"/>
      <c r="U44" s="90"/>
    </row>
    <row r="45" spans="1:21" ht="19.149999999999999">
      <c r="O45" s="1143"/>
      <c r="P45" s="1382"/>
      <c r="Q45" s="702"/>
      <c r="R45" s="1143"/>
      <c r="S45" s="1373"/>
      <c r="T45" s="90"/>
      <c r="U45" s="90"/>
    </row>
    <row r="46" spans="1:21" ht="19.149999999999999">
      <c r="O46" s="1143"/>
      <c r="P46" s="1382"/>
      <c r="Q46" s="702"/>
      <c r="R46" s="1143"/>
      <c r="S46" s="1373"/>
      <c r="T46" s="90"/>
      <c r="U46" s="90"/>
    </row>
    <row r="47" spans="1:21" ht="19.149999999999999">
      <c r="O47" s="1143"/>
      <c r="P47" s="1382"/>
      <c r="Q47" s="1382"/>
      <c r="R47" s="1143"/>
      <c r="S47" s="1373"/>
      <c r="T47" s="90"/>
      <c r="U47" s="90"/>
    </row>
    <row r="48" spans="1:21" ht="19.149999999999999">
      <c r="O48" s="1143"/>
      <c r="P48" s="1382"/>
      <c r="Q48" s="702"/>
      <c r="R48" s="1143"/>
      <c r="S48" s="1373"/>
      <c r="T48" s="90"/>
      <c r="U48" s="90"/>
    </row>
    <row r="49" spans="15:21" ht="19.149999999999999">
      <c r="O49" s="1143"/>
      <c r="P49" s="1382"/>
      <c r="Q49" s="1382"/>
      <c r="R49" s="1143"/>
      <c r="S49" s="1373"/>
      <c r="T49" s="90"/>
      <c r="U49" s="90"/>
    </row>
    <row r="50" spans="15:21" ht="19.149999999999999">
      <c r="O50" s="1143"/>
      <c r="P50" s="1382"/>
      <c r="Q50" s="702"/>
      <c r="R50" s="1143"/>
      <c r="S50" s="1373"/>
      <c r="T50" s="90"/>
      <c r="U50" s="90"/>
    </row>
    <row r="51" spans="15:21" ht="19.149999999999999">
      <c r="O51" s="1143"/>
      <c r="P51" s="1382"/>
      <c r="Q51" s="1382"/>
      <c r="R51" s="1143"/>
      <c r="S51" s="1373"/>
      <c r="T51" s="90"/>
      <c r="U51" s="90"/>
    </row>
    <row r="52" spans="15:21" ht="19.149999999999999">
      <c r="O52" s="1143"/>
      <c r="P52" s="1382"/>
      <c r="Q52" s="702"/>
      <c r="R52" s="1143"/>
      <c r="S52" s="1373"/>
      <c r="T52" s="90"/>
      <c r="U52" s="90"/>
    </row>
  </sheetData>
  <autoFilter ref="N7:T28"/>
  <sortState ref="N9:U47">
    <sortCondition ref="Q9:Q47"/>
  </sortState>
  <mergeCells count="28">
    <mergeCell ref="O2:P2"/>
    <mergeCell ref="Q2:R2"/>
    <mergeCell ref="E3:G3"/>
    <mergeCell ref="H3:K3"/>
    <mergeCell ref="O3:P3"/>
    <mergeCell ref="Q3:R3"/>
    <mergeCell ref="I6:J6"/>
    <mergeCell ref="B12:B15"/>
    <mergeCell ref="F12:G12"/>
    <mergeCell ref="I12:J12"/>
    <mergeCell ref="G13:H13"/>
    <mergeCell ref="J13:K13"/>
    <mergeCell ref="F6:G6"/>
    <mergeCell ref="G7:H7"/>
    <mergeCell ref="B6:B10"/>
    <mergeCell ref="I18:J18"/>
    <mergeCell ref="G19:H19"/>
    <mergeCell ref="J19:K19"/>
    <mergeCell ref="B24:B27"/>
    <mergeCell ref="F24:G24"/>
    <mergeCell ref="I24:J24"/>
    <mergeCell ref="G25:H25"/>
    <mergeCell ref="J25:K25"/>
    <mergeCell ref="B30:B33"/>
    <mergeCell ref="F30:G30"/>
    <mergeCell ref="G31:H31"/>
    <mergeCell ref="B18:B21"/>
    <mergeCell ref="F18:G18"/>
  </mergeCells>
  <phoneticPr fontId="6" type="noConversion"/>
  <pageMargins left="0.7" right="0.7" top="0.75" bottom="0.75" header="0.3" footer="0.3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52"/>
  <sheetViews>
    <sheetView showGridLines="0" topLeftCell="E1" zoomScale="55" zoomScaleNormal="55" workbookViewId="0">
      <selection activeCell="N35" sqref="N35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46204</v>
      </c>
      <c r="F3" s="1759"/>
      <c r="G3" s="1759"/>
      <c r="H3" s="1760" t="s">
        <v>10</v>
      </c>
      <c r="I3" s="1717"/>
      <c r="J3" s="1717"/>
      <c r="K3" s="1717"/>
      <c r="N3" s="989">
        <f>SUMIF($Q$8:$Q$65,"F",$P$8:$P$65)</f>
        <v>306000</v>
      </c>
      <c r="O3" s="1715">
        <f>SUMIF($Q$7:$Q$63,"S",$P$7:$P$63)</f>
        <v>74900</v>
      </c>
      <c r="P3" s="1715"/>
      <c r="Q3" s="1706">
        <f>N3+O3</f>
        <v>380900</v>
      </c>
      <c r="R3" s="1707"/>
      <c r="S3" s="1380">
        <f>400000-Q3</f>
        <v>19100</v>
      </c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1381">
        <f>S3/34000</f>
        <v>0.56176470588235294</v>
      </c>
    </row>
    <row r="5" spans="1:22" s="5" customFormat="1" ht="24.6" customHeight="1">
      <c r="E5" s="973"/>
      <c r="F5" s="941"/>
      <c r="G5" s="941"/>
      <c r="H5" s="941">
        <v>1</v>
      </c>
      <c r="I5" s="941">
        <f t="shared" ref="I5:K5" si="0">H5+1</f>
        <v>2</v>
      </c>
      <c r="J5" s="941">
        <f t="shared" si="0"/>
        <v>3</v>
      </c>
      <c r="K5" s="957">
        <f t="shared" si="0"/>
        <v>4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868"/>
      <c r="G6" s="868"/>
      <c r="H6" s="868"/>
      <c r="I6" s="1778"/>
      <c r="J6" s="1779"/>
      <c r="K6" s="868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1778"/>
      <c r="H7" s="1779"/>
      <c r="I7" s="868"/>
      <c r="J7" s="1778"/>
      <c r="K7" s="1779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7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90" t="s">
        <v>4618</v>
      </c>
      <c r="O9" s="1143"/>
      <c r="P9" s="800">
        <v>34000</v>
      </c>
      <c r="Q9" s="90" t="s">
        <v>4526</v>
      </c>
      <c r="R9" s="1384"/>
      <c r="S9" s="1373"/>
      <c r="T9" s="90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8"/>
      <c r="G10" s="868"/>
      <c r="H10" s="868"/>
      <c r="I10" s="868"/>
      <c r="J10" s="868"/>
      <c r="K10" s="868"/>
      <c r="L10" s="90"/>
      <c r="M10" s="90"/>
      <c r="N10" s="90" t="s">
        <v>4619</v>
      </c>
      <c r="O10" s="1143"/>
      <c r="P10" s="800">
        <v>34000</v>
      </c>
      <c r="Q10" s="90" t="s">
        <v>4526</v>
      </c>
      <c r="R10" s="1384"/>
      <c r="S10" s="1373"/>
      <c r="T10" s="90"/>
      <c r="U10" s="90"/>
    </row>
    <row r="11" spans="1:22" ht="24.6" customHeight="1">
      <c r="A11" s="84"/>
      <c r="B11" s="84"/>
      <c r="C11" s="5"/>
      <c r="D11" s="5"/>
      <c r="E11" s="935">
        <f>K5+1</f>
        <v>5</v>
      </c>
      <c r="F11" s="924">
        <f t="shared" ref="F11:K11" si="1">E11+1</f>
        <v>6</v>
      </c>
      <c r="G11" s="923">
        <f t="shared" si="1"/>
        <v>7</v>
      </c>
      <c r="H11" s="924">
        <f t="shared" si="1"/>
        <v>8</v>
      </c>
      <c r="I11" s="923">
        <f t="shared" si="1"/>
        <v>9</v>
      </c>
      <c r="J11" s="923">
        <f t="shared" si="1"/>
        <v>10</v>
      </c>
      <c r="K11" s="925">
        <f t="shared" si="1"/>
        <v>11</v>
      </c>
      <c r="N11" s="90" t="s">
        <v>4620</v>
      </c>
      <c r="O11" s="1143"/>
      <c r="P11" s="800">
        <v>34000</v>
      </c>
      <c r="Q11" s="90" t="s">
        <v>3462</v>
      </c>
      <c r="R11" s="1384"/>
      <c r="S11" s="1373"/>
      <c r="T11" s="90"/>
      <c r="U11" s="90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78"/>
      <c r="G12" s="1779"/>
      <c r="H12" s="936"/>
      <c r="I12" s="1778"/>
      <c r="J12" s="1779"/>
      <c r="K12" s="958"/>
      <c r="N12" s="90" t="s">
        <v>4612</v>
      </c>
      <c r="O12" s="1143"/>
      <c r="P12" s="800">
        <v>34000</v>
      </c>
      <c r="Q12" s="90" t="s">
        <v>3462</v>
      </c>
      <c r="R12" s="1384"/>
      <c r="S12" s="1373"/>
      <c r="T12" s="90"/>
      <c r="U12" s="90"/>
    </row>
    <row r="13" spans="1:22" ht="24.6" customHeight="1">
      <c r="A13" s="84"/>
      <c r="B13" s="1467"/>
      <c r="C13" s="879"/>
      <c r="D13" s="265"/>
      <c r="E13" s="869"/>
      <c r="F13" s="936"/>
      <c r="G13" s="1778"/>
      <c r="H13" s="1779"/>
      <c r="I13" s="937"/>
      <c r="J13" s="1778"/>
      <c r="K13" s="1779"/>
      <c r="N13" s="90" t="s">
        <v>4554</v>
      </c>
      <c r="O13" s="1143"/>
      <c r="P13" s="800">
        <v>34000</v>
      </c>
      <c r="Q13" s="90" t="s">
        <v>4621</v>
      </c>
      <c r="R13" s="1384"/>
      <c r="S13" s="1373"/>
      <c r="T13" s="90"/>
      <c r="U13" s="90"/>
    </row>
    <row r="14" spans="1:22" ht="24.6" customHeight="1">
      <c r="A14" s="84"/>
      <c r="B14" s="1467"/>
      <c r="C14" s="880" t="s">
        <v>991</v>
      </c>
      <c r="D14" s="265"/>
      <c r="E14" s="869"/>
      <c r="F14" s="936"/>
      <c r="G14" s="937"/>
      <c r="H14" s="937"/>
      <c r="I14" s="937"/>
      <c r="J14" s="937"/>
      <c r="K14" s="958"/>
      <c r="N14" s="90" t="s">
        <v>4588</v>
      </c>
      <c r="O14" s="1143"/>
      <c r="P14" s="800">
        <v>34000</v>
      </c>
      <c r="Q14" s="800" t="s">
        <v>4523</v>
      </c>
      <c r="R14" s="1143"/>
      <c r="S14" s="1373"/>
      <c r="T14" s="90"/>
      <c r="U14" s="90"/>
      <c r="V14" s="1143"/>
    </row>
    <row r="15" spans="1:22" ht="24.6" customHeight="1">
      <c r="A15" s="84"/>
      <c r="B15" s="1467"/>
      <c r="C15" s="880"/>
      <c r="D15" s="265"/>
      <c r="E15" s="869"/>
      <c r="F15" s="936"/>
      <c r="G15" s="937"/>
      <c r="H15" s="937"/>
      <c r="I15" s="937"/>
      <c r="J15" s="937"/>
      <c r="K15" s="958"/>
      <c r="N15" s="90" t="s">
        <v>4622</v>
      </c>
      <c r="O15" s="1143"/>
      <c r="P15" s="800">
        <v>34000</v>
      </c>
      <c r="Q15" s="800" t="s">
        <v>4523</v>
      </c>
      <c r="R15" s="1143"/>
      <c r="S15" s="1373"/>
      <c r="T15" s="90"/>
      <c r="U15" s="90"/>
      <c r="V15" s="1143"/>
    </row>
    <row r="16" spans="1:22" ht="24.6" customHeight="1">
      <c r="A16" s="84"/>
      <c r="B16" s="1398"/>
      <c r="C16" s="881" t="s">
        <v>994</v>
      </c>
      <c r="D16" s="265"/>
      <c r="E16" s="869"/>
      <c r="F16" s="936"/>
      <c r="G16" s="938"/>
      <c r="H16" s="937"/>
      <c r="I16" s="937"/>
      <c r="J16" s="937"/>
      <c r="K16" s="958"/>
      <c r="N16" s="90" t="s">
        <v>4622</v>
      </c>
      <c r="O16" s="1143"/>
      <c r="P16" s="800">
        <v>34000</v>
      </c>
      <c r="Q16" s="800" t="s">
        <v>4523</v>
      </c>
      <c r="R16" s="1143"/>
      <c r="S16" s="1373"/>
      <c r="T16" s="90"/>
      <c r="U16" s="90"/>
      <c r="V16" s="1143"/>
    </row>
    <row r="17" spans="1:22" ht="24.6" customHeight="1">
      <c r="A17" s="84"/>
      <c r="B17" s="84"/>
      <c r="C17" s="5"/>
      <c r="D17" s="5"/>
      <c r="E17" s="939">
        <f>K11+1</f>
        <v>12</v>
      </c>
      <c r="F17" s="940">
        <f t="shared" ref="F17:K17" si="2">E17+1</f>
        <v>13</v>
      </c>
      <c r="G17" s="941">
        <f t="shared" si="2"/>
        <v>14</v>
      </c>
      <c r="H17" s="942">
        <f t="shared" si="2"/>
        <v>15</v>
      </c>
      <c r="I17" s="943">
        <f t="shared" si="2"/>
        <v>16</v>
      </c>
      <c r="J17" s="943">
        <f t="shared" si="2"/>
        <v>17</v>
      </c>
      <c r="K17" s="959">
        <f t="shared" si="2"/>
        <v>18</v>
      </c>
      <c r="M17" s="203"/>
      <c r="N17" s="90" t="s">
        <v>4647</v>
      </c>
      <c r="O17" s="1143"/>
      <c r="P17" s="800">
        <v>34000</v>
      </c>
      <c r="Q17" s="800" t="s">
        <v>3462</v>
      </c>
      <c r="R17" s="1143"/>
      <c r="S17" s="1373"/>
      <c r="T17" s="90"/>
      <c r="U17" s="90"/>
      <c r="V17" s="1143"/>
    </row>
    <row r="18" spans="1:22" ht="24.6" customHeight="1">
      <c r="A18" s="84"/>
      <c r="B18" s="1467" t="s">
        <v>4690</v>
      </c>
      <c r="C18" s="879" t="s">
        <v>9</v>
      </c>
      <c r="D18" s="265"/>
      <c r="E18" s="871"/>
      <c r="F18" s="1778"/>
      <c r="G18" s="1779"/>
      <c r="H18" s="868"/>
      <c r="I18" s="1778"/>
      <c r="J18" s="1779"/>
      <c r="K18" s="868"/>
      <c r="N18" s="90" t="s">
        <v>4534</v>
      </c>
      <c r="O18" s="1143"/>
      <c r="P18" s="800">
        <v>12000</v>
      </c>
      <c r="Q18" s="90" t="s">
        <v>3463</v>
      </c>
      <c r="R18" s="1384"/>
      <c r="S18" s="1373"/>
      <c r="T18" s="90"/>
      <c r="U18" s="90"/>
      <c r="V18" s="1143"/>
    </row>
    <row r="19" spans="1:22" ht="24.6" customHeight="1">
      <c r="A19" s="84"/>
      <c r="B19" s="1467"/>
      <c r="C19" s="879"/>
      <c r="D19" s="265"/>
      <c r="E19" s="871"/>
      <c r="F19" s="868"/>
      <c r="G19" s="1778"/>
      <c r="H19" s="1779"/>
      <c r="I19" s="868"/>
      <c r="J19" s="1778"/>
      <c r="K19" s="1779"/>
      <c r="L19" s="84"/>
      <c r="M19" s="84"/>
      <c r="N19" s="90" t="s">
        <v>4598</v>
      </c>
      <c r="O19" s="1143"/>
      <c r="P19" s="800">
        <v>15000</v>
      </c>
      <c r="Q19" s="90" t="s">
        <v>3463</v>
      </c>
      <c r="R19" s="1384"/>
      <c r="S19" s="1373"/>
      <c r="T19" s="90"/>
      <c r="U19" s="90"/>
      <c r="V19" s="1143"/>
    </row>
    <row r="20" spans="1:22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871"/>
      <c r="J20" s="871"/>
      <c r="K20" s="960"/>
      <c r="L20" s="84"/>
      <c r="M20" s="84"/>
      <c r="N20" s="90" t="s">
        <v>4559</v>
      </c>
      <c r="O20" s="1143"/>
      <c r="P20" s="800">
        <v>15000</v>
      </c>
      <c r="Q20" s="90" t="s">
        <v>3463</v>
      </c>
      <c r="R20" s="1384"/>
      <c r="S20" s="1373"/>
      <c r="T20" s="90"/>
      <c r="U20" s="90"/>
      <c r="V20" s="1143"/>
    </row>
    <row r="21" spans="1:22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871"/>
      <c r="K21" s="960"/>
      <c r="L21" s="84"/>
      <c r="M21" s="84"/>
      <c r="N21" s="90" t="s">
        <v>4615</v>
      </c>
      <c r="O21" s="1143"/>
      <c r="P21" s="800">
        <v>12000</v>
      </c>
      <c r="Q21" s="90" t="s">
        <v>3463</v>
      </c>
      <c r="R21" s="1384"/>
      <c r="S21" s="1373"/>
      <c r="T21" s="90"/>
      <c r="U21" s="90"/>
      <c r="V21" s="1393"/>
    </row>
    <row r="22" spans="1:22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960"/>
      <c r="L22" s="84"/>
      <c r="M22" s="84"/>
      <c r="N22" s="90" t="s">
        <v>4540</v>
      </c>
      <c r="O22" s="1143"/>
      <c r="P22" s="800">
        <v>4000</v>
      </c>
      <c r="Q22" s="90" t="s">
        <v>3463</v>
      </c>
      <c r="R22" s="1384"/>
      <c r="S22" s="1373"/>
      <c r="T22" s="90"/>
      <c r="U22" s="90"/>
      <c r="V22" s="1143"/>
    </row>
    <row r="23" spans="1:22" ht="24.6" customHeight="1">
      <c r="A23" s="84"/>
      <c r="B23" s="84"/>
      <c r="C23" s="5"/>
      <c r="D23" s="5"/>
      <c r="E23" s="935">
        <f>K17+1</f>
        <v>19</v>
      </c>
      <c r="F23" s="924">
        <f t="shared" ref="F23:K23" si="3">E23+1</f>
        <v>20</v>
      </c>
      <c r="G23" s="923">
        <f t="shared" si="3"/>
        <v>21</v>
      </c>
      <c r="H23" s="924">
        <f t="shared" si="3"/>
        <v>22</v>
      </c>
      <c r="I23" s="923">
        <f t="shared" si="3"/>
        <v>23</v>
      </c>
      <c r="J23" s="923">
        <f t="shared" si="3"/>
        <v>24</v>
      </c>
      <c r="K23" s="925">
        <f t="shared" si="3"/>
        <v>25</v>
      </c>
      <c r="L23" s="84"/>
      <c r="M23" s="84"/>
      <c r="N23" s="90" t="s">
        <v>4609</v>
      </c>
      <c r="O23" s="1143"/>
      <c r="P23" s="800">
        <v>2500</v>
      </c>
      <c r="Q23" s="90" t="s">
        <v>3463</v>
      </c>
      <c r="R23" s="1384"/>
      <c r="S23" s="1373"/>
      <c r="T23" s="90"/>
      <c r="U23" s="90"/>
      <c r="V23" s="1143"/>
    </row>
    <row r="24" spans="1:22" ht="24.6" customHeight="1">
      <c r="A24" s="84"/>
      <c r="B24" s="1467" t="s">
        <v>4690</v>
      </c>
      <c r="C24" s="879" t="s">
        <v>9</v>
      </c>
      <c r="D24" s="265"/>
      <c r="E24" s="869"/>
      <c r="F24" s="1778"/>
      <c r="G24" s="1779"/>
      <c r="H24" s="936"/>
      <c r="I24" s="1784"/>
      <c r="J24" s="1785"/>
      <c r="K24" s="958"/>
      <c r="L24" s="84"/>
      <c r="M24" s="84"/>
      <c r="N24" s="90" t="s">
        <v>4616</v>
      </c>
      <c r="O24" s="1143"/>
      <c r="P24" s="800">
        <v>5000</v>
      </c>
      <c r="Q24" s="90" t="s">
        <v>3463</v>
      </c>
      <c r="R24" s="1384"/>
      <c r="S24" s="1373"/>
      <c r="T24" s="90"/>
      <c r="U24" s="90"/>
      <c r="V24" s="1143"/>
    </row>
    <row r="25" spans="1:22" ht="24.6" customHeight="1">
      <c r="A25" s="84"/>
      <c r="B25" s="1467"/>
      <c r="C25" s="879"/>
      <c r="D25" s="265"/>
      <c r="E25" s="869"/>
      <c r="F25" s="936"/>
      <c r="G25" s="1778"/>
      <c r="H25" s="1779"/>
      <c r="I25" s="937"/>
      <c r="J25" s="1784"/>
      <c r="K25" s="1785"/>
      <c r="L25" s="84"/>
      <c r="M25" s="84"/>
      <c r="N25" s="90" t="s">
        <v>643</v>
      </c>
      <c r="O25" s="1143"/>
      <c r="P25" s="800">
        <v>3400</v>
      </c>
      <c r="Q25" s="90" t="s">
        <v>4549</v>
      </c>
      <c r="R25" s="1384"/>
      <c r="S25" s="1373"/>
      <c r="T25" s="90"/>
      <c r="U25" s="90"/>
      <c r="V25" s="1143"/>
    </row>
    <row r="26" spans="1:22" ht="24.6" customHeight="1">
      <c r="A26" s="84"/>
      <c r="B26" s="1467"/>
      <c r="C26" s="880" t="s">
        <v>991</v>
      </c>
      <c r="D26" s="265"/>
      <c r="E26" s="869"/>
      <c r="F26" s="936"/>
      <c r="G26" s="937"/>
      <c r="H26" s="936"/>
      <c r="I26" s="937"/>
      <c r="J26" s="937"/>
      <c r="K26" s="958"/>
      <c r="L26" s="84"/>
      <c r="M26" s="84"/>
      <c r="N26" s="90" t="s">
        <v>4585</v>
      </c>
      <c r="O26" s="1143"/>
      <c r="P26" s="800">
        <v>6000</v>
      </c>
      <c r="Q26" s="90" t="s">
        <v>4549</v>
      </c>
      <c r="R26" s="1384"/>
      <c r="S26" s="1373"/>
      <c r="T26" s="90"/>
      <c r="U26" s="90"/>
      <c r="V26" s="1143"/>
    </row>
    <row r="27" spans="1:22" ht="24.6" customHeight="1">
      <c r="A27" s="84"/>
      <c r="B27" s="1467"/>
      <c r="C27" s="880"/>
      <c r="D27" s="265"/>
      <c r="E27" s="869"/>
      <c r="F27" s="936"/>
      <c r="G27" s="937"/>
      <c r="H27" s="936"/>
      <c r="I27" s="937"/>
      <c r="J27" s="937"/>
      <c r="K27" s="958"/>
      <c r="L27" s="84"/>
      <c r="M27" s="84"/>
    </row>
    <row r="28" spans="1:22" ht="24" customHeight="1">
      <c r="A28" s="84"/>
      <c r="B28" s="1398"/>
      <c r="C28" s="881" t="s">
        <v>994</v>
      </c>
      <c r="D28" s="265"/>
      <c r="E28" s="870"/>
      <c r="F28" s="945"/>
      <c r="G28" s="938"/>
      <c r="H28" s="945"/>
      <c r="I28" s="1356"/>
      <c r="J28" s="938"/>
      <c r="K28" s="961"/>
      <c r="L28" s="84"/>
      <c r="M28" s="84"/>
    </row>
    <row r="29" spans="1:22" ht="24.6" customHeight="1">
      <c r="A29" s="84"/>
      <c r="B29" s="84"/>
      <c r="C29" s="269"/>
      <c r="D29" s="265"/>
      <c r="E29" s="946">
        <f>K23+1</f>
        <v>26</v>
      </c>
      <c r="F29" s="947">
        <f>E29+1</f>
        <v>27</v>
      </c>
      <c r="G29" s="947">
        <f>F29+1</f>
        <v>28</v>
      </c>
      <c r="H29" s="947">
        <f t="shared" ref="H29:J29" si="4">G29+1</f>
        <v>29</v>
      </c>
      <c r="I29" s="947">
        <f t="shared" si="4"/>
        <v>30</v>
      </c>
      <c r="J29" s="947">
        <f t="shared" si="4"/>
        <v>31</v>
      </c>
      <c r="K29" s="984"/>
      <c r="L29" s="84"/>
      <c r="M29" s="84"/>
    </row>
    <row r="30" spans="1:22" ht="24.6" customHeight="1">
      <c r="A30" s="84"/>
      <c r="B30" s="1467" t="s">
        <v>4690</v>
      </c>
      <c r="C30" s="879" t="s">
        <v>9</v>
      </c>
      <c r="D30" s="265"/>
      <c r="E30" s="871"/>
      <c r="F30" s="1778"/>
      <c r="G30" s="1779"/>
      <c r="H30" s="874"/>
      <c r="I30" s="1784"/>
      <c r="J30" s="1785"/>
      <c r="K30" s="960"/>
      <c r="L30" s="84"/>
      <c r="M30" s="84"/>
      <c r="N30" s="1383"/>
      <c r="O30" s="702"/>
      <c r="P30" s="1379"/>
      <c r="Q30" s="702"/>
      <c r="R30" s="702"/>
      <c r="S30" s="1371"/>
      <c r="T30" s="90"/>
      <c r="U30" s="90"/>
      <c r="V30" s="1143"/>
    </row>
    <row r="31" spans="1:22" ht="24.6" customHeight="1">
      <c r="A31" s="84"/>
      <c r="B31" s="1467"/>
      <c r="C31" s="879"/>
      <c r="D31" s="265"/>
      <c r="E31" s="871"/>
      <c r="F31" s="944"/>
      <c r="G31" s="1778"/>
      <c r="H31" s="1779"/>
      <c r="I31" s="871"/>
      <c r="J31" s="1809"/>
      <c r="K31" s="1810"/>
      <c r="L31" s="84"/>
      <c r="M31" s="84"/>
      <c r="N31" s="1383"/>
      <c r="O31" s="702"/>
      <c r="P31" s="1379"/>
      <c r="Q31" s="702"/>
      <c r="R31" s="702"/>
      <c r="S31" s="1371"/>
      <c r="T31" s="90"/>
      <c r="U31" s="90"/>
      <c r="V31" s="1143"/>
    </row>
    <row r="32" spans="1:22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M32" s="84"/>
      <c r="N32" s="1383"/>
      <c r="O32" s="702"/>
      <c r="P32" s="1379"/>
      <c r="Q32" s="702"/>
      <c r="R32" s="702"/>
      <c r="S32" s="1371"/>
      <c r="T32" s="90"/>
      <c r="U32" s="90"/>
      <c r="V32" s="1143"/>
    </row>
    <row r="33" spans="1:22" ht="24.6" customHeight="1">
      <c r="A33" s="84"/>
      <c r="B33" s="1467"/>
      <c r="C33" s="880"/>
      <c r="D33" s="265"/>
      <c r="E33" s="871"/>
      <c r="F33" s="944"/>
      <c r="G33" s="868"/>
      <c r="H33" s="874"/>
      <c r="I33" s="871"/>
      <c r="J33" s="871"/>
      <c r="K33" s="960"/>
      <c r="L33" s="84"/>
      <c r="M33" s="84"/>
      <c r="O33" s="1143"/>
      <c r="P33" s="1382"/>
      <c r="Q33" s="702"/>
      <c r="R33" s="1143"/>
      <c r="S33" s="1373"/>
      <c r="T33" s="90"/>
      <c r="U33" s="90"/>
      <c r="V33" s="1143"/>
    </row>
    <row r="34" spans="1:22" ht="24.6" customHeight="1">
      <c r="A34" s="84"/>
      <c r="B34" s="1398"/>
      <c r="C34" s="881" t="s">
        <v>994</v>
      </c>
      <c r="D34" s="265"/>
      <c r="E34" s="872"/>
      <c r="F34" s="872"/>
      <c r="G34" s="964"/>
      <c r="H34" s="965"/>
      <c r="I34" s="872"/>
      <c r="J34" s="872"/>
      <c r="K34" s="966"/>
      <c r="L34" s="84"/>
      <c r="M34" s="84"/>
      <c r="O34" s="1143"/>
      <c r="P34" s="1382"/>
      <c r="Q34" s="702"/>
      <c r="R34" s="1143"/>
      <c r="S34" s="1373"/>
      <c r="T34" s="90"/>
      <c r="U34" s="90"/>
      <c r="V34" s="1143"/>
    </row>
    <row r="35" spans="1:22" ht="19.149999999999999">
      <c r="O35" s="1143"/>
      <c r="P35" s="1382"/>
      <c r="Q35" s="702"/>
      <c r="R35" s="1143"/>
      <c r="S35" s="1373"/>
      <c r="T35" s="90"/>
      <c r="U35" s="90"/>
      <c r="V35" s="1143"/>
    </row>
    <row r="36" spans="1:22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2" t="s">
        <v>3768</v>
      </c>
      <c r="L36" s="84"/>
      <c r="M36" s="84"/>
      <c r="O36" s="1143"/>
      <c r="P36" s="1382"/>
      <c r="Q36" s="702"/>
      <c r="R36" s="1143"/>
      <c r="S36" s="1373"/>
      <c r="T36" s="90"/>
      <c r="U36" s="90"/>
      <c r="V36" s="1143"/>
    </row>
    <row r="37" spans="1:22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O37" s="1143"/>
      <c r="P37" s="1382"/>
      <c r="Q37" s="702"/>
      <c r="R37" s="1143"/>
      <c r="S37" s="1373"/>
      <c r="T37" s="90"/>
      <c r="U37" s="90"/>
      <c r="V37" s="1143"/>
    </row>
    <row r="38" spans="1:22" ht="19.149999999999999">
      <c r="O38" s="1143"/>
      <c r="P38" s="1382"/>
      <c r="Q38" s="702"/>
      <c r="R38" s="1143"/>
      <c r="S38" s="1373"/>
      <c r="T38" s="90"/>
      <c r="U38" s="90"/>
      <c r="V38" s="1143"/>
    </row>
    <row r="39" spans="1:22" ht="19.149999999999999">
      <c r="O39" s="1143"/>
      <c r="P39" s="1382"/>
      <c r="Q39" s="702"/>
      <c r="R39" s="1143"/>
      <c r="S39" s="1373"/>
      <c r="T39" s="90"/>
      <c r="U39" s="90"/>
      <c r="V39" s="1143"/>
    </row>
    <row r="40" spans="1:22" ht="19.149999999999999">
      <c r="O40" s="1143"/>
      <c r="P40" s="1382"/>
      <c r="Q40" s="702"/>
      <c r="R40" s="1143"/>
      <c r="S40" s="1373"/>
      <c r="T40" s="90"/>
      <c r="U40" s="90"/>
      <c r="V40" s="1143"/>
    </row>
    <row r="41" spans="1:22" ht="19.149999999999999">
      <c r="O41" s="1143"/>
      <c r="P41" s="1382"/>
      <c r="Q41" s="702"/>
      <c r="R41" s="1143"/>
      <c r="S41" s="1373"/>
      <c r="T41" s="90"/>
      <c r="U41" s="90"/>
      <c r="V41" s="1143"/>
    </row>
    <row r="42" spans="1:22" ht="19.149999999999999">
      <c r="O42" s="1143"/>
      <c r="P42" s="1382"/>
      <c r="Q42" s="702"/>
      <c r="R42" s="1143"/>
      <c r="S42" s="1373"/>
      <c r="T42" s="90"/>
      <c r="U42" s="90"/>
      <c r="V42" s="1143"/>
    </row>
    <row r="43" spans="1:22" ht="19.149999999999999">
      <c r="O43" s="1143"/>
      <c r="P43" s="1382"/>
      <c r="Q43" s="702"/>
      <c r="R43" s="1143"/>
      <c r="S43" s="1373"/>
      <c r="T43" s="90"/>
      <c r="U43" s="90"/>
      <c r="V43" s="1143"/>
    </row>
    <row r="44" spans="1:22" ht="19.149999999999999">
      <c r="O44" s="1143"/>
      <c r="P44" s="1382"/>
      <c r="Q44" s="702"/>
      <c r="R44" s="1143"/>
      <c r="S44" s="1373"/>
      <c r="T44" s="90"/>
      <c r="U44" s="90"/>
      <c r="V44" s="1143"/>
    </row>
    <row r="45" spans="1:22" ht="19.149999999999999">
      <c r="O45" s="1143"/>
      <c r="P45" s="1382"/>
      <c r="Q45" s="702"/>
      <c r="R45" s="1143"/>
      <c r="S45" s="1373"/>
      <c r="T45" s="90"/>
      <c r="U45" s="90"/>
      <c r="V45" s="1143"/>
    </row>
    <row r="46" spans="1:22" ht="19.149999999999999">
      <c r="O46" s="1143"/>
      <c r="P46" s="1382"/>
      <c r="Q46" s="702"/>
      <c r="R46" s="1143"/>
      <c r="S46" s="1373"/>
      <c r="T46" s="90"/>
      <c r="U46" s="90"/>
      <c r="V46" s="1143"/>
    </row>
    <row r="47" spans="1:22" ht="19.149999999999999">
      <c r="O47" s="1143"/>
      <c r="P47" s="1382"/>
      <c r="Q47" s="702"/>
      <c r="R47" s="1143"/>
      <c r="S47" s="1373"/>
      <c r="T47" s="90"/>
      <c r="U47" s="90"/>
      <c r="V47" s="1143"/>
    </row>
    <row r="48" spans="1:22" ht="19.149999999999999">
      <c r="O48" s="1143"/>
      <c r="P48" s="1382"/>
      <c r="Q48" s="702"/>
      <c r="R48" s="1143"/>
      <c r="S48" s="1373"/>
      <c r="T48" s="90"/>
      <c r="U48" s="90"/>
      <c r="V48" s="1143"/>
    </row>
    <row r="49" spans="15:22" ht="19.149999999999999">
      <c r="O49" s="1143"/>
      <c r="P49" s="1382"/>
      <c r="Q49" s="702"/>
      <c r="R49" s="1143"/>
      <c r="S49" s="1373"/>
      <c r="T49" s="90"/>
      <c r="U49" s="90"/>
      <c r="V49" s="1143"/>
    </row>
    <row r="50" spans="15:22" ht="19.149999999999999">
      <c r="O50" s="1143"/>
      <c r="P50" s="1382"/>
      <c r="Q50" s="702"/>
      <c r="R50" s="1143"/>
      <c r="S50" s="1373"/>
      <c r="T50" s="90"/>
      <c r="U50" s="90"/>
      <c r="V50" s="1143"/>
    </row>
    <row r="51" spans="15:22" ht="19.149999999999999">
      <c r="O51" s="1143"/>
      <c r="P51" s="1382"/>
      <c r="Q51" s="702"/>
      <c r="R51" s="1143"/>
      <c r="S51" s="1373"/>
      <c r="T51" s="90"/>
      <c r="U51" s="90"/>
      <c r="V51" s="1143"/>
    </row>
    <row r="52" spans="15:22" ht="19.149999999999999">
      <c r="O52" s="1143"/>
      <c r="P52" s="1382"/>
      <c r="Q52" s="702"/>
      <c r="R52" s="1143"/>
      <c r="S52" s="1373"/>
      <c r="T52" s="90"/>
      <c r="U52" s="90"/>
    </row>
  </sheetData>
  <sortState ref="N9:T28">
    <sortCondition ref="Q9:Q28"/>
  </sortState>
  <mergeCells count="30">
    <mergeCell ref="O2:P2"/>
    <mergeCell ref="Q2:R2"/>
    <mergeCell ref="E3:G3"/>
    <mergeCell ref="H3:K3"/>
    <mergeCell ref="O3:P3"/>
    <mergeCell ref="Q3:R3"/>
    <mergeCell ref="I6:J6"/>
    <mergeCell ref="J7:K7"/>
    <mergeCell ref="B12:B15"/>
    <mergeCell ref="F12:G12"/>
    <mergeCell ref="I12:J12"/>
    <mergeCell ref="G13:H13"/>
    <mergeCell ref="J13:K13"/>
    <mergeCell ref="B6:B10"/>
    <mergeCell ref="B30:B33"/>
    <mergeCell ref="F30:G30"/>
    <mergeCell ref="G31:H31"/>
    <mergeCell ref="I30:J30"/>
    <mergeCell ref="G7:H7"/>
    <mergeCell ref="B18:B21"/>
    <mergeCell ref="F18:G18"/>
    <mergeCell ref="I18:J18"/>
    <mergeCell ref="G19:H19"/>
    <mergeCell ref="J19:K19"/>
    <mergeCell ref="B24:B27"/>
    <mergeCell ref="F24:G24"/>
    <mergeCell ref="I24:J24"/>
    <mergeCell ref="G25:H25"/>
    <mergeCell ref="J25:K25"/>
    <mergeCell ref="J31:K31"/>
  </mergeCells>
  <phoneticPr fontId="6" type="noConversion"/>
  <pageMargins left="0.7" right="0.7" top="0.75" bottom="0.75" header="0.3" footer="0.3"/>
  <legacy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49"/>
  <sheetViews>
    <sheetView showGridLines="0" zoomScale="55" zoomScaleNormal="55" workbookViewId="0">
      <selection activeCell="H9" sqref="H9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46235</v>
      </c>
      <c r="F3" s="1759"/>
      <c r="G3" s="1759"/>
      <c r="H3" s="1760" t="s">
        <v>10</v>
      </c>
      <c r="I3" s="1717"/>
      <c r="J3" s="1717"/>
      <c r="K3" s="1717"/>
      <c r="N3" s="989">
        <f ca="1">SUMIF($Q$8:$Q$65,"F",$P$8:$P$64)</f>
        <v>306000</v>
      </c>
      <c r="O3" s="1715">
        <f>SUMIF($Q$7:$Q$53,"S",$P$7:$P$53)</f>
        <v>47600</v>
      </c>
      <c r="P3" s="1715"/>
      <c r="Q3" s="1706">
        <f ca="1">N3+O3</f>
        <v>353600</v>
      </c>
      <c r="R3" s="1707"/>
      <c r="S3" s="1380">
        <f ca="1">400000-Q3</f>
        <v>46400</v>
      </c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1381">
        <f ca="1">S3/34000</f>
        <v>1.3647058823529412</v>
      </c>
    </row>
    <row r="5" spans="1:22" s="5" customFormat="1" ht="24.6" customHeight="1">
      <c r="E5" s="973"/>
      <c r="F5" s="941"/>
      <c r="G5" s="941"/>
      <c r="H5" s="941"/>
      <c r="I5" s="941"/>
      <c r="J5" s="941"/>
      <c r="K5" s="957">
        <f t="shared" ref="K5" si="0">J5+1</f>
        <v>1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1724" t="s">
        <v>336</v>
      </c>
      <c r="G6" s="1725"/>
      <c r="H6" s="1725"/>
      <c r="I6" s="1725"/>
      <c r="J6" s="1725"/>
      <c r="K6" s="868"/>
      <c r="L6" s="90"/>
      <c r="M6" s="90"/>
      <c r="S6" s="90"/>
      <c r="T6" s="5">
        <f>285600-319600</f>
        <v>-34000</v>
      </c>
    </row>
    <row r="7" spans="1:22" s="5" customFormat="1" ht="24.6" customHeight="1">
      <c r="B7" s="1467"/>
      <c r="C7" s="879"/>
      <c r="D7" s="265"/>
      <c r="E7" s="867"/>
      <c r="F7" s="868"/>
      <c r="G7" s="868"/>
      <c r="H7" s="868"/>
      <c r="I7" s="868"/>
      <c r="J7" s="868"/>
      <c r="K7" s="957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7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90" t="s">
        <v>4531</v>
      </c>
      <c r="O9" s="1143"/>
      <c r="P9" s="800">
        <v>34000</v>
      </c>
      <c r="Q9" s="90" t="s">
        <v>4576</v>
      </c>
      <c r="R9" s="1384"/>
      <c r="S9" s="1373"/>
      <c r="T9" s="90"/>
      <c r="U9" s="90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8"/>
      <c r="G10" s="868"/>
      <c r="H10" s="868"/>
      <c r="I10" s="868"/>
      <c r="J10" s="868"/>
      <c r="K10" s="868"/>
      <c r="L10" s="90"/>
      <c r="M10" s="90"/>
      <c r="N10" s="90" t="s">
        <v>4623</v>
      </c>
      <c r="O10" s="1143"/>
      <c r="P10" s="800">
        <v>34000</v>
      </c>
      <c r="Q10" s="90" t="s">
        <v>3462</v>
      </c>
      <c r="R10" s="1384"/>
      <c r="S10" s="1373"/>
      <c r="T10" s="90"/>
      <c r="U10" s="90"/>
      <c r="V10" s="84"/>
    </row>
    <row r="11" spans="1:22" ht="24.6" customHeight="1">
      <c r="A11" s="84"/>
      <c r="B11" s="84"/>
      <c r="C11" s="5"/>
      <c r="D11" s="5"/>
      <c r="E11" s="935">
        <f>K5+1</f>
        <v>2</v>
      </c>
      <c r="F11" s="924">
        <f t="shared" ref="F11:K11" si="1">E11+1</f>
        <v>3</v>
      </c>
      <c r="G11" s="923">
        <f t="shared" si="1"/>
        <v>4</v>
      </c>
      <c r="H11" s="924">
        <f t="shared" si="1"/>
        <v>5</v>
      </c>
      <c r="I11" s="923">
        <f t="shared" si="1"/>
        <v>6</v>
      </c>
      <c r="J11" s="923">
        <f t="shared" si="1"/>
        <v>7</v>
      </c>
      <c r="K11" s="925">
        <f t="shared" si="1"/>
        <v>8</v>
      </c>
      <c r="N11" s="90" t="s">
        <v>4528</v>
      </c>
      <c r="O11" s="1143"/>
      <c r="P11" s="800">
        <v>34000</v>
      </c>
      <c r="Q11" s="90" t="s">
        <v>3462</v>
      </c>
      <c r="R11" s="1384"/>
      <c r="S11" s="1373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24" t="s">
        <v>336</v>
      </c>
      <c r="G12" s="1725"/>
      <c r="H12" s="1725"/>
      <c r="I12" s="1725"/>
      <c r="J12" s="1725"/>
      <c r="K12" s="958"/>
      <c r="N12" s="90" t="s">
        <v>4587</v>
      </c>
      <c r="O12" s="1143"/>
      <c r="P12" s="800">
        <v>34000</v>
      </c>
      <c r="Q12" s="90" t="s">
        <v>4621</v>
      </c>
      <c r="R12" s="1384"/>
      <c r="S12" s="1373"/>
      <c r="T12" s="90"/>
    </row>
    <row r="13" spans="1:22" ht="24.6" customHeight="1">
      <c r="A13" s="84"/>
      <c r="B13" s="1467"/>
      <c r="C13" s="879"/>
      <c r="D13" s="265"/>
      <c r="E13" s="869"/>
      <c r="F13" s="936"/>
      <c r="G13" s="937"/>
      <c r="H13" s="936"/>
      <c r="I13" s="937"/>
      <c r="J13" s="937"/>
      <c r="K13" s="958"/>
      <c r="N13" s="90" t="s">
        <v>4588</v>
      </c>
      <c r="O13" s="1143"/>
      <c r="P13" s="800">
        <v>34000</v>
      </c>
      <c r="Q13" s="800" t="s">
        <v>4523</v>
      </c>
      <c r="R13" s="1143"/>
      <c r="S13" s="1373"/>
      <c r="T13" s="90"/>
      <c r="U13" s="90"/>
    </row>
    <row r="14" spans="1:22" ht="24.6" customHeight="1">
      <c r="A14" s="84"/>
      <c r="B14" s="1467"/>
      <c r="C14" s="880" t="s">
        <v>991</v>
      </c>
      <c r="D14" s="265"/>
      <c r="E14" s="869"/>
      <c r="F14" s="936"/>
      <c r="G14" s="937"/>
      <c r="H14" s="937"/>
      <c r="I14" s="937"/>
      <c r="J14" s="937"/>
      <c r="K14" s="958"/>
      <c r="N14" s="90" t="s">
        <v>4588</v>
      </c>
      <c r="O14" s="1143"/>
      <c r="P14" s="800">
        <v>34000</v>
      </c>
      <c r="Q14" s="800" t="s">
        <v>4523</v>
      </c>
      <c r="R14" s="1143"/>
      <c r="S14" s="1373"/>
      <c r="T14" s="90"/>
      <c r="U14" s="90"/>
    </row>
    <row r="15" spans="1:22" ht="24.6" customHeight="1">
      <c r="A15" s="84"/>
      <c r="B15" s="1467"/>
      <c r="C15" s="880"/>
      <c r="D15" s="265"/>
      <c r="E15" s="869"/>
      <c r="F15" s="936"/>
      <c r="G15" s="937"/>
      <c r="H15" s="937"/>
      <c r="I15" s="937"/>
      <c r="J15" s="937"/>
      <c r="K15" s="958"/>
      <c r="N15" s="90" t="s">
        <v>4588</v>
      </c>
      <c r="O15" s="1143"/>
      <c r="P15" s="800">
        <v>34000</v>
      </c>
      <c r="Q15" s="800" t="s">
        <v>4523</v>
      </c>
      <c r="R15" s="1143"/>
      <c r="S15" s="1373"/>
      <c r="T15" s="90"/>
      <c r="U15" s="90"/>
      <c r="V15" s="1277"/>
    </row>
    <row r="16" spans="1:22" ht="24.6" customHeight="1">
      <c r="A16" s="84"/>
      <c r="B16" s="1398"/>
      <c r="C16" s="881" t="s">
        <v>994</v>
      </c>
      <c r="D16" s="265"/>
      <c r="E16" s="869"/>
      <c r="F16" s="1372" t="s">
        <v>4625</v>
      </c>
      <c r="G16" s="1372" t="s">
        <v>4625</v>
      </c>
      <c r="H16" s="1372" t="s">
        <v>4625</v>
      </c>
      <c r="I16" s="1372" t="s">
        <v>4625</v>
      </c>
      <c r="J16" s="1372" t="s">
        <v>4625</v>
      </c>
      <c r="K16" s="958"/>
      <c r="N16" s="90" t="s">
        <v>4529</v>
      </c>
      <c r="O16" s="1143"/>
      <c r="P16" s="800">
        <v>34000</v>
      </c>
      <c r="Q16" s="800" t="s">
        <v>3473</v>
      </c>
      <c r="R16" s="1384"/>
      <c r="T16" s="90"/>
      <c r="U16" s="90"/>
      <c r="V16" s="1277"/>
    </row>
    <row r="17" spans="1:21" ht="24.6" customHeight="1">
      <c r="A17" s="84"/>
      <c r="B17" s="84"/>
      <c r="C17" s="5"/>
      <c r="D17" s="5"/>
      <c r="E17" s="939">
        <f>K11+1</f>
        <v>9</v>
      </c>
      <c r="F17" s="940">
        <f t="shared" ref="F17:K17" si="2">E17+1</f>
        <v>10</v>
      </c>
      <c r="G17" s="941">
        <f t="shared" si="2"/>
        <v>11</v>
      </c>
      <c r="H17" s="942">
        <f t="shared" si="2"/>
        <v>12</v>
      </c>
      <c r="I17" s="943">
        <f t="shared" si="2"/>
        <v>13</v>
      </c>
      <c r="J17" s="943">
        <f t="shared" si="2"/>
        <v>14</v>
      </c>
      <c r="K17" s="959">
        <f t="shared" si="2"/>
        <v>15</v>
      </c>
      <c r="M17" s="203"/>
      <c r="N17" s="90" t="s">
        <v>4626</v>
      </c>
      <c r="O17" s="1143"/>
      <c r="P17" s="800">
        <v>34000</v>
      </c>
      <c r="Q17" s="800" t="s">
        <v>4523</v>
      </c>
      <c r="R17" s="1143"/>
      <c r="T17" s="90"/>
      <c r="U17" s="90"/>
    </row>
    <row r="18" spans="1:21" ht="24.6" customHeight="1">
      <c r="A18" s="84"/>
      <c r="B18" s="1467" t="s">
        <v>4690</v>
      </c>
      <c r="C18" s="879" t="s">
        <v>9</v>
      </c>
      <c r="D18" s="265"/>
      <c r="E18" s="871"/>
      <c r="F18" s="1724" t="s">
        <v>336</v>
      </c>
      <c r="G18" s="1725"/>
      <c r="H18" s="1725"/>
      <c r="I18" s="1725"/>
      <c r="J18" s="1725"/>
      <c r="K18" s="957"/>
      <c r="N18" s="90" t="s">
        <v>4532</v>
      </c>
      <c r="O18" s="1143"/>
      <c r="P18" s="800">
        <v>15000</v>
      </c>
      <c r="Q18" s="90" t="s">
        <v>3463</v>
      </c>
      <c r="R18" s="1384"/>
      <c r="T18" s="90"/>
      <c r="U18" s="90"/>
    </row>
    <row r="19" spans="1:21" ht="24.6" customHeight="1">
      <c r="A19" s="84"/>
      <c r="B19" s="1467"/>
      <c r="C19" s="879"/>
      <c r="D19" s="265"/>
      <c r="E19" s="871"/>
      <c r="F19" s="868"/>
      <c r="G19" s="868"/>
      <c r="H19" s="868"/>
      <c r="I19" s="868"/>
      <c r="J19" s="868"/>
      <c r="K19" s="957"/>
      <c r="L19" s="84"/>
      <c r="M19" s="84"/>
      <c r="N19" s="90" t="s">
        <v>4624</v>
      </c>
      <c r="O19" s="1143"/>
      <c r="P19" s="800">
        <v>6000</v>
      </c>
      <c r="Q19" s="90" t="s">
        <v>4522</v>
      </c>
      <c r="R19" s="1384"/>
      <c r="T19" s="90"/>
      <c r="U19" s="90"/>
    </row>
    <row r="20" spans="1:21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871"/>
      <c r="J20" s="871"/>
      <c r="K20" s="960"/>
      <c r="L20" s="84"/>
      <c r="M20" s="84"/>
      <c r="N20" s="90" t="s">
        <v>4536</v>
      </c>
      <c r="O20" s="1143"/>
      <c r="P20" s="800">
        <v>9000</v>
      </c>
      <c r="Q20" s="90" t="s">
        <v>4577</v>
      </c>
      <c r="R20" s="1384"/>
      <c r="T20" s="90"/>
      <c r="U20" s="90"/>
    </row>
    <row r="21" spans="1:21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871"/>
      <c r="K21" s="960"/>
      <c r="L21" s="84"/>
      <c r="M21" s="84"/>
      <c r="N21" s="90" t="s">
        <v>2976</v>
      </c>
      <c r="O21" s="1143"/>
      <c r="P21" s="800">
        <v>9600</v>
      </c>
      <c r="Q21" s="90" t="s">
        <v>4549</v>
      </c>
      <c r="R21" s="1384"/>
      <c r="T21" s="90"/>
      <c r="U21" s="90"/>
    </row>
    <row r="22" spans="1:21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1352" t="s">
        <v>4399</v>
      </c>
      <c r="L22" s="84"/>
      <c r="M22" s="84"/>
      <c r="N22" s="90" t="s">
        <v>4609</v>
      </c>
      <c r="O22" s="1143"/>
      <c r="P22" s="800">
        <v>4000</v>
      </c>
      <c r="Q22" s="90" t="s">
        <v>4577</v>
      </c>
      <c r="R22" s="1384"/>
      <c r="T22" s="90"/>
      <c r="U22" s="90"/>
    </row>
    <row r="23" spans="1:21" ht="24.6" customHeight="1">
      <c r="A23" s="84"/>
      <c r="B23" s="84"/>
      <c r="C23" s="5"/>
      <c r="D23" s="5"/>
      <c r="E23" s="935">
        <f>K17+1</f>
        <v>16</v>
      </c>
      <c r="F23" s="924">
        <f t="shared" ref="F23:K23" si="3">E23+1</f>
        <v>17</v>
      </c>
      <c r="G23" s="923">
        <f t="shared" si="3"/>
        <v>18</v>
      </c>
      <c r="H23" s="924">
        <f t="shared" si="3"/>
        <v>19</v>
      </c>
      <c r="I23" s="923">
        <f t="shared" si="3"/>
        <v>20</v>
      </c>
      <c r="J23" s="923">
        <f t="shared" si="3"/>
        <v>21</v>
      </c>
      <c r="K23" s="925">
        <f t="shared" si="3"/>
        <v>22</v>
      </c>
      <c r="L23" s="84"/>
      <c r="M23" s="84"/>
      <c r="N23" s="90" t="s">
        <v>4548</v>
      </c>
      <c r="O23" s="1143"/>
      <c r="P23" s="800">
        <v>4000</v>
      </c>
      <c r="Q23" s="90" t="s">
        <v>4549</v>
      </c>
      <c r="R23" s="1384"/>
      <c r="S23" s="1373"/>
      <c r="T23" s="90"/>
      <c r="U23" s="90"/>
    </row>
    <row r="24" spans="1:21" ht="24.6" customHeight="1">
      <c r="A24" s="84"/>
      <c r="B24" s="1467" t="s">
        <v>4690</v>
      </c>
      <c r="C24" s="879" t="s">
        <v>9</v>
      </c>
      <c r="D24" s="265"/>
      <c r="E24" s="869"/>
      <c r="F24" s="1724" t="s">
        <v>336</v>
      </c>
      <c r="G24" s="1725"/>
      <c r="H24" s="1725"/>
      <c r="I24" s="1725"/>
      <c r="J24" s="1725"/>
      <c r="K24" s="958"/>
      <c r="L24" s="84"/>
      <c r="M24" s="84"/>
    </row>
    <row r="25" spans="1:21" ht="24.6" customHeight="1">
      <c r="A25" s="84"/>
      <c r="B25" s="1467"/>
      <c r="C25" s="879"/>
      <c r="D25" s="265"/>
      <c r="E25" s="869"/>
      <c r="F25" s="936"/>
      <c r="G25" s="937"/>
      <c r="H25" s="936"/>
      <c r="I25" s="937"/>
      <c r="J25" s="937"/>
      <c r="K25" s="958"/>
      <c r="L25" s="84"/>
      <c r="M25" s="84"/>
    </row>
    <row r="26" spans="1:21" ht="24.6" customHeight="1">
      <c r="A26" s="84"/>
      <c r="B26" s="1467"/>
      <c r="C26" s="880" t="s">
        <v>991</v>
      </c>
      <c r="D26" s="265"/>
      <c r="E26" s="869"/>
      <c r="F26" s="936"/>
      <c r="G26" s="937"/>
      <c r="H26" s="936"/>
      <c r="I26" s="937"/>
      <c r="J26" s="937"/>
      <c r="K26" s="958"/>
      <c r="L26" s="84"/>
      <c r="M26" s="84"/>
    </row>
    <row r="27" spans="1:21" ht="24.6" customHeight="1">
      <c r="A27" s="84"/>
      <c r="B27" s="1467"/>
      <c r="C27" s="880"/>
      <c r="D27" s="265"/>
      <c r="E27" s="869"/>
      <c r="F27" s="936"/>
      <c r="G27" s="937"/>
      <c r="H27" s="936"/>
      <c r="I27" s="937"/>
      <c r="J27" s="937"/>
      <c r="K27" s="958"/>
      <c r="L27" s="84"/>
      <c r="M27" s="84"/>
    </row>
    <row r="28" spans="1:21" ht="24" customHeight="1">
      <c r="A28" s="84"/>
      <c r="B28" s="1398"/>
      <c r="C28" s="881" t="s">
        <v>994</v>
      </c>
      <c r="D28" s="265"/>
      <c r="E28" s="870"/>
      <c r="F28" s="1352" t="s">
        <v>4394</v>
      </c>
      <c r="G28" s="938"/>
      <c r="H28" s="945"/>
      <c r="I28" s="1356"/>
      <c r="J28" s="938"/>
      <c r="K28" s="961"/>
      <c r="L28" s="84"/>
      <c r="M28" s="84"/>
    </row>
    <row r="29" spans="1:21" ht="24.6" customHeight="1">
      <c r="A29" s="84"/>
      <c r="B29" s="84"/>
      <c r="C29" s="269"/>
      <c r="D29" s="265"/>
      <c r="E29" s="946">
        <f>K23+1</f>
        <v>23</v>
      </c>
      <c r="F29" s="947">
        <f>E29+1</f>
        <v>24</v>
      </c>
      <c r="G29" s="947">
        <f>F29+1</f>
        <v>25</v>
      </c>
      <c r="H29" s="947">
        <f t="shared" ref="H29:K29" si="4">G29+1</f>
        <v>26</v>
      </c>
      <c r="I29" s="947">
        <f t="shared" si="4"/>
        <v>27</v>
      </c>
      <c r="J29" s="947">
        <f t="shared" si="4"/>
        <v>28</v>
      </c>
      <c r="K29" s="984">
        <f t="shared" si="4"/>
        <v>29</v>
      </c>
      <c r="L29" s="84"/>
      <c r="M29" s="84"/>
    </row>
    <row r="30" spans="1:21" ht="24.6" customHeight="1">
      <c r="A30" s="84"/>
      <c r="B30" s="1467" t="s">
        <v>4690</v>
      </c>
      <c r="C30" s="879" t="s">
        <v>9</v>
      </c>
      <c r="D30" s="265"/>
      <c r="E30" s="871"/>
      <c r="F30" s="1724" t="s">
        <v>336</v>
      </c>
      <c r="G30" s="1725"/>
      <c r="H30" s="1725"/>
      <c r="I30" s="1725"/>
      <c r="J30" s="1725"/>
      <c r="K30" s="957"/>
      <c r="L30" s="84"/>
      <c r="M30" s="84"/>
    </row>
    <row r="31" spans="1:21" ht="24.6" customHeight="1">
      <c r="A31" s="84"/>
      <c r="B31" s="1467"/>
      <c r="C31" s="879"/>
      <c r="D31" s="265"/>
      <c r="E31" s="871"/>
      <c r="F31" s="868"/>
      <c r="G31" s="868"/>
      <c r="H31" s="868"/>
      <c r="I31" s="868"/>
      <c r="J31" s="868"/>
      <c r="K31" s="957"/>
      <c r="L31" s="84"/>
      <c r="M31" s="84"/>
    </row>
    <row r="32" spans="1:21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M32" s="84"/>
    </row>
    <row r="33" spans="1:21" ht="24.6" customHeight="1">
      <c r="A33" s="84"/>
      <c r="B33" s="1467"/>
      <c r="C33" s="880"/>
      <c r="D33" s="265"/>
      <c r="E33" s="871"/>
      <c r="F33" s="944"/>
      <c r="G33" s="868"/>
      <c r="H33" s="874"/>
      <c r="I33" s="871"/>
      <c r="J33" s="871"/>
      <c r="K33" s="960"/>
      <c r="L33" s="84"/>
      <c r="M33" s="84"/>
    </row>
    <row r="34" spans="1:21" ht="24.6" customHeight="1">
      <c r="A34" s="84"/>
      <c r="B34" s="1398"/>
      <c r="C34" s="881" t="s">
        <v>994</v>
      </c>
      <c r="D34" s="265"/>
      <c r="E34" s="872"/>
      <c r="F34" s="872"/>
      <c r="G34" s="964"/>
      <c r="H34" s="965"/>
      <c r="I34" s="872"/>
      <c r="J34" s="872"/>
      <c r="K34" s="966"/>
      <c r="L34" s="84"/>
      <c r="M34" s="84"/>
    </row>
    <row r="35" spans="1:21" ht="24.6" customHeight="1">
      <c r="A35" s="84"/>
      <c r="C35" s="5"/>
      <c r="D35" s="5"/>
      <c r="E35" s="935">
        <f>K29+1</f>
        <v>30</v>
      </c>
      <c r="F35" s="924">
        <f t="shared" ref="F35" si="5">E35+1</f>
        <v>31</v>
      </c>
      <c r="G35" s="923"/>
      <c r="H35" s="924"/>
      <c r="I35" s="923"/>
      <c r="J35" s="923"/>
      <c r="K35" s="925"/>
      <c r="L35" s="84"/>
      <c r="M35" s="84"/>
      <c r="O35" s="1143"/>
      <c r="P35" s="800"/>
      <c r="R35" s="1384"/>
      <c r="S35" s="1373"/>
      <c r="T35" s="90"/>
      <c r="U35" s="90"/>
    </row>
    <row r="36" spans="1:21" ht="24.6" customHeight="1">
      <c r="A36" s="84"/>
      <c r="B36" s="5"/>
      <c r="C36" s="879" t="s">
        <v>9</v>
      </c>
      <c r="D36" s="265"/>
      <c r="E36" s="869"/>
      <c r="F36" s="1402" t="s">
        <v>336</v>
      </c>
      <c r="G36" s="937"/>
      <c r="H36" s="936"/>
      <c r="I36" s="937"/>
      <c r="J36" s="937"/>
      <c r="K36" s="958"/>
      <c r="L36" s="84"/>
      <c r="M36" s="84"/>
      <c r="O36" s="1143"/>
      <c r="P36" s="800"/>
      <c r="R36" s="1384"/>
      <c r="S36" s="1373"/>
      <c r="T36" s="90"/>
      <c r="U36" s="90"/>
    </row>
    <row r="37" spans="1:21" ht="24.6" customHeight="1">
      <c r="A37" s="84"/>
      <c r="B37" s="5"/>
      <c r="C37" s="879"/>
      <c r="D37" s="265"/>
      <c r="E37" s="869"/>
      <c r="F37" s="936"/>
      <c r="G37" s="937"/>
      <c r="H37" s="936"/>
      <c r="I37" s="937"/>
      <c r="J37" s="937"/>
      <c r="K37" s="958"/>
      <c r="L37" s="84"/>
      <c r="M37" s="84"/>
      <c r="O37" s="1143"/>
      <c r="P37" s="800"/>
      <c r="R37" s="1384"/>
      <c r="S37" s="1373"/>
      <c r="T37" s="90"/>
      <c r="U37" s="90"/>
    </row>
    <row r="38" spans="1:21" ht="24.6" customHeight="1">
      <c r="A38" s="84"/>
      <c r="C38" s="880" t="s">
        <v>991</v>
      </c>
      <c r="D38" s="265"/>
      <c r="E38" s="869"/>
      <c r="F38" s="936"/>
      <c r="G38" s="937"/>
      <c r="H38" s="936"/>
      <c r="I38" s="937"/>
      <c r="J38" s="937"/>
      <c r="K38" s="958"/>
      <c r="L38" s="84"/>
      <c r="M38" s="84"/>
      <c r="O38" s="1143"/>
      <c r="P38" s="800"/>
      <c r="R38" s="1384"/>
      <c r="S38" s="1373"/>
      <c r="T38" s="90"/>
      <c r="U38" s="90"/>
    </row>
    <row r="39" spans="1:21" ht="24.6" customHeight="1">
      <c r="A39" s="84"/>
      <c r="C39" s="880"/>
      <c r="D39" s="265"/>
      <c r="E39" s="869"/>
      <c r="F39" s="936"/>
      <c r="G39" s="937"/>
      <c r="H39" s="936"/>
      <c r="I39" s="937"/>
      <c r="J39" s="937"/>
      <c r="K39" s="958"/>
      <c r="L39" s="84"/>
      <c r="M39" s="84"/>
      <c r="O39" s="1143"/>
      <c r="P39" s="800"/>
      <c r="R39" s="1384"/>
      <c r="S39" s="1373"/>
      <c r="T39" s="90"/>
      <c r="U39" s="90"/>
    </row>
    <row r="40" spans="1:21" ht="24" customHeight="1">
      <c r="A40" s="84"/>
      <c r="C40" s="881" t="s">
        <v>994</v>
      </c>
      <c r="D40" s="265"/>
      <c r="E40" s="870"/>
      <c r="F40" s="945"/>
      <c r="G40" s="938"/>
      <c r="H40" s="945"/>
      <c r="I40" s="1356"/>
      <c r="J40" s="938"/>
      <c r="K40" s="961"/>
      <c r="L40" s="84"/>
      <c r="M40" s="84"/>
      <c r="O40" s="1143"/>
      <c r="P40" s="800"/>
      <c r="R40" s="1384"/>
      <c r="S40" s="1373"/>
      <c r="T40" s="90"/>
      <c r="U40" s="90"/>
    </row>
    <row r="41" spans="1:21" ht="19.149999999999999">
      <c r="O41" s="1143"/>
      <c r="P41" s="800"/>
      <c r="R41" s="1384"/>
      <c r="S41" s="1373"/>
      <c r="T41" s="90"/>
      <c r="U41" s="90"/>
    </row>
    <row r="42" spans="1:21" ht="24" customHeight="1">
      <c r="A42" s="84"/>
      <c r="C42" s="962" t="s">
        <v>3744</v>
      </c>
      <c r="D42" s="84"/>
      <c r="E42" s="931" t="s">
        <v>3740</v>
      </c>
      <c r="F42" s="933" t="s">
        <v>3743</v>
      </c>
      <c r="G42" s="1352" t="s">
        <v>3768</v>
      </c>
      <c r="L42" s="84"/>
      <c r="M42" s="84"/>
      <c r="O42" s="1143"/>
      <c r="P42" s="800"/>
      <c r="R42" s="1384"/>
      <c r="S42" s="1373"/>
      <c r="T42" s="90"/>
      <c r="U42" s="90"/>
    </row>
    <row r="43" spans="1:21" ht="24.6" customHeight="1">
      <c r="A43" s="84"/>
      <c r="D43" s="84"/>
      <c r="E43" s="932" t="s">
        <v>3741</v>
      </c>
      <c r="F43" s="1186" t="s">
        <v>3742</v>
      </c>
      <c r="G43" s="972" t="s">
        <v>336</v>
      </c>
      <c r="L43" s="84"/>
      <c r="M43" s="84"/>
      <c r="O43" s="1143"/>
      <c r="P43" s="800"/>
      <c r="R43" s="1384"/>
      <c r="S43" s="1373"/>
      <c r="T43" s="90"/>
      <c r="U43" s="90"/>
    </row>
    <row r="44" spans="1:21" ht="19.149999999999999">
      <c r="O44" s="1143"/>
      <c r="P44" s="800"/>
      <c r="R44" s="1384"/>
      <c r="S44" s="1373"/>
      <c r="T44" s="90"/>
      <c r="U44" s="90"/>
    </row>
    <row r="45" spans="1:21" ht="19.149999999999999">
      <c r="O45" s="1143"/>
      <c r="P45" s="800"/>
      <c r="R45" s="1384"/>
      <c r="S45" s="1373"/>
      <c r="T45" s="90"/>
      <c r="U45" s="90"/>
    </row>
    <row r="46" spans="1:21" ht="19.149999999999999">
      <c r="O46" s="1143"/>
      <c r="P46" s="800"/>
      <c r="R46" s="1384"/>
      <c r="S46" s="1373"/>
      <c r="T46" s="90"/>
      <c r="U46" s="90"/>
    </row>
    <row r="47" spans="1:21" ht="19.149999999999999">
      <c r="O47" s="1143"/>
      <c r="P47" s="800"/>
      <c r="R47" s="1384"/>
      <c r="S47" s="1373"/>
      <c r="T47" s="90"/>
      <c r="U47" s="90"/>
    </row>
    <row r="48" spans="1:21" ht="19.149999999999999">
      <c r="O48" s="1143"/>
      <c r="P48" s="800"/>
      <c r="R48" s="1384"/>
      <c r="S48" s="1373"/>
      <c r="T48" s="90"/>
      <c r="U48" s="90"/>
    </row>
    <row r="49" spans="19:19">
      <c r="S49" s="84"/>
    </row>
  </sheetData>
  <sortState ref="N9:T24">
    <sortCondition ref="Q9:Q24"/>
  </sortState>
  <mergeCells count="16">
    <mergeCell ref="F6:J6"/>
    <mergeCell ref="F12:J12"/>
    <mergeCell ref="F18:J18"/>
    <mergeCell ref="F24:J24"/>
    <mergeCell ref="F30:J30"/>
    <mergeCell ref="O2:P2"/>
    <mergeCell ref="Q2:R2"/>
    <mergeCell ref="E3:G3"/>
    <mergeCell ref="H3:K3"/>
    <mergeCell ref="O3:P3"/>
    <mergeCell ref="Q3:R3"/>
    <mergeCell ref="B6:B10"/>
    <mergeCell ref="B12:B15"/>
    <mergeCell ref="B24:B27"/>
    <mergeCell ref="B18:B21"/>
    <mergeCell ref="B30:B33"/>
  </mergeCells>
  <phoneticPr fontId="6" type="noConversion"/>
  <pageMargins left="0.7" right="0.7" top="0.75" bottom="0.75" header="0.3" footer="0.3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53"/>
  <sheetViews>
    <sheetView showGridLines="0" topLeftCell="F1" zoomScale="55" zoomScaleNormal="55" workbookViewId="0">
      <selection activeCell="H27" sqref="H27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46266</v>
      </c>
      <c r="F3" s="1759"/>
      <c r="G3" s="1759"/>
      <c r="H3" s="1760" t="s">
        <v>10</v>
      </c>
      <c r="I3" s="1717"/>
      <c r="J3" s="1717"/>
      <c r="K3" s="1717"/>
      <c r="N3" s="989">
        <f>SUMIF($Q$8:$Q$51,"F",$P$8:$P$51)</f>
        <v>238000</v>
      </c>
      <c r="O3" s="1715">
        <f>SUMIF($Q$7:$Q$49,"S",$P$7:$P$49)</f>
        <v>139400</v>
      </c>
      <c r="P3" s="1715"/>
      <c r="Q3" s="1706">
        <f>N3+O3</f>
        <v>377400</v>
      </c>
      <c r="R3" s="1707"/>
      <c r="S3" s="1380">
        <f>400000-Q3</f>
        <v>22600</v>
      </c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1381">
        <f>S3/34000</f>
        <v>0.66470588235294115</v>
      </c>
    </row>
    <row r="5" spans="1:22" s="5" customFormat="1" ht="24.6" customHeight="1">
      <c r="E5" s="973"/>
      <c r="F5" s="941"/>
      <c r="G5" s="941">
        <v>1</v>
      </c>
      <c r="H5" s="1357">
        <f t="shared" ref="H5" si="0">G5+1</f>
        <v>2</v>
      </c>
      <c r="I5" s="922">
        <f t="shared" ref="I5" si="1">H5+1</f>
        <v>3</v>
      </c>
      <c r="J5" s="922">
        <f t="shared" ref="J5" si="2">I5+1</f>
        <v>4</v>
      </c>
      <c r="K5" s="1340">
        <f t="shared" ref="K5" si="3">J5+1</f>
        <v>5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1724" t="s">
        <v>336</v>
      </c>
      <c r="G6" s="1725"/>
      <c r="H6" s="1725"/>
      <c r="I6" s="1725"/>
      <c r="J6" s="1725"/>
      <c r="K6" s="957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868"/>
      <c r="H7" s="868"/>
      <c r="I7" s="868"/>
      <c r="J7" s="868"/>
      <c r="K7" s="957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8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90" t="s">
        <v>4580</v>
      </c>
      <c r="O9" s="1143"/>
      <c r="P9" s="842">
        <v>34000</v>
      </c>
      <c r="Q9" s="90" t="s">
        <v>4520</v>
      </c>
      <c r="R9" s="1384"/>
      <c r="S9" s="1373"/>
      <c r="T9" s="90"/>
      <c r="U9" s="84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8"/>
      <c r="G10" s="868"/>
      <c r="H10" s="868"/>
      <c r="I10" s="868"/>
      <c r="J10" s="868"/>
      <c r="K10" s="868"/>
      <c r="L10" s="90"/>
      <c r="M10" s="90"/>
      <c r="N10" s="90" t="s">
        <v>4612</v>
      </c>
      <c r="O10" s="1143"/>
      <c r="P10" s="842">
        <v>34000</v>
      </c>
      <c r="Q10" s="90" t="s">
        <v>4634</v>
      </c>
      <c r="R10" s="1384"/>
      <c r="S10" s="1373"/>
      <c r="T10" s="90"/>
      <c r="U10" s="84"/>
    </row>
    <row r="11" spans="1:22" ht="24.6" customHeight="1">
      <c r="A11" s="84"/>
      <c r="B11" s="84"/>
      <c r="C11" s="5"/>
      <c r="D11" s="5"/>
      <c r="E11" s="935">
        <f>K5+1</f>
        <v>6</v>
      </c>
      <c r="F11" s="924">
        <f t="shared" ref="F11:K11" si="4">E11+1</f>
        <v>7</v>
      </c>
      <c r="G11" s="923">
        <f t="shared" si="4"/>
        <v>8</v>
      </c>
      <c r="H11" s="924">
        <f t="shared" si="4"/>
        <v>9</v>
      </c>
      <c r="I11" s="923">
        <f t="shared" si="4"/>
        <v>10</v>
      </c>
      <c r="J11" s="923">
        <f t="shared" si="4"/>
        <v>11</v>
      </c>
      <c r="K11" s="925">
        <f t="shared" si="4"/>
        <v>12</v>
      </c>
      <c r="N11" s="90" t="s">
        <v>4635</v>
      </c>
      <c r="O11" s="1143"/>
      <c r="P11" s="842">
        <v>34000</v>
      </c>
      <c r="Q11" s="90" t="s">
        <v>4521</v>
      </c>
      <c r="R11" s="1384"/>
      <c r="S11" s="1373"/>
      <c r="T11" s="90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24" t="s">
        <v>336</v>
      </c>
      <c r="G12" s="1725"/>
      <c r="H12" s="1725"/>
      <c r="I12" s="1725"/>
      <c r="J12" s="1725"/>
      <c r="K12" s="958"/>
      <c r="N12" s="90" t="s">
        <v>4636</v>
      </c>
      <c r="O12" s="1143"/>
      <c r="P12" s="842">
        <v>34000</v>
      </c>
      <c r="Q12" s="90" t="s">
        <v>4576</v>
      </c>
      <c r="R12" s="1384"/>
      <c r="S12" s="1373"/>
      <c r="T12" s="90"/>
    </row>
    <row r="13" spans="1:22" ht="24.6" customHeight="1">
      <c r="A13" s="84"/>
      <c r="B13" s="1467"/>
      <c r="C13" s="879"/>
      <c r="D13" s="265"/>
      <c r="E13" s="869"/>
      <c r="F13" s="936"/>
      <c r="G13" s="937"/>
      <c r="H13" s="937"/>
      <c r="I13" s="937"/>
      <c r="J13" s="937"/>
      <c r="K13" s="958"/>
      <c r="N13" s="90" t="s">
        <v>4627</v>
      </c>
      <c r="O13" s="1143"/>
      <c r="P13" s="842">
        <v>9000</v>
      </c>
      <c r="Q13" s="90" t="s">
        <v>4522</v>
      </c>
      <c r="R13" s="1384"/>
      <c r="S13" s="1373"/>
      <c r="T13" s="90"/>
    </row>
    <row r="14" spans="1:22" ht="24.6" customHeight="1">
      <c r="A14" s="84"/>
      <c r="B14" s="1467"/>
      <c r="C14" s="880" t="s">
        <v>991</v>
      </c>
      <c r="D14" s="265"/>
      <c r="E14" s="869"/>
      <c r="F14" s="936"/>
      <c r="G14" s="937"/>
      <c r="H14" s="937"/>
      <c r="I14" s="937"/>
      <c r="J14" s="937"/>
      <c r="K14" s="958"/>
      <c r="N14" s="90" t="s">
        <v>4628</v>
      </c>
      <c r="O14" s="1143"/>
      <c r="P14" s="842">
        <v>12000</v>
      </c>
      <c r="Q14" s="90" t="s">
        <v>3463</v>
      </c>
      <c r="R14" s="1384"/>
      <c r="S14" s="1373"/>
      <c r="T14" s="90"/>
    </row>
    <row r="15" spans="1:22" ht="24.6" customHeight="1">
      <c r="A15" s="84"/>
      <c r="B15" s="1467"/>
      <c r="C15" s="880"/>
      <c r="D15" s="265"/>
      <c r="E15" s="869"/>
      <c r="F15" s="936"/>
      <c r="G15" s="937"/>
      <c r="H15" s="937"/>
      <c r="I15" s="937"/>
      <c r="J15" s="937"/>
      <c r="K15" s="958"/>
      <c r="N15" s="90" t="s">
        <v>4598</v>
      </c>
      <c r="O15" s="1143"/>
      <c r="P15" s="842">
        <v>15000</v>
      </c>
      <c r="Q15" s="90" t="s">
        <v>4629</v>
      </c>
      <c r="R15" s="1384"/>
      <c r="S15" s="1373"/>
      <c r="T15" s="90"/>
    </row>
    <row r="16" spans="1:22" ht="24.6" customHeight="1">
      <c r="A16" s="84"/>
      <c r="B16" s="1398"/>
      <c r="C16" s="881" t="s">
        <v>994</v>
      </c>
      <c r="D16" s="265"/>
      <c r="E16" s="869"/>
      <c r="F16" s="936"/>
      <c r="G16" s="938"/>
      <c r="H16" s="937"/>
      <c r="I16" s="937"/>
      <c r="J16" s="937"/>
      <c r="K16" s="958"/>
      <c r="N16" s="90" t="s">
        <v>4630</v>
      </c>
      <c r="O16" s="1143"/>
      <c r="P16" s="842">
        <v>6000</v>
      </c>
      <c r="Q16" s="90" t="s">
        <v>3463</v>
      </c>
      <c r="R16" s="1384"/>
      <c r="S16" s="1373"/>
      <c r="T16" s="90"/>
      <c r="V16" s="1277"/>
    </row>
    <row r="17" spans="1:22" ht="24.6" customHeight="1">
      <c r="A17" s="84"/>
      <c r="B17" s="84"/>
      <c r="C17" s="5"/>
      <c r="D17" s="5"/>
      <c r="E17" s="939">
        <f>K11+1</f>
        <v>13</v>
      </c>
      <c r="F17" s="940">
        <f t="shared" ref="F17:K17" si="5">E17+1</f>
        <v>14</v>
      </c>
      <c r="G17" s="941">
        <f t="shared" si="5"/>
        <v>15</v>
      </c>
      <c r="H17" s="942">
        <f t="shared" si="5"/>
        <v>16</v>
      </c>
      <c r="I17" s="943">
        <f t="shared" si="5"/>
        <v>17</v>
      </c>
      <c r="J17" s="943">
        <f t="shared" si="5"/>
        <v>18</v>
      </c>
      <c r="K17" s="959">
        <f t="shared" si="5"/>
        <v>19</v>
      </c>
      <c r="M17" s="203"/>
      <c r="N17" s="90" t="s">
        <v>4536</v>
      </c>
      <c r="O17" s="1143"/>
      <c r="P17" s="842">
        <v>12000</v>
      </c>
      <c r="Q17" s="90" t="s">
        <v>3463</v>
      </c>
      <c r="R17" s="1384"/>
      <c r="S17" s="1373"/>
      <c r="T17" s="90"/>
      <c r="V17" s="1277"/>
    </row>
    <row r="18" spans="1:22" ht="24.6" customHeight="1">
      <c r="A18" s="84"/>
      <c r="B18" s="1467" t="s">
        <v>4690</v>
      </c>
      <c r="C18" s="879" t="s">
        <v>9</v>
      </c>
      <c r="D18" s="265"/>
      <c r="E18" s="871"/>
      <c r="F18" s="1778"/>
      <c r="G18" s="1779"/>
      <c r="H18" s="868"/>
      <c r="I18" s="1778"/>
      <c r="J18" s="1779"/>
      <c r="K18" s="868"/>
      <c r="N18" s="90" t="s">
        <v>4537</v>
      </c>
      <c r="O18" s="1143"/>
      <c r="P18" s="842">
        <v>31200</v>
      </c>
      <c r="Q18" s="90" t="s">
        <v>4549</v>
      </c>
      <c r="R18" s="1384"/>
      <c r="S18" s="1373"/>
      <c r="T18" s="90"/>
    </row>
    <row r="19" spans="1:22" ht="24.6" customHeight="1">
      <c r="A19" s="84"/>
      <c r="B19" s="1467"/>
      <c r="C19" s="879"/>
      <c r="D19" s="265"/>
      <c r="E19" s="871"/>
      <c r="F19" s="868"/>
      <c r="G19" s="1778"/>
      <c r="H19" s="1779"/>
      <c r="I19" s="868"/>
      <c r="J19" s="1778"/>
      <c r="K19" s="1779"/>
      <c r="L19" s="84"/>
      <c r="M19" s="84"/>
      <c r="N19" s="90" t="s">
        <v>4538</v>
      </c>
      <c r="O19" s="1143"/>
      <c r="P19" s="842">
        <v>21600</v>
      </c>
      <c r="Q19" s="90" t="s">
        <v>4577</v>
      </c>
      <c r="R19" s="1384"/>
      <c r="S19" s="1373"/>
      <c r="T19" s="90"/>
    </row>
    <row r="20" spans="1:22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871"/>
      <c r="J20" s="871"/>
      <c r="K20" s="960"/>
      <c r="L20" s="84"/>
      <c r="M20" s="84"/>
      <c r="N20" s="90" t="s">
        <v>4631</v>
      </c>
      <c r="O20" s="1143"/>
      <c r="P20" s="842">
        <v>4600</v>
      </c>
      <c r="Q20" s="90" t="s">
        <v>4577</v>
      </c>
      <c r="R20" s="1384"/>
      <c r="S20" s="1373"/>
      <c r="T20" s="90"/>
    </row>
    <row r="21" spans="1:22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871"/>
      <c r="K21" s="960"/>
      <c r="L21" s="84"/>
      <c r="M21" s="84"/>
      <c r="N21" s="90" t="s">
        <v>4582</v>
      </c>
      <c r="O21" s="1143"/>
      <c r="P21" s="842">
        <v>7200</v>
      </c>
      <c r="Q21" s="90" t="s">
        <v>3463</v>
      </c>
      <c r="R21" s="1384"/>
      <c r="S21" s="1373"/>
      <c r="T21" s="90"/>
    </row>
    <row r="22" spans="1:22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960"/>
      <c r="L22" s="84"/>
      <c r="M22" s="84"/>
      <c r="N22" s="90" t="s">
        <v>643</v>
      </c>
      <c r="O22" s="1143"/>
      <c r="P22" s="842">
        <v>2400</v>
      </c>
      <c r="Q22" s="90" t="s">
        <v>4629</v>
      </c>
      <c r="R22" s="1384"/>
      <c r="S22" s="1373"/>
      <c r="T22" s="90"/>
    </row>
    <row r="23" spans="1:22" ht="24.6" customHeight="1">
      <c r="A23" s="84"/>
      <c r="B23" s="84"/>
      <c r="C23" s="5"/>
      <c r="D23" s="5"/>
      <c r="E23" s="935">
        <f>K17+1</f>
        <v>20</v>
      </c>
      <c r="F23" s="924">
        <f t="shared" ref="F23:K23" si="6">E23+1</f>
        <v>21</v>
      </c>
      <c r="G23" s="923">
        <f t="shared" si="6"/>
        <v>22</v>
      </c>
      <c r="H23" s="924">
        <f t="shared" si="6"/>
        <v>23</v>
      </c>
      <c r="I23" s="923">
        <f t="shared" si="6"/>
        <v>24</v>
      </c>
      <c r="J23" s="923">
        <f t="shared" si="6"/>
        <v>25</v>
      </c>
      <c r="K23" s="925">
        <f t="shared" si="6"/>
        <v>26</v>
      </c>
      <c r="L23" s="84"/>
      <c r="M23" s="84"/>
      <c r="N23" s="90" t="s">
        <v>4632</v>
      </c>
      <c r="O23" s="1143"/>
      <c r="P23" s="842">
        <v>3000</v>
      </c>
      <c r="Q23" s="90" t="s">
        <v>3463</v>
      </c>
      <c r="R23" s="1384"/>
      <c r="S23" s="1373"/>
      <c r="T23" s="90"/>
    </row>
    <row r="24" spans="1:22" ht="24.6" customHeight="1">
      <c r="A24" s="84"/>
      <c r="B24" s="1467" t="s">
        <v>4690</v>
      </c>
      <c r="C24" s="879" t="s">
        <v>9</v>
      </c>
      <c r="D24" s="265"/>
      <c r="E24" s="869"/>
      <c r="F24" s="1778"/>
      <c r="G24" s="1779"/>
      <c r="H24" s="936"/>
      <c r="I24" s="937"/>
      <c r="J24" s="937"/>
      <c r="K24" s="958"/>
      <c r="L24" s="84"/>
      <c r="M24" s="84"/>
      <c r="N24" s="90" t="s">
        <v>4633</v>
      </c>
      <c r="O24" s="1143"/>
      <c r="P24" s="842">
        <v>2400</v>
      </c>
      <c r="Q24" s="90" t="s">
        <v>3463</v>
      </c>
      <c r="R24" s="1384"/>
      <c r="S24" s="1373"/>
      <c r="T24" s="90"/>
    </row>
    <row r="25" spans="1:22" ht="24.6" customHeight="1">
      <c r="A25" s="84"/>
      <c r="B25" s="1467"/>
      <c r="C25" s="879"/>
      <c r="D25" s="265"/>
      <c r="E25" s="869"/>
      <c r="F25" s="936"/>
      <c r="G25" s="1778"/>
      <c r="H25" s="1779"/>
      <c r="I25" s="937"/>
      <c r="J25" s="937"/>
      <c r="K25" s="958"/>
      <c r="L25" s="84"/>
      <c r="M25" s="84"/>
      <c r="N25" s="90" t="s">
        <v>4545</v>
      </c>
      <c r="O25" s="1143"/>
      <c r="P25" s="842">
        <v>5000</v>
      </c>
      <c r="Q25" s="90" t="s">
        <v>3463</v>
      </c>
      <c r="R25" s="1384"/>
      <c r="S25" s="1373"/>
      <c r="T25" s="90"/>
    </row>
    <row r="26" spans="1:22" ht="24.6" customHeight="1">
      <c r="A26" s="84"/>
      <c r="B26" s="1467"/>
      <c r="C26" s="880" t="s">
        <v>991</v>
      </c>
      <c r="D26" s="265"/>
      <c r="E26" s="869"/>
      <c r="F26" s="936"/>
      <c r="G26" s="937"/>
      <c r="H26" s="936"/>
      <c r="I26" s="937"/>
      <c r="J26" s="937"/>
      <c r="K26" s="958"/>
      <c r="L26" s="84"/>
      <c r="M26" s="84"/>
      <c r="N26" s="90" t="s">
        <v>4546</v>
      </c>
      <c r="O26" s="1143"/>
      <c r="P26" s="842">
        <v>3000</v>
      </c>
      <c r="Q26" s="90" t="s">
        <v>4549</v>
      </c>
      <c r="R26" s="1384"/>
      <c r="S26" s="1373"/>
      <c r="T26" s="90"/>
    </row>
    <row r="27" spans="1:22" ht="24.6" customHeight="1">
      <c r="A27" s="84"/>
      <c r="B27" s="1467"/>
      <c r="C27" s="880"/>
      <c r="D27" s="265"/>
      <c r="E27" s="869"/>
      <c r="F27" s="936"/>
      <c r="G27" s="937"/>
      <c r="H27" s="936"/>
      <c r="I27" s="937"/>
      <c r="J27" s="937"/>
      <c r="K27" s="958"/>
      <c r="L27" s="84"/>
      <c r="M27" s="84"/>
      <c r="N27" s="90" t="s">
        <v>4567</v>
      </c>
      <c r="O27" s="1143"/>
      <c r="P27" s="800">
        <v>5000</v>
      </c>
      <c r="Q27" s="90" t="s">
        <v>3463</v>
      </c>
      <c r="R27" s="1384"/>
      <c r="S27" s="1373"/>
      <c r="T27" s="90"/>
    </row>
    <row r="28" spans="1:22" ht="24" customHeight="1">
      <c r="A28" s="84"/>
      <c r="B28" s="1398"/>
      <c r="C28" s="881" t="s">
        <v>994</v>
      </c>
      <c r="D28" s="265"/>
      <c r="E28" s="869"/>
      <c r="G28" s="937"/>
      <c r="H28" s="936"/>
      <c r="I28" s="1352" t="s">
        <v>4395</v>
      </c>
      <c r="J28" s="1352" t="s">
        <v>690</v>
      </c>
      <c r="K28" s="1352" t="s">
        <v>4396</v>
      </c>
      <c r="L28" s="84"/>
      <c r="M28" s="84"/>
      <c r="N28" s="90" t="s">
        <v>4588</v>
      </c>
      <c r="O28" s="1143"/>
      <c r="P28" s="800">
        <v>34000</v>
      </c>
      <c r="Q28" s="800" t="s">
        <v>4523</v>
      </c>
      <c r="R28" s="1143"/>
      <c r="S28" s="1373"/>
      <c r="T28" s="90"/>
      <c r="U28" s="90"/>
    </row>
    <row r="29" spans="1:22" ht="24.6" customHeight="1">
      <c r="A29" s="84"/>
      <c r="B29" s="84"/>
      <c r="C29" s="269"/>
      <c r="D29" s="265"/>
      <c r="E29" s="1337">
        <f>K23+1</f>
        <v>27</v>
      </c>
      <c r="F29" s="1338">
        <f>E29+1</f>
        <v>28</v>
      </c>
      <c r="G29" s="1338">
        <f>F29+1</f>
        <v>29</v>
      </c>
      <c r="H29" s="1338">
        <f t="shared" ref="H29" si="7">G29+1</f>
        <v>30</v>
      </c>
      <c r="I29" s="947"/>
      <c r="J29" s="947"/>
      <c r="K29" s="984"/>
      <c r="L29" s="84"/>
      <c r="M29" s="84"/>
      <c r="N29" s="90" t="s">
        <v>4588</v>
      </c>
      <c r="O29" s="1143"/>
      <c r="P29" s="800">
        <v>34000</v>
      </c>
      <c r="Q29" s="800" t="s">
        <v>4523</v>
      </c>
      <c r="R29" s="1143"/>
      <c r="S29" s="1373"/>
      <c r="T29" s="90"/>
      <c r="U29" s="90"/>
    </row>
    <row r="30" spans="1:22" ht="24.6" customHeight="1">
      <c r="A30" s="84"/>
      <c r="B30" s="1467" t="s">
        <v>4690</v>
      </c>
      <c r="C30" s="879" t="s">
        <v>9</v>
      </c>
      <c r="D30" s="265"/>
      <c r="E30" s="871"/>
      <c r="F30" s="1778"/>
      <c r="G30" s="1779"/>
      <c r="H30" s="874"/>
      <c r="I30" s="871"/>
      <c r="J30" s="871"/>
      <c r="K30" s="960"/>
      <c r="L30" s="84"/>
      <c r="M30" s="84"/>
      <c r="N30" s="90" t="s">
        <v>4622</v>
      </c>
      <c r="O30" s="1143"/>
      <c r="P30" s="800">
        <v>34000</v>
      </c>
      <c r="Q30" s="800" t="s">
        <v>4523</v>
      </c>
      <c r="R30" s="1143"/>
      <c r="S30" s="1373"/>
      <c r="T30" s="90"/>
    </row>
    <row r="31" spans="1:22" ht="24.6" customHeight="1">
      <c r="A31" s="84"/>
      <c r="B31" s="1467"/>
      <c r="C31" s="879"/>
      <c r="D31" s="265"/>
      <c r="E31" s="871"/>
      <c r="F31" s="944"/>
      <c r="G31" s="1807"/>
      <c r="H31" s="1808"/>
      <c r="I31" s="871"/>
      <c r="J31" s="871"/>
      <c r="K31" s="960"/>
      <c r="L31" s="84"/>
      <c r="M31" s="84"/>
      <c r="O31" s="1143"/>
      <c r="P31" s="800"/>
      <c r="R31" s="1384"/>
      <c r="S31" s="1373"/>
      <c r="T31" s="90"/>
      <c r="U31" s="1277"/>
    </row>
    <row r="32" spans="1:22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M32" s="84"/>
      <c r="O32" s="1143"/>
      <c r="P32" s="800"/>
      <c r="R32" s="1384"/>
      <c r="S32" s="1373"/>
      <c r="T32" s="90"/>
      <c r="U32" s="1277"/>
    </row>
    <row r="33" spans="1:20" ht="24.6" customHeight="1">
      <c r="A33" s="84"/>
      <c r="B33" s="1467"/>
      <c r="C33" s="880"/>
      <c r="D33" s="265"/>
      <c r="E33" s="871"/>
      <c r="F33" s="944"/>
      <c r="G33" s="868"/>
      <c r="H33" s="874"/>
      <c r="I33" s="871"/>
      <c r="J33" s="871"/>
      <c r="K33" s="960"/>
      <c r="L33" s="84"/>
      <c r="M33" s="84"/>
      <c r="O33" s="1143"/>
      <c r="P33" s="800"/>
      <c r="R33" s="1384"/>
      <c r="S33" s="1373"/>
      <c r="T33" s="90"/>
    </row>
    <row r="34" spans="1:20" ht="24.6" customHeight="1">
      <c r="A34" s="84"/>
      <c r="B34" s="1398"/>
      <c r="C34" s="881" t="s">
        <v>994</v>
      </c>
      <c r="D34" s="265"/>
      <c r="E34" s="872"/>
      <c r="F34" s="872"/>
      <c r="G34" s="964"/>
      <c r="H34" s="965"/>
      <c r="I34" s="872"/>
      <c r="J34" s="872"/>
      <c r="K34" s="966"/>
      <c r="L34" s="84"/>
      <c r="M34" s="84"/>
      <c r="O34" s="1143"/>
      <c r="P34" s="800"/>
      <c r="R34" s="1384"/>
      <c r="S34" s="1373"/>
      <c r="T34" s="90"/>
    </row>
    <row r="35" spans="1:20" ht="19.149999999999999">
      <c r="O35" s="1143"/>
      <c r="P35" s="800"/>
      <c r="R35" s="1384"/>
      <c r="S35" s="1373"/>
      <c r="T35" s="90"/>
    </row>
    <row r="36" spans="1:20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2" t="s">
        <v>3768</v>
      </c>
      <c r="L36" s="84"/>
      <c r="M36" s="84"/>
      <c r="O36" s="1143"/>
      <c r="P36" s="800"/>
      <c r="R36" s="1384"/>
      <c r="S36" s="1373"/>
      <c r="T36" s="90"/>
    </row>
    <row r="37" spans="1:20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O37" s="1143"/>
      <c r="P37" s="800"/>
      <c r="R37" s="1384"/>
      <c r="S37" s="1373"/>
      <c r="T37" s="90"/>
    </row>
    <row r="38" spans="1:20" ht="19.149999999999999">
      <c r="O38" s="1143"/>
      <c r="P38" s="800"/>
      <c r="R38" s="1384"/>
      <c r="S38" s="1373"/>
      <c r="T38" s="90"/>
    </row>
    <row r="39" spans="1:20" ht="19.149999999999999">
      <c r="O39" s="1143"/>
      <c r="P39" s="800"/>
      <c r="R39" s="1384"/>
      <c r="S39" s="1373"/>
      <c r="T39" s="90"/>
    </row>
    <row r="40" spans="1:20" ht="19.149999999999999">
      <c r="O40" s="1143"/>
      <c r="P40" s="800"/>
      <c r="R40" s="1384"/>
      <c r="S40" s="1373"/>
      <c r="T40" s="90"/>
    </row>
    <row r="41" spans="1:20" ht="19.149999999999999">
      <c r="O41" s="1143"/>
      <c r="P41" s="800"/>
      <c r="R41" s="1384"/>
      <c r="S41" s="1373"/>
      <c r="T41" s="90"/>
    </row>
    <row r="42" spans="1:20" ht="19.149999999999999">
      <c r="O42" s="1143"/>
      <c r="P42" s="800"/>
      <c r="R42" s="1384"/>
      <c r="S42" s="1373"/>
      <c r="T42" s="90"/>
    </row>
    <row r="43" spans="1:20" ht="19.149999999999999">
      <c r="O43" s="1143"/>
      <c r="P43" s="800"/>
      <c r="R43" s="1384"/>
      <c r="S43" s="1373"/>
      <c r="T43" s="90"/>
    </row>
    <row r="44" spans="1:20" ht="19.149999999999999">
      <c r="O44" s="1143"/>
      <c r="P44" s="800"/>
      <c r="R44" s="1384"/>
      <c r="S44" s="1373"/>
      <c r="T44" s="90"/>
    </row>
    <row r="45" spans="1:20" ht="19.149999999999999">
      <c r="O45" s="1143"/>
      <c r="P45" s="800"/>
      <c r="R45" s="1384"/>
      <c r="S45" s="1373"/>
      <c r="T45" s="90"/>
    </row>
    <row r="46" spans="1:20" ht="19.149999999999999">
      <c r="O46" s="1143"/>
      <c r="P46" s="800"/>
      <c r="R46" s="1384"/>
      <c r="S46" s="1373"/>
      <c r="T46" s="90"/>
    </row>
    <row r="47" spans="1:20" ht="19.149999999999999">
      <c r="O47" s="1143"/>
      <c r="P47" s="800"/>
      <c r="R47" s="1384"/>
      <c r="S47" s="1373"/>
      <c r="T47" s="90"/>
    </row>
    <row r="48" spans="1:20" ht="19.149999999999999">
      <c r="O48" s="1143"/>
      <c r="P48" s="800"/>
      <c r="R48" s="1384"/>
      <c r="S48" s="1373"/>
      <c r="T48" s="90"/>
    </row>
    <row r="49" spans="15:20" ht="19.149999999999999">
      <c r="O49" s="1143"/>
      <c r="P49" s="800"/>
      <c r="R49" s="1384"/>
      <c r="S49" s="1373"/>
      <c r="T49" s="90"/>
    </row>
    <row r="50" spans="15:20" ht="19.149999999999999">
      <c r="O50" s="1143"/>
      <c r="P50" s="800"/>
      <c r="R50" s="1384"/>
      <c r="S50" s="1373"/>
      <c r="T50" s="90"/>
    </row>
    <row r="51" spans="15:20" ht="19.149999999999999">
      <c r="O51" s="1143"/>
      <c r="P51" s="800"/>
      <c r="R51" s="1384"/>
      <c r="S51" s="1373"/>
      <c r="T51" s="90"/>
    </row>
    <row r="52" spans="15:20" ht="19.149999999999999">
      <c r="O52" s="1143"/>
      <c r="P52" s="800"/>
      <c r="R52" s="1384"/>
      <c r="S52" s="1373"/>
      <c r="T52" s="90"/>
    </row>
    <row r="53" spans="15:20" ht="19.149999999999999">
      <c r="O53" s="1143"/>
      <c r="P53" s="800"/>
      <c r="R53" s="1384"/>
      <c r="S53" s="1373"/>
      <c r="T53" s="90"/>
    </row>
  </sheetData>
  <sortState ref="N9:U46">
    <sortCondition ref="Q9:Q46"/>
  </sortState>
  <mergeCells count="21">
    <mergeCell ref="B6:B10"/>
    <mergeCell ref="O2:P2"/>
    <mergeCell ref="Q2:R2"/>
    <mergeCell ref="E3:G3"/>
    <mergeCell ref="H3:K3"/>
    <mergeCell ref="O3:P3"/>
    <mergeCell ref="Q3:R3"/>
    <mergeCell ref="F6:J6"/>
    <mergeCell ref="B12:B15"/>
    <mergeCell ref="B30:B33"/>
    <mergeCell ref="F30:G30"/>
    <mergeCell ref="G31:H31"/>
    <mergeCell ref="B18:B21"/>
    <mergeCell ref="F18:G18"/>
    <mergeCell ref="F12:J12"/>
    <mergeCell ref="I18:J18"/>
    <mergeCell ref="G19:H19"/>
    <mergeCell ref="J19:K19"/>
    <mergeCell ref="B24:B27"/>
    <mergeCell ref="F24:G24"/>
    <mergeCell ref="G25:H25"/>
  </mergeCells>
  <phoneticPr fontId="6" type="noConversion"/>
  <pageMargins left="0.7" right="0.7" top="0.75" bottom="0.75" header="0.3" footer="0.3"/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48"/>
  <sheetViews>
    <sheetView showGridLines="0" topLeftCell="E1" zoomScale="55" zoomScaleNormal="55" workbookViewId="0">
      <selection activeCell="I23" sqref="I23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46296</v>
      </c>
      <c r="F3" s="1759"/>
      <c r="G3" s="1759"/>
      <c r="H3" s="1760" t="s">
        <v>10</v>
      </c>
      <c r="I3" s="1717"/>
      <c r="J3" s="1717"/>
      <c r="K3" s="1717"/>
      <c r="N3" s="989">
        <f>SUMIF($Q$8:$Q$55,"F",$P$8:$P$55)</f>
        <v>272000</v>
      </c>
      <c r="O3" s="1715">
        <f ca="1">SUMIF($Q$7:$Q$56,"S",$P$7:$P$55)</f>
        <v>40300</v>
      </c>
      <c r="P3" s="1715"/>
      <c r="Q3" s="1706">
        <f ca="1">N3+O3</f>
        <v>312300</v>
      </c>
      <c r="R3" s="1707"/>
      <c r="S3" s="1380">
        <f ca="1">400000-Q3</f>
        <v>87700</v>
      </c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1381">
        <f ca="1">S3/34000</f>
        <v>2.5794117647058825</v>
      </c>
    </row>
    <row r="5" spans="1:22" s="5" customFormat="1" ht="24.6" customHeight="1">
      <c r="E5" s="973"/>
      <c r="F5" s="941"/>
      <c r="G5" s="941"/>
      <c r="H5" s="1357"/>
      <c r="I5" s="922">
        <f t="shared" ref="I5:K5" si="0">H5+1</f>
        <v>1</v>
      </c>
      <c r="J5" s="922">
        <f t="shared" si="0"/>
        <v>2</v>
      </c>
      <c r="K5" s="1340">
        <f t="shared" si="0"/>
        <v>3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868"/>
      <c r="G6" s="868"/>
      <c r="H6" s="868"/>
      <c r="I6" s="1778"/>
      <c r="J6" s="1779"/>
      <c r="K6" s="868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868"/>
      <c r="H7" s="868"/>
      <c r="I7" s="868"/>
      <c r="J7" s="1778"/>
      <c r="K7" s="1779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8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90" t="s">
        <v>4531</v>
      </c>
      <c r="O9" s="1143"/>
      <c r="P9" s="842">
        <v>34000</v>
      </c>
      <c r="Q9" s="90" t="s">
        <v>4524</v>
      </c>
      <c r="R9" s="1384"/>
      <c r="S9" s="1373"/>
      <c r="T9" s="90"/>
      <c r="U9" s="84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8"/>
      <c r="G10" s="868"/>
      <c r="H10" s="868"/>
      <c r="I10" s="868"/>
      <c r="J10" s="868"/>
      <c r="K10" s="1352" t="s">
        <v>1255</v>
      </c>
      <c r="L10" s="90"/>
      <c r="M10" s="90"/>
      <c r="N10" s="90" t="s">
        <v>4617</v>
      </c>
      <c r="O10" s="1143"/>
      <c r="P10" s="842">
        <v>34000</v>
      </c>
      <c r="Q10" s="90" t="s">
        <v>4521</v>
      </c>
      <c r="R10" s="1384"/>
      <c r="S10" s="1373"/>
      <c r="T10" s="90"/>
      <c r="U10" s="84"/>
    </row>
    <row r="11" spans="1:22" ht="24.6" customHeight="1">
      <c r="A11" s="84"/>
      <c r="B11" s="84"/>
      <c r="C11" s="5"/>
      <c r="D11" s="5"/>
      <c r="E11" s="935">
        <f>K5+1</f>
        <v>4</v>
      </c>
      <c r="F11" s="924">
        <f t="shared" ref="F11:K11" si="1">E11+1</f>
        <v>5</v>
      </c>
      <c r="G11" s="923">
        <f t="shared" si="1"/>
        <v>6</v>
      </c>
      <c r="H11" s="924">
        <f t="shared" si="1"/>
        <v>7</v>
      </c>
      <c r="I11" s="923">
        <f t="shared" si="1"/>
        <v>8</v>
      </c>
      <c r="J11" s="923">
        <f t="shared" si="1"/>
        <v>9</v>
      </c>
      <c r="K11" s="925">
        <f t="shared" si="1"/>
        <v>10</v>
      </c>
      <c r="N11" s="90" t="s">
        <v>4587</v>
      </c>
      <c r="O11" s="1143"/>
      <c r="P11" s="842">
        <v>34000</v>
      </c>
      <c r="Q11" s="90" t="s">
        <v>3462</v>
      </c>
      <c r="R11" s="1384"/>
      <c r="S11" s="1373"/>
      <c r="T11" s="90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G12" s="1778"/>
      <c r="H12" s="1779"/>
      <c r="I12" s="936"/>
      <c r="N12" s="90" t="s">
        <v>4588</v>
      </c>
      <c r="O12" s="1143"/>
      <c r="P12" s="800">
        <v>34000</v>
      </c>
      <c r="Q12" s="800" t="s">
        <v>4523</v>
      </c>
      <c r="R12" s="1384"/>
      <c r="S12" s="1373"/>
      <c r="T12" s="90"/>
    </row>
    <row r="13" spans="1:22" ht="24.6" customHeight="1">
      <c r="A13" s="84"/>
      <c r="B13" s="1467"/>
      <c r="C13" s="879"/>
      <c r="D13" s="265"/>
      <c r="E13" s="869"/>
      <c r="F13" s="936"/>
      <c r="H13" s="1778"/>
      <c r="I13" s="1779"/>
      <c r="K13" s="937"/>
      <c r="N13" s="90" t="s">
        <v>4588</v>
      </c>
      <c r="O13" s="1143"/>
      <c r="P13" s="800">
        <v>34000</v>
      </c>
      <c r="Q13" s="800" t="s">
        <v>4523</v>
      </c>
      <c r="R13" s="1384"/>
      <c r="S13" s="1373"/>
      <c r="T13" s="90"/>
    </row>
    <row r="14" spans="1:22" ht="24.6" customHeight="1">
      <c r="A14" s="84"/>
      <c r="B14" s="1467"/>
      <c r="C14" s="880" t="s">
        <v>991</v>
      </c>
      <c r="D14" s="265"/>
      <c r="E14" s="869"/>
      <c r="F14" s="869"/>
      <c r="G14" s="869"/>
      <c r="H14" s="869"/>
      <c r="I14" s="869"/>
      <c r="J14" s="937"/>
      <c r="K14" s="958"/>
      <c r="N14" s="90" t="s">
        <v>4588</v>
      </c>
      <c r="O14" s="1143"/>
      <c r="P14" s="800">
        <v>34000</v>
      </c>
      <c r="Q14" s="800" t="s">
        <v>4523</v>
      </c>
      <c r="R14" s="1384"/>
      <c r="S14" s="1373"/>
      <c r="T14" s="90"/>
    </row>
    <row r="15" spans="1:22" ht="24.6" customHeight="1">
      <c r="A15" s="84"/>
      <c r="B15" s="1467"/>
      <c r="C15" s="880"/>
      <c r="D15" s="265"/>
      <c r="E15" s="869"/>
      <c r="F15" s="1401"/>
      <c r="G15" s="1399"/>
      <c r="H15" s="937"/>
      <c r="I15" s="1399"/>
      <c r="J15" s="1400"/>
      <c r="K15" s="958"/>
      <c r="N15" s="90" t="s">
        <v>4639</v>
      </c>
      <c r="O15" s="1143"/>
      <c r="P15" s="800">
        <v>34000</v>
      </c>
      <c r="Q15" s="800" t="s">
        <v>4523</v>
      </c>
      <c r="R15" s="1384"/>
      <c r="S15" s="1373"/>
      <c r="T15" s="90"/>
    </row>
    <row r="16" spans="1:22" ht="24.6" customHeight="1">
      <c r="A16" s="84"/>
      <c r="B16" s="1398"/>
      <c r="C16" s="881" t="s">
        <v>994</v>
      </c>
      <c r="D16" s="265"/>
      <c r="E16" s="869"/>
      <c r="F16" s="1352" t="s">
        <v>4397</v>
      </c>
      <c r="G16" s="938"/>
      <c r="H16" s="937"/>
      <c r="I16" s="937"/>
      <c r="J16" s="1352" t="s">
        <v>2608</v>
      </c>
      <c r="K16" s="958"/>
      <c r="N16" s="90" t="s">
        <v>4639</v>
      </c>
      <c r="O16" s="1143"/>
      <c r="P16" s="800">
        <v>34000</v>
      </c>
      <c r="Q16" s="800" t="s">
        <v>4523</v>
      </c>
      <c r="R16" s="1384"/>
      <c r="S16" s="1373"/>
      <c r="T16" s="90"/>
      <c r="U16" s="1277"/>
      <c r="V16" s="1277"/>
    </row>
    <row r="17" spans="1:22" ht="24.6" customHeight="1">
      <c r="A17" s="84"/>
      <c r="B17" s="84"/>
      <c r="C17" s="5"/>
      <c r="D17" s="5"/>
      <c r="E17" s="939">
        <f>K11+1</f>
        <v>11</v>
      </c>
      <c r="F17" s="940">
        <f t="shared" ref="F17:K17" si="2">E17+1</f>
        <v>12</v>
      </c>
      <c r="G17" s="941">
        <f t="shared" si="2"/>
        <v>13</v>
      </c>
      <c r="H17" s="942">
        <f t="shared" si="2"/>
        <v>14</v>
      </c>
      <c r="I17" s="943">
        <f t="shared" si="2"/>
        <v>15</v>
      </c>
      <c r="J17" s="943">
        <f t="shared" si="2"/>
        <v>16</v>
      </c>
      <c r="K17" s="959">
        <f t="shared" si="2"/>
        <v>17</v>
      </c>
      <c r="M17" s="203"/>
      <c r="N17" s="90" t="s">
        <v>4559</v>
      </c>
      <c r="O17" s="1143"/>
      <c r="P17" s="842">
        <v>11000</v>
      </c>
      <c r="Q17" s="90" t="s">
        <v>3463</v>
      </c>
      <c r="R17" s="1384"/>
      <c r="S17" s="1373"/>
      <c r="T17" s="90"/>
      <c r="V17" s="1277"/>
    </row>
    <row r="18" spans="1:22" ht="24.6" customHeight="1">
      <c r="A18" s="84"/>
      <c r="B18" s="1467" t="s">
        <v>4690</v>
      </c>
      <c r="C18" s="879" t="s">
        <v>9</v>
      </c>
      <c r="D18" s="265"/>
      <c r="E18" s="871"/>
      <c r="F18" s="1778"/>
      <c r="G18" s="1779"/>
      <c r="H18" s="868"/>
      <c r="I18" s="1778"/>
      <c r="J18" s="1779"/>
      <c r="K18" s="868"/>
      <c r="N18" s="90" t="s">
        <v>4539</v>
      </c>
      <c r="O18" s="1143"/>
      <c r="P18" s="842">
        <v>12000</v>
      </c>
      <c r="Q18" s="90" t="s">
        <v>3463</v>
      </c>
      <c r="R18" s="1384"/>
      <c r="S18" s="1373"/>
      <c r="T18" s="90"/>
      <c r="U18" s="1277"/>
    </row>
    <row r="19" spans="1:22" ht="24.6" customHeight="1">
      <c r="A19" s="84"/>
      <c r="B19" s="1467"/>
      <c r="C19" s="879"/>
      <c r="D19" s="265"/>
      <c r="E19" s="871"/>
      <c r="F19" s="868"/>
      <c r="G19" s="1778"/>
      <c r="H19" s="1779"/>
      <c r="I19" s="868"/>
      <c r="J19" s="1778"/>
      <c r="K19" s="1779"/>
      <c r="L19" s="84"/>
      <c r="M19" s="84"/>
      <c r="N19" s="90" t="s">
        <v>4540</v>
      </c>
      <c r="O19" s="1143"/>
      <c r="P19" s="842">
        <v>4000</v>
      </c>
      <c r="Q19" s="90" t="s">
        <v>3463</v>
      </c>
      <c r="R19" s="1384"/>
      <c r="S19" s="1373"/>
      <c r="T19" s="90"/>
    </row>
    <row r="20" spans="1:22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871"/>
      <c r="J20" s="871"/>
      <c r="K20" s="960"/>
      <c r="L20" s="84"/>
      <c r="M20" s="84"/>
      <c r="N20" s="90" t="s">
        <v>2980</v>
      </c>
      <c r="O20" s="1143"/>
      <c r="P20" s="842">
        <v>2500</v>
      </c>
      <c r="Q20" s="90" t="s">
        <v>3463</v>
      </c>
      <c r="R20" s="1384"/>
      <c r="S20" s="1373"/>
      <c r="T20" s="90"/>
    </row>
    <row r="21" spans="1:22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871"/>
      <c r="K21" s="960"/>
      <c r="L21" s="84"/>
      <c r="M21" s="84"/>
      <c r="N21" s="90" t="s">
        <v>4544</v>
      </c>
      <c r="O21" s="1143"/>
      <c r="P21" s="842">
        <v>2500</v>
      </c>
      <c r="Q21" s="90" t="s">
        <v>4549</v>
      </c>
      <c r="R21" s="1384"/>
      <c r="S21" s="1373"/>
      <c r="T21" s="90"/>
    </row>
    <row r="22" spans="1:22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960"/>
      <c r="L22" s="84"/>
      <c r="M22" s="84"/>
      <c r="N22" s="90" t="s">
        <v>4583</v>
      </c>
      <c r="O22" s="1143"/>
      <c r="P22" s="842">
        <v>3300</v>
      </c>
      <c r="Q22" s="90" t="s">
        <v>3463</v>
      </c>
      <c r="R22" s="1384"/>
      <c r="S22" s="1373"/>
      <c r="T22" s="90"/>
    </row>
    <row r="23" spans="1:22" ht="24.6" customHeight="1">
      <c r="A23" s="84"/>
      <c r="B23" s="84"/>
      <c r="C23" s="5"/>
      <c r="D23" s="5"/>
      <c r="E23" s="935">
        <f>K17+1</f>
        <v>18</v>
      </c>
      <c r="F23" s="924">
        <f t="shared" ref="F23:K23" si="3">E23+1</f>
        <v>19</v>
      </c>
      <c r="G23" s="923">
        <f t="shared" si="3"/>
        <v>20</v>
      </c>
      <c r="H23" s="924">
        <f t="shared" si="3"/>
        <v>21</v>
      </c>
      <c r="I23" s="923">
        <f t="shared" si="3"/>
        <v>22</v>
      </c>
      <c r="J23" s="923">
        <f t="shared" si="3"/>
        <v>23</v>
      </c>
      <c r="K23" s="925">
        <f t="shared" si="3"/>
        <v>24</v>
      </c>
      <c r="L23" s="84"/>
      <c r="M23" s="84"/>
      <c r="N23" s="90" t="s">
        <v>4551</v>
      </c>
      <c r="O23" s="1143"/>
      <c r="P23" s="842">
        <v>5000</v>
      </c>
      <c r="Q23" s="90" t="s">
        <v>4549</v>
      </c>
      <c r="R23" s="1384"/>
      <c r="S23" s="1373"/>
      <c r="T23" s="90"/>
    </row>
    <row r="24" spans="1:22" ht="24.6" customHeight="1">
      <c r="A24" s="84"/>
      <c r="B24" s="1467" t="s">
        <v>4690</v>
      </c>
      <c r="C24" s="879" t="s">
        <v>9</v>
      </c>
      <c r="D24" s="265"/>
      <c r="E24" s="869"/>
      <c r="F24" s="1778"/>
      <c r="G24" s="1779"/>
      <c r="H24" s="936"/>
      <c r="I24" s="1784"/>
      <c r="J24" s="1785"/>
      <c r="K24" s="958"/>
      <c r="L24" s="84"/>
      <c r="M24" s="84"/>
      <c r="O24" s="1143"/>
      <c r="P24" s="842"/>
      <c r="R24" s="1384"/>
      <c r="S24" s="1373"/>
      <c r="T24" s="90"/>
    </row>
    <row r="25" spans="1:22" ht="24.6" customHeight="1">
      <c r="A25" s="84"/>
      <c r="B25" s="1467"/>
      <c r="C25" s="879"/>
      <c r="D25" s="265"/>
      <c r="E25" s="869"/>
      <c r="F25" s="936"/>
      <c r="G25" s="1778"/>
      <c r="H25" s="1779"/>
      <c r="I25" s="937"/>
      <c r="J25" s="1784"/>
      <c r="K25" s="1785"/>
      <c r="L25" s="84"/>
      <c r="M25" s="84"/>
      <c r="O25" s="1143"/>
      <c r="P25" s="842"/>
      <c r="R25" s="1384"/>
      <c r="S25" s="1373"/>
      <c r="T25" s="90"/>
    </row>
    <row r="26" spans="1:22" ht="24.6" customHeight="1">
      <c r="A26" s="84"/>
      <c r="B26" s="1467"/>
      <c r="C26" s="880" t="s">
        <v>991</v>
      </c>
      <c r="D26" s="265"/>
      <c r="E26" s="869"/>
      <c r="F26" s="936"/>
      <c r="G26" s="937"/>
      <c r="H26" s="936"/>
      <c r="I26" s="937"/>
      <c r="J26" s="937"/>
      <c r="K26" s="958"/>
      <c r="L26" s="84"/>
      <c r="M26" s="84"/>
      <c r="O26" s="1143"/>
      <c r="P26" s="842"/>
      <c r="R26" s="1384"/>
      <c r="S26" s="1373"/>
      <c r="T26" s="90"/>
    </row>
    <row r="27" spans="1:22" ht="24.6" customHeight="1">
      <c r="A27" s="84"/>
      <c r="B27" s="1467"/>
      <c r="C27" s="880"/>
      <c r="D27" s="265"/>
      <c r="E27" s="869"/>
      <c r="F27" s="936"/>
      <c r="G27" s="937"/>
      <c r="H27" s="936"/>
      <c r="I27" s="937"/>
      <c r="J27" s="937"/>
      <c r="K27" s="958"/>
      <c r="L27" s="84"/>
      <c r="M27" s="84"/>
      <c r="O27" s="1143"/>
      <c r="P27" s="842"/>
      <c r="R27" s="1384"/>
      <c r="S27" s="1373"/>
      <c r="T27" s="90"/>
    </row>
    <row r="28" spans="1:22" ht="24" customHeight="1">
      <c r="A28" s="84"/>
      <c r="B28" s="1398"/>
      <c r="C28" s="881" t="s">
        <v>994</v>
      </c>
      <c r="D28" s="265"/>
      <c r="E28" s="869"/>
      <c r="G28" s="937"/>
      <c r="H28" s="936"/>
      <c r="I28" s="937"/>
      <c r="J28" s="937"/>
      <c r="K28" s="958"/>
      <c r="L28" s="84"/>
      <c r="M28" s="84"/>
      <c r="O28" s="1143"/>
      <c r="P28" s="842"/>
      <c r="R28" s="1384"/>
      <c r="S28" s="1373"/>
      <c r="T28" s="90"/>
    </row>
    <row r="29" spans="1:22" ht="24.6" customHeight="1">
      <c r="A29" s="84"/>
      <c r="B29" s="84"/>
      <c r="C29" s="269"/>
      <c r="D29" s="265"/>
      <c r="E29" s="1337">
        <f>K23+1</f>
        <v>25</v>
      </c>
      <c r="F29" s="1338">
        <f>E29+1</f>
        <v>26</v>
      </c>
      <c r="G29" s="1338">
        <f>F29+1</f>
        <v>27</v>
      </c>
      <c r="H29" s="1338">
        <f t="shared" ref="H29:K29" si="4">G29+1</f>
        <v>28</v>
      </c>
      <c r="I29" s="1338">
        <f t="shared" si="4"/>
        <v>29</v>
      </c>
      <c r="J29" s="1338">
        <f t="shared" si="4"/>
        <v>30</v>
      </c>
      <c r="K29" s="1338">
        <f t="shared" si="4"/>
        <v>31</v>
      </c>
      <c r="L29" s="84"/>
      <c r="M29" s="84"/>
      <c r="O29" s="1143"/>
      <c r="P29" s="842"/>
      <c r="R29" s="1384"/>
      <c r="S29" s="1373"/>
      <c r="T29" s="90"/>
    </row>
    <row r="30" spans="1:22" ht="24.6" customHeight="1">
      <c r="A30" s="84"/>
      <c r="B30" s="1467" t="s">
        <v>4690</v>
      </c>
      <c r="C30" s="879" t="s">
        <v>9</v>
      </c>
      <c r="D30" s="265"/>
      <c r="E30" s="871"/>
      <c r="F30" s="1778"/>
      <c r="G30" s="1779"/>
      <c r="H30" s="874"/>
      <c r="I30" s="1784"/>
      <c r="J30" s="1785"/>
      <c r="K30" s="871"/>
      <c r="L30" s="84"/>
      <c r="M30" s="84"/>
      <c r="O30" s="1143"/>
      <c r="P30" s="842"/>
      <c r="R30" s="1384"/>
      <c r="S30" s="1373"/>
      <c r="T30" s="90"/>
    </row>
    <row r="31" spans="1:22" ht="24.6" customHeight="1">
      <c r="A31" s="84"/>
      <c r="B31" s="1467"/>
      <c r="C31" s="879"/>
      <c r="D31" s="265"/>
      <c r="E31" s="871"/>
      <c r="F31" s="944"/>
      <c r="G31" s="1778"/>
      <c r="H31" s="1779"/>
      <c r="I31" s="871"/>
      <c r="J31" s="1784"/>
      <c r="K31" s="1785"/>
      <c r="L31" s="84"/>
      <c r="M31" s="84"/>
      <c r="O31" s="1143"/>
      <c r="P31" s="842"/>
      <c r="R31" s="1384"/>
      <c r="S31" s="1373"/>
      <c r="T31" s="90"/>
    </row>
    <row r="32" spans="1:22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M32" s="84"/>
      <c r="O32" s="1143"/>
      <c r="P32" s="842"/>
      <c r="R32" s="1384"/>
      <c r="S32" s="1373"/>
      <c r="T32" s="90"/>
    </row>
    <row r="33" spans="1:20" ht="24.6" customHeight="1">
      <c r="A33" s="84"/>
      <c r="B33" s="1467"/>
      <c r="C33" s="880"/>
      <c r="D33" s="265"/>
      <c r="E33" s="871"/>
      <c r="F33" s="944"/>
      <c r="G33" s="868"/>
      <c r="H33" s="874"/>
      <c r="I33" s="871"/>
      <c r="J33" s="871"/>
      <c r="K33" s="960"/>
      <c r="L33" s="84"/>
      <c r="M33" s="84"/>
      <c r="O33" s="1143"/>
      <c r="P33" s="842"/>
      <c r="R33" s="1384"/>
      <c r="S33" s="1373"/>
      <c r="T33" s="90"/>
    </row>
    <row r="34" spans="1:20" ht="24.6" customHeight="1">
      <c r="A34" s="84"/>
      <c r="B34" s="1398"/>
      <c r="C34" s="881" t="s">
        <v>994</v>
      </c>
      <c r="D34" s="265"/>
      <c r="E34" s="872"/>
      <c r="F34" s="872"/>
      <c r="G34" s="964"/>
      <c r="H34" s="965"/>
      <c r="I34" s="872"/>
      <c r="J34" s="872"/>
      <c r="K34" s="966"/>
      <c r="L34" s="84"/>
      <c r="M34" s="84"/>
      <c r="O34" s="1143"/>
      <c r="P34" s="842"/>
      <c r="R34" s="1384"/>
      <c r="S34" s="1373"/>
      <c r="T34" s="90"/>
    </row>
    <row r="35" spans="1:20" ht="19.149999999999999">
      <c r="O35" s="1143"/>
      <c r="P35" s="842"/>
      <c r="R35" s="1384"/>
      <c r="S35" s="1373"/>
      <c r="T35" s="90"/>
    </row>
    <row r="36" spans="1:20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2" t="s">
        <v>3768</v>
      </c>
      <c r="L36" s="84"/>
      <c r="M36" s="84"/>
      <c r="O36" s="1143"/>
      <c r="P36" s="842"/>
      <c r="R36" s="1384"/>
      <c r="S36" s="1373"/>
      <c r="T36" s="90"/>
    </row>
    <row r="37" spans="1:20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O37" s="1143"/>
      <c r="P37" s="842"/>
      <c r="R37" s="1384"/>
      <c r="S37" s="1373"/>
      <c r="T37" s="90"/>
    </row>
    <row r="38" spans="1:20" ht="19.149999999999999">
      <c r="O38" s="1143"/>
      <c r="P38" s="842"/>
      <c r="R38" s="1384"/>
      <c r="S38" s="1373"/>
      <c r="T38" s="90"/>
    </row>
    <row r="39" spans="1:20" ht="19.149999999999999">
      <c r="O39" s="1143"/>
      <c r="P39" s="842"/>
      <c r="R39" s="1384"/>
      <c r="S39" s="1373"/>
      <c r="T39" s="90"/>
    </row>
    <row r="40" spans="1:20" ht="19.149999999999999">
      <c r="O40" s="1143"/>
      <c r="P40" s="842"/>
      <c r="R40" s="1384"/>
      <c r="S40" s="1373"/>
      <c r="T40" s="90"/>
    </row>
    <row r="41" spans="1:20" ht="19.149999999999999">
      <c r="O41" s="1143"/>
      <c r="P41" s="842"/>
      <c r="R41" s="1384"/>
      <c r="S41" s="1373"/>
      <c r="T41" s="90"/>
    </row>
    <row r="42" spans="1:20" ht="19.149999999999999">
      <c r="O42" s="1143"/>
      <c r="P42" s="842"/>
      <c r="R42" s="1384"/>
      <c r="S42" s="1373"/>
      <c r="T42" s="90"/>
    </row>
    <row r="43" spans="1:20" ht="19.149999999999999">
      <c r="O43" s="1143"/>
      <c r="P43" s="842"/>
      <c r="R43" s="1384"/>
      <c r="S43" s="1373"/>
      <c r="T43" s="90"/>
    </row>
    <row r="44" spans="1:20" ht="19.149999999999999">
      <c r="O44" s="1143"/>
      <c r="P44" s="842"/>
      <c r="R44" s="1384"/>
      <c r="S44" s="1373"/>
      <c r="T44" s="90"/>
    </row>
    <row r="45" spans="1:20" ht="19.149999999999999">
      <c r="O45" s="1143"/>
      <c r="P45" s="842"/>
      <c r="R45" s="1384"/>
      <c r="S45" s="1373"/>
      <c r="T45" s="90"/>
    </row>
    <row r="46" spans="1:20" ht="19.149999999999999">
      <c r="O46" s="1143"/>
      <c r="P46" s="842"/>
      <c r="R46" s="1384"/>
      <c r="S46" s="1373"/>
      <c r="T46" s="90"/>
    </row>
    <row r="47" spans="1:20" ht="19.149999999999999">
      <c r="O47" s="1143"/>
      <c r="P47" s="842"/>
      <c r="R47" s="1384"/>
      <c r="S47" s="1373"/>
      <c r="T47" s="90"/>
    </row>
    <row r="48" spans="1:20" ht="19.149999999999999">
      <c r="O48" s="1143"/>
      <c r="P48" s="842"/>
      <c r="R48" s="1384"/>
      <c r="S48" s="1373"/>
      <c r="T48" s="90"/>
    </row>
  </sheetData>
  <sortState ref="N9:T23">
    <sortCondition ref="Q9:Q23"/>
  </sortState>
  <mergeCells count="27">
    <mergeCell ref="O2:P2"/>
    <mergeCell ref="Q2:R2"/>
    <mergeCell ref="E3:G3"/>
    <mergeCell ref="H3:K3"/>
    <mergeCell ref="O3:P3"/>
    <mergeCell ref="Q3:R3"/>
    <mergeCell ref="B12:B15"/>
    <mergeCell ref="G12:H12"/>
    <mergeCell ref="H13:I13"/>
    <mergeCell ref="I6:J6"/>
    <mergeCell ref="J7:K7"/>
    <mergeCell ref="B6:B10"/>
    <mergeCell ref="B24:B27"/>
    <mergeCell ref="F24:G24"/>
    <mergeCell ref="I24:J24"/>
    <mergeCell ref="G25:H25"/>
    <mergeCell ref="J25:K25"/>
    <mergeCell ref="B18:B21"/>
    <mergeCell ref="F18:G18"/>
    <mergeCell ref="I18:J18"/>
    <mergeCell ref="G19:H19"/>
    <mergeCell ref="J19:K19"/>
    <mergeCell ref="B30:B33"/>
    <mergeCell ref="F30:G30"/>
    <mergeCell ref="G31:H31"/>
    <mergeCell ref="I30:J30"/>
    <mergeCell ref="J31:K31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43"/>
  <sheetViews>
    <sheetView showGridLines="0" topLeftCell="F1" zoomScale="55" zoomScaleNormal="55" workbookViewId="0">
      <selection activeCell="O26" sqref="O26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46327</v>
      </c>
      <c r="F3" s="1759"/>
      <c r="G3" s="1759"/>
      <c r="H3" s="1760" t="s">
        <v>10</v>
      </c>
      <c r="I3" s="1717"/>
      <c r="J3" s="1717"/>
      <c r="K3" s="1717"/>
      <c r="N3" s="989">
        <f>SUMIF($Q$8:$Q$36,"F",$P$8:$P$36)</f>
        <v>340000</v>
      </c>
      <c r="O3" s="1715">
        <f>SUMIF($Q$7:$Q$36,"S",$P$7:$P$36)</f>
        <v>10000</v>
      </c>
      <c r="P3" s="1715"/>
      <c r="Q3" s="1706">
        <f>N3+O3</f>
        <v>350000</v>
      </c>
      <c r="R3" s="1707"/>
      <c r="S3" s="1380">
        <f>400000-Q3</f>
        <v>50000</v>
      </c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1381">
        <f>S3/34000</f>
        <v>1.4705882352941178</v>
      </c>
    </row>
    <row r="5" spans="1:22" s="5" customFormat="1" ht="24.6" customHeight="1">
      <c r="E5" s="973">
        <v>1</v>
      </c>
      <c r="F5" s="1357">
        <f t="shared" ref="F5" si="0">E5+1</f>
        <v>2</v>
      </c>
      <c r="G5" s="922">
        <f t="shared" ref="G5" si="1">F5+1</f>
        <v>3</v>
      </c>
      <c r="H5" s="1357">
        <f t="shared" ref="H5" si="2">G5+1</f>
        <v>4</v>
      </c>
      <c r="I5" s="922">
        <f t="shared" ref="I5" si="3">H5+1</f>
        <v>5</v>
      </c>
      <c r="J5" s="922">
        <f t="shared" ref="J5" si="4">I5+1</f>
        <v>6</v>
      </c>
      <c r="K5" s="1340">
        <f t="shared" ref="K5" si="5">J5+1</f>
        <v>7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1778"/>
      <c r="G6" s="1779"/>
      <c r="H6" s="868"/>
      <c r="I6" s="1778"/>
      <c r="J6" s="1779"/>
      <c r="K6" s="868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1778"/>
      <c r="H7" s="1779"/>
      <c r="I7" s="868"/>
      <c r="J7" s="1778"/>
      <c r="K7" s="1779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8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90" t="s">
        <v>4637</v>
      </c>
      <c r="O9" s="1143"/>
      <c r="P9" s="842">
        <v>34000</v>
      </c>
      <c r="Q9" s="90" t="s">
        <v>3462</v>
      </c>
      <c r="R9" s="1384"/>
      <c r="S9" s="1373"/>
      <c r="T9" s="90"/>
      <c r="U9" s="84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8"/>
      <c r="G10" s="868"/>
      <c r="H10" s="868"/>
      <c r="I10" s="868"/>
      <c r="J10" s="868"/>
      <c r="K10" s="868"/>
      <c r="L10" s="90"/>
      <c r="M10" s="90"/>
      <c r="N10" s="90" t="s">
        <v>4587</v>
      </c>
      <c r="O10" s="1143"/>
      <c r="P10" s="842">
        <v>34000</v>
      </c>
      <c r="Q10" s="90" t="s">
        <v>4523</v>
      </c>
      <c r="R10" s="1384"/>
      <c r="S10" s="1373"/>
      <c r="T10" s="90"/>
      <c r="U10" s="84"/>
    </row>
    <row r="11" spans="1:22" ht="24.6" customHeight="1">
      <c r="A11" s="84"/>
      <c r="B11" s="84"/>
      <c r="C11" s="5"/>
      <c r="D11" s="5"/>
      <c r="E11" s="935">
        <f>K5+1</f>
        <v>8</v>
      </c>
      <c r="F11" s="924">
        <f t="shared" ref="F11:K11" si="6">E11+1</f>
        <v>9</v>
      </c>
      <c r="G11" s="923">
        <f t="shared" si="6"/>
        <v>10</v>
      </c>
      <c r="H11" s="924">
        <f t="shared" si="6"/>
        <v>11</v>
      </c>
      <c r="I11" s="923">
        <f t="shared" si="6"/>
        <v>12</v>
      </c>
      <c r="J11" s="923">
        <f t="shared" si="6"/>
        <v>13</v>
      </c>
      <c r="K11" s="925">
        <f t="shared" si="6"/>
        <v>14</v>
      </c>
      <c r="N11" s="90" t="s">
        <v>4587</v>
      </c>
      <c r="O11" s="1143"/>
      <c r="P11" s="842">
        <v>34000</v>
      </c>
      <c r="Q11" s="90" t="s">
        <v>3462</v>
      </c>
      <c r="R11" s="1384"/>
      <c r="S11" s="1373"/>
      <c r="T11" s="90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78"/>
      <c r="G12" s="1779"/>
      <c r="H12" s="936"/>
      <c r="I12" s="1778"/>
      <c r="J12" s="1779"/>
      <c r="K12" s="958"/>
      <c r="N12" s="90" t="s">
        <v>4587</v>
      </c>
      <c r="O12" s="1143"/>
      <c r="P12" s="842">
        <v>34000</v>
      </c>
      <c r="Q12" s="90" t="s">
        <v>4524</v>
      </c>
      <c r="R12" s="1384"/>
      <c r="S12" s="1373"/>
      <c r="T12" s="90"/>
    </row>
    <row r="13" spans="1:22" ht="24.6" customHeight="1">
      <c r="A13" s="84"/>
      <c r="B13" s="1467"/>
      <c r="C13" s="879"/>
      <c r="D13" s="265"/>
      <c r="E13" s="869"/>
      <c r="F13" s="936"/>
      <c r="G13" s="1778"/>
      <c r="H13" s="1779"/>
      <c r="I13" s="937"/>
      <c r="J13" s="1778"/>
      <c r="K13" s="1779"/>
      <c r="N13" s="90" t="s">
        <v>4587</v>
      </c>
      <c r="O13" s="1143"/>
      <c r="P13" s="842">
        <v>34000</v>
      </c>
      <c r="Q13" s="90" t="s">
        <v>4526</v>
      </c>
      <c r="R13" s="1384"/>
      <c r="S13" s="1373"/>
      <c r="T13" s="90"/>
    </row>
    <row r="14" spans="1:22" ht="24.6" customHeight="1">
      <c r="A14" s="84"/>
      <c r="B14" s="1467"/>
      <c r="C14" s="880" t="s">
        <v>991</v>
      </c>
      <c r="D14" s="265"/>
      <c r="E14" s="869"/>
      <c r="F14" s="936"/>
      <c r="G14" s="937"/>
      <c r="H14" s="937"/>
      <c r="I14" s="937"/>
      <c r="J14" s="937"/>
      <c r="K14" s="958"/>
      <c r="N14" s="90" t="s">
        <v>4540</v>
      </c>
      <c r="O14" s="1143"/>
      <c r="P14" s="842">
        <v>4000</v>
      </c>
      <c r="Q14" s="90" t="s">
        <v>4638</v>
      </c>
      <c r="R14" s="1384"/>
      <c r="S14" s="1373"/>
      <c r="T14" s="90"/>
    </row>
    <row r="15" spans="1:22" ht="24.6" customHeight="1">
      <c r="A15" s="84"/>
      <c r="B15" s="1467"/>
      <c r="C15" s="880"/>
      <c r="D15" s="265"/>
      <c r="E15" s="869"/>
      <c r="F15" s="936"/>
      <c r="G15" s="937"/>
      <c r="H15" s="937"/>
      <c r="I15" s="937"/>
      <c r="J15" s="937"/>
      <c r="K15" s="958"/>
      <c r="N15" s="90" t="s">
        <v>4584</v>
      </c>
      <c r="O15" s="1143"/>
      <c r="P15" s="842">
        <v>4000</v>
      </c>
      <c r="Q15" s="90" t="s">
        <v>4522</v>
      </c>
      <c r="R15" s="1384"/>
      <c r="S15" s="1373"/>
      <c r="T15" s="90"/>
    </row>
    <row r="16" spans="1:22" ht="24.6" customHeight="1">
      <c r="A16" s="84"/>
      <c r="B16" s="1398"/>
      <c r="C16" s="881" t="s">
        <v>994</v>
      </c>
      <c r="D16" s="265"/>
      <c r="E16" s="869"/>
      <c r="F16" s="869"/>
      <c r="G16" s="869"/>
      <c r="H16" s="869"/>
      <c r="I16" s="869"/>
      <c r="J16" s="869"/>
      <c r="K16" s="958"/>
      <c r="N16" s="90" t="s">
        <v>4586</v>
      </c>
      <c r="O16" s="1143"/>
      <c r="P16" s="842">
        <v>2000</v>
      </c>
      <c r="Q16" s="90" t="s">
        <v>4549</v>
      </c>
      <c r="R16" s="1384"/>
      <c r="S16" s="1373"/>
      <c r="T16" s="90"/>
      <c r="V16" s="1277"/>
    </row>
    <row r="17" spans="1:22" ht="24.6" customHeight="1">
      <c r="A17" s="84"/>
      <c r="B17" s="84"/>
      <c r="C17" s="5"/>
      <c r="D17" s="5"/>
      <c r="E17" s="939">
        <f>K11+1</f>
        <v>15</v>
      </c>
      <c r="F17" s="1272">
        <f t="shared" ref="F17:K17" si="7">E17+1</f>
        <v>16</v>
      </c>
      <c r="G17" s="1273">
        <f t="shared" si="7"/>
        <v>17</v>
      </c>
      <c r="H17" s="1339">
        <f t="shared" si="7"/>
        <v>18</v>
      </c>
      <c r="I17" s="922">
        <f t="shared" si="7"/>
        <v>19</v>
      </c>
      <c r="J17" s="922">
        <f t="shared" si="7"/>
        <v>20</v>
      </c>
      <c r="K17" s="1340">
        <f t="shared" si="7"/>
        <v>21</v>
      </c>
      <c r="M17" s="203"/>
      <c r="N17" s="90" t="s">
        <v>4588</v>
      </c>
      <c r="O17" s="1143"/>
      <c r="P17" s="800">
        <v>34000</v>
      </c>
      <c r="Q17" s="800" t="s">
        <v>4523</v>
      </c>
      <c r="R17" s="1384"/>
      <c r="S17" s="1371"/>
      <c r="T17" s="5"/>
      <c r="V17" s="1277"/>
    </row>
    <row r="18" spans="1:22" ht="24.6" customHeight="1">
      <c r="A18" s="84"/>
      <c r="B18" s="1467" t="s">
        <v>4690</v>
      </c>
      <c r="C18" s="879" t="s">
        <v>9</v>
      </c>
      <c r="D18" s="265"/>
      <c r="E18" s="871"/>
      <c r="F18" s="1778"/>
      <c r="G18" s="1779"/>
      <c r="H18" s="868"/>
      <c r="I18" s="1778"/>
      <c r="J18" s="1779"/>
      <c r="K18" s="868"/>
      <c r="N18" s="90" t="s">
        <v>4588</v>
      </c>
      <c r="O18" s="1143"/>
      <c r="P18" s="800">
        <v>34000</v>
      </c>
      <c r="Q18" s="800" t="s">
        <v>4523</v>
      </c>
      <c r="R18" s="1384"/>
      <c r="S18" s="1371"/>
      <c r="T18" s="5"/>
    </row>
    <row r="19" spans="1:22" ht="24.6" customHeight="1">
      <c r="A19" s="84"/>
      <c r="B19" s="1467"/>
      <c r="C19" s="879"/>
      <c r="D19" s="265"/>
      <c r="E19" s="871"/>
      <c r="F19" s="868"/>
      <c r="G19" s="1778"/>
      <c r="H19" s="1779"/>
      <c r="I19" s="868"/>
      <c r="J19" s="1778"/>
      <c r="K19" s="1779"/>
      <c r="L19" s="84"/>
      <c r="M19" s="84"/>
      <c r="N19" s="90" t="s">
        <v>4588</v>
      </c>
      <c r="O19" s="1143"/>
      <c r="P19" s="800">
        <v>34000</v>
      </c>
      <c r="Q19" s="800" t="s">
        <v>4523</v>
      </c>
      <c r="R19" s="1384"/>
      <c r="S19" s="1371"/>
    </row>
    <row r="20" spans="1:22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871"/>
      <c r="J20" s="871"/>
      <c r="K20" s="960"/>
      <c r="L20" s="84"/>
      <c r="M20" s="84"/>
      <c r="N20" s="90" t="s">
        <v>4622</v>
      </c>
      <c r="O20" s="1143"/>
      <c r="P20" s="800">
        <v>34000</v>
      </c>
      <c r="Q20" s="800" t="s">
        <v>4523</v>
      </c>
      <c r="R20" s="1384"/>
      <c r="S20" s="1371"/>
    </row>
    <row r="21" spans="1:22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871"/>
      <c r="K21" s="960"/>
      <c r="L21" s="84"/>
      <c r="M21" s="84"/>
      <c r="N21" s="90" t="s">
        <v>4622</v>
      </c>
      <c r="O21" s="1143"/>
      <c r="P21" s="800">
        <v>34000</v>
      </c>
      <c r="Q21" s="800" t="s">
        <v>4523</v>
      </c>
      <c r="R21" s="1384"/>
      <c r="S21" s="1371"/>
    </row>
    <row r="22" spans="1:22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960"/>
      <c r="L22" s="84"/>
      <c r="M22" s="84"/>
      <c r="N22" s="1385"/>
      <c r="S22" s="1371"/>
    </row>
    <row r="23" spans="1:22" ht="24.6" customHeight="1">
      <c r="A23" s="84"/>
      <c r="B23" s="84"/>
      <c r="C23" s="5"/>
      <c r="D23" s="5"/>
      <c r="E23" s="935">
        <f>K17+1</f>
        <v>22</v>
      </c>
      <c r="F23" s="924">
        <f t="shared" ref="F23:K23" si="8">E23+1</f>
        <v>23</v>
      </c>
      <c r="G23" s="923">
        <f t="shared" si="8"/>
        <v>24</v>
      </c>
      <c r="H23" s="924">
        <f t="shared" si="8"/>
        <v>25</v>
      </c>
      <c r="I23" s="923">
        <f t="shared" si="8"/>
        <v>26</v>
      </c>
      <c r="J23" s="923">
        <f t="shared" si="8"/>
        <v>27</v>
      </c>
      <c r="K23" s="925">
        <f t="shared" si="8"/>
        <v>28</v>
      </c>
      <c r="L23" s="84"/>
      <c r="M23" s="84"/>
      <c r="N23" s="1385"/>
      <c r="S23" s="1371"/>
    </row>
    <row r="24" spans="1:22" ht="24.6" customHeight="1">
      <c r="A24" s="84"/>
      <c r="B24" s="1467" t="s">
        <v>4690</v>
      </c>
      <c r="C24" s="879" t="s">
        <v>9</v>
      </c>
      <c r="D24" s="265"/>
      <c r="E24" s="869"/>
      <c r="F24" s="1778"/>
      <c r="G24" s="1779"/>
      <c r="H24" s="936"/>
      <c r="I24" s="1784"/>
      <c r="J24" s="1785"/>
      <c r="K24" s="958"/>
      <c r="L24" s="84"/>
      <c r="M24" s="84"/>
      <c r="O24" s="1143"/>
      <c r="P24" s="842"/>
      <c r="R24" s="1384"/>
      <c r="S24" s="1373"/>
      <c r="T24" s="90"/>
    </row>
    <row r="25" spans="1:22" ht="24.6" customHeight="1">
      <c r="A25" s="84"/>
      <c r="B25" s="1467"/>
      <c r="C25" s="879"/>
      <c r="D25" s="265"/>
      <c r="E25" s="869"/>
      <c r="F25" s="936"/>
      <c r="G25" s="1778"/>
      <c r="H25" s="1779"/>
      <c r="I25" s="937"/>
      <c r="J25" s="1784"/>
      <c r="K25" s="1785"/>
      <c r="L25" s="84"/>
      <c r="M25" s="84"/>
      <c r="O25" s="1143"/>
      <c r="P25" s="842"/>
      <c r="R25" s="1384"/>
      <c r="S25" s="1373"/>
      <c r="T25" s="90"/>
    </row>
    <row r="26" spans="1:22" ht="24.6" customHeight="1">
      <c r="A26" s="84"/>
      <c r="B26" s="1467"/>
      <c r="C26" s="880" t="s">
        <v>991</v>
      </c>
      <c r="D26" s="265"/>
      <c r="E26" s="869"/>
      <c r="F26" s="936"/>
      <c r="G26" s="937"/>
      <c r="H26" s="936"/>
      <c r="I26" s="937"/>
      <c r="J26" s="937"/>
      <c r="K26" s="958"/>
      <c r="L26" s="84"/>
      <c r="M26" s="84"/>
      <c r="O26" s="1143"/>
      <c r="P26" s="842"/>
      <c r="R26" s="1384"/>
      <c r="S26" s="1373"/>
      <c r="T26" s="90"/>
    </row>
    <row r="27" spans="1:22" ht="24.6" customHeight="1">
      <c r="A27" s="84"/>
      <c r="B27" s="1467"/>
      <c r="C27" s="880"/>
      <c r="D27" s="265"/>
      <c r="E27" s="869"/>
      <c r="F27" s="936"/>
      <c r="G27" s="937"/>
      <c r="H27" s="936"/>
      <c r="I27" s="937"/>
      <c r="J27" s="937"/>
      <c r="K27" s="958"/>
      <c r="L27" s="84"/>
      <c r="M27" s="84"/>
      <c r="O27" s="1143"/>
      <c r="P27" s="842"/>
      <c r="R27" s="1384"/>
      <c r="S27" s="1373"/>
      <c r="T27" s="90"/>
    </row>
    <row r="28" spans="1:22" ht="24" customHeight="1">
      <c r="A28" s="84"/>
      <c r="B28" s="1398"/>
      <c r="C28" s="881" t="s">
        <v>994</v>
      </c>
      <c r="D28" s="265"/>
      <c r="E28" s="869"/>
      <c r="G28" s="937"/>
      <c r="H28" s="936"/>
      <c r="I28" s="937"/>
      <c r="J28" s="937"/>
      <c r="K28" s="958"/>
      <c r="L28" s="84"/>
      <c r="M28" s="84"/>
      <c r="O28" s="1143"/>
      <c r="P28" s="842"/>
      <c r="R28" s="1384"/>
      <c r="S28" s="1373"/>
      <c r="T28" s="90"/>
    </row>
    <row r="29" spans="1:22" ht="24.6" customHeight="1">
      <c r="A29" s="84"/>
      <c r="B29" s="84"/>
      <c r="C29" s="269"/>
      <c r="D29" s="265"/>
      <c r="E29" s="1337">
        <f>K23+1</f>
        <v>29</v>
      </c>
      <c r="F29" s="1338">
        <f>E29+1</f>
        <v>30</v>
      </c>
      <c r="G29" s="1338"/>
      <c r="H29" s="1338"/>
      <c r="I29" s="1338"/>
      <c r="J29" s="1338"/>
      <c r="K29" s="1338"/>
      <c r="L29" s="84"/>
      <c r="M29" s="84"/>
      <c r="O29" s="1143"/>
      <c r="P29" s="842"/>
      <c r="R29" s="1384"/>
      <c r="S29" s="1373"/>
      <c r="T29" s="90"/>
    </row>
    <row r="30" spans="1:22" ht="24.6" customHeight="1">
      <c r="A30" s="84"/>
      <c r="B30" s="1467" t="s">
        <v>4690</v>
      </c>
      <c r="C30" s="879" t="s">
        <v>9</v>
      </c>
      <c r="D30" s="265"/>
      <c r="E30" s="871"/>
      <c r="F30" s="1807"/>
      <c r="G30" s="1808"/>
      <c r="H30" s="874"/>
      <c r="I30" s="871"/>
      <c r="J30" s="871"/>
      <c r="K30" s="960"/>
      <c r="L30" s="84"/>
      <c r="M30" s="84"/>
      <c r="O30" s="1143"/>
      <c r="P30" s="842"/>
      <c r="R30" s="1384"/>
      <c r="S30" s="1373"/>
      <c r="T30" s="90"/>
    </row>
    <row r="31" spans="1:22" ht="24.6" customHeight="1">
      <c r="A31" s="84"/>
      <c r="B31" s="1467"/>
      <c r="C31" s="879"/>
      <c r="D31" s="265"/>
      <c r="E31" s="871"/>
      <c r="F31" s="944"/>
      <c r="G31" s="868"/>
      <c r="H31" s="874"/>
      <c r="I31" s="871"/>
      <c r="J31" s="871"/>
      <c r="K31" s="960"/>
      <c r="L31" s="84"/>
      <c r="M31" s="84"/>
      <c r="O31" s="1143"/>
      <c r="P31" s="842"/>
      <c r="R31" s="1384"/>
      <c r="S31" s="1373"/>
      <c r="T31" s="90"/>
    </row>
    <row r="32" spans="1:22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M32" s="84"/>
      <c r="O32" s="1143"/>
      <c r="P32" s="842"/>
      <c r="R32" s="1384"/>
      <c r="S32" s="1373"/>
      <c r="T32" s="90"/>
    </row>
    <row r="33" spans="1:20" ht="24.6" customHeight="1">
      <c r="A33" s="84"/>
      <c r="B33" s="1467"/>
      <c r="C33" s="880"/>
      <c r="D33" s="265"/>
      <c r="E33" s="871"/>
      <c r="F33" s="944"/>
      <c r="G33" s="944"/>
      <c r="H33" s="868"/>
      <c r="I33" s="871"/>
      <c r="J33" s="871"/>
      <c r="K33" s="960"/>
      <c r="L33" s="84"/>
      <c r="M33" s="84"/>
      <c r="O33" s="1143"/>
      <c r="P33" s="842"/>
      <c r="R33" s="1384"/>
      <c r="S33" s="1373"/>
      <c r="T33" s="90"/>
    </row>
    <row r="34" spans="1:20" ht="24.6" customHeight="1">
      <c r="A34" s="84"/>
      <c r="B34" s="1398"/>
      <c r="C34" s="881" t="s">
        <v>994</v>
      </c>
      <c r="D34" s="265"/>
      <c r="E34" s="872"/>
      <c r="F34" s="872"/>
      <c r="G34" s="964"/>
      <c r="H34" s="965"/>
      <c r="I34" s="872"/>
      <c r="J34" s="872"/>
      <c r="K34" s="966"/>
      <c r="L34" s="84"/>
      <c r="M34" s="84"/>
      <c r="O34" s="1143"/>
      <c r="P34" s="842"/>
      <c r="R34" s="1384"/>
      <c r="S34" s="1373"/>
      <c r="T34" s="90"/>
    </row>
    <row r="35" spans="1:20" ht="19.149999999999999">
      <c r="O35" s="1143"/>
      <c r="P35" s="842"/>
      <c r="R35" s="1384"/>
      <c r="S35" s="1373"/>
      <c r="T35" s="90"/>
    </row>
    <row r="36" spans="1:20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2" t="s">
        <v>3768</v>
      </c>
      <c r="L36" s="84"/>
      <c r="M36" s="84"/>
      <c r="O36" s="1143"/>
      <c r="P36" s="842"/>
      <c r="R36" s="1384"/>
      <c r="S36" s="1373"/>
      <c r="T36" s="90"/>
    </row>
    <row r="37" spans="1:20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O37" s="1143"/>
      <c r="P37" s="842"/>
      <c r="R37" s="1384"/>
      <c r="S37" s="1373"/>
      <c r="T37" s="90"/>
    </row>
    <row r="38" spans="1:20" ht="19.149999999999999">
      <c r="O38" s="1143"/>
      <c r="P38" s="842"/>
      <c r="R38" s="1384"/>
      <c r="S38" s="1373"/>
      <c r="T38" s="90"/>
    </row>
    <row r="39" spans="1:20" ht="19.149999999999999">
      <c r="O39" s="1143"/>
      <c r="P39" s="842"/>
      <c r="R39" s="1384"/>
      <c r="S39" s="1373"/>
      <c r="T39" s="90"/>
    </row>
    <row r="40" spans="1:20" ht="19.149999999999999">
      <c r="N40" s="84"/>
      <c r="O40" s="84"/>
      <c r="P40" s="84"/>
      <c r="Q40" s="84"/>
      <c r="R40" s="84"/>
      <c r="S40" s="1351"/>
    </row>
    <row r="42" spans="1:20">
      <c r="S42" s="84"/>
    </row>
    <row r="43" spans="1:20">
      <c r="S43" s="84"/>
    </row>
  </sheetData>
  <autoFilter ref="N8:T38"/>
  <sortState ref="N9:U39">
    <sortCondition ref="Q9:Q39"/>
  </sortState>
  <mergeCells count="28">
    <mergeCell ref="O2:P2"/>
    <mergeCell ref="Q2:R2"/>
    <mergeCell ref="E3:G3"/>
    <mergeCell ref="H3:K3"/>
    <mergeCell ref="O3:P3"/>
    <mergeCell ref="Q3:R3"/>
    <mergeCell ref="B12:B15"/>
    <mergeCell ref="F12:G12"/>
    <mergeCell ref="I12:J12"/>
    <mergeCell ref="G13:H13"/>
    <mergeCell ref="J13:K13"/>
    <mergeCell ref="F6:G6"/>
    <mergeCell ref="I6:J6"/>
    <mergeCell ref="G7:H7"/>
    <mergeCell ref="J7:K7"/>
    <mergeCell ref="B6:B10"/>
    <mergeCell ref="B30:B33"/>
    <mergeCell ref="F30:G30"/>
    <mergeCell ref="B18:B21"/>
    <mergeCell ref="F18:G18"/>
    <mergeCell ref="I18:J18"/>
    <mergeCell ref="G19:H19"/>
    <mergeCell ref="J19:K19"/>
    <mergeCell ref="B24:B27"/>
    <mergeCell ref="F24:G24"/>
    <mergeCell ref="I24:J24"/>
    <mergeCell ref="G25:H25"/>
    <mergeCell ref="J25:K25"/>
  </mergeCells>
  <phoneticPr fontId="6" type="noConversion"/>
  <pageMargins left="0.7" right="0.7" top="0.75" bottom="0.75" header="0.3" footer="0.3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43"/>
  <sheetViews>
    <sheetView showGridLines="0" zoomScale="55" zoomScaleNormal="55" workbookViewId="0">
      <selection activeCell="K27" sqref="K27"/>
    </sheetView>
  </sheetViews>
  <sheetFormatPr defaultColWidth="8.88671875" defaultRowHeight="16.899999999999999"/>
  <cols>
    <col min="1" max="1" width="1.6640625" style="90" customWidth="1"/>
    <col min="2" max="2" width="11.21875" style="90" customWidth="1"/>
    <col min="3" max="3" width="15.77734375" style="90" customWidth="1"/>
    <col min="4" max="4" width="0.88671875" style="90" customWidth="1"/>
    <col min="5" max="8" width="25.77734375" style="90" customWidth="1"/>
    <col min="9" max="9" width="26.77734375" style="90" customWidth="1"/>
    <col min="10" max="11" width="25.77734375" style="90" customWidth="1"/>
    <col min="12" max="12" width="2.109375" style="90" customWidth="1"/>
    <col min="13" max="13" width="11.77734375" style="90" customWidth="1"/>
    <col min="14" max="14" width="28.77734375" style="90" bestFit="1" customWidth="1"/>
    <col min="15" max="15" width="17.77734375" style="90" bestFit="1" customWidth="1"/>
    <col min="16" max="16" width="9.77734375" style="90" bestFit="1" customWidth="1"/>
    <col min="17" max="17" width="14.77734375" style="90" customWidth="1"/>
    <col min="18" max="18" width="16.5546875" style="90" customWidth="1"/>
    <col min="19" max="19" width="16.44140625" style="90" bestFit="1" customWidth="1"/>
    <col min="20" max="16384" width="8.88671875" style="84"/>
  </cols>
  <sheetData>
    <row r="1" spans="1:22" ht="19.149999999999999">
      <c r="A1" s="84"/>
      <c r="B1" s="84"/>
      <c r="C1" s="5"/>
      <c r="D1" s="5"/>
      <c r="N1" s="683" t="s">
        <v>3296</v>
      </c>
      <c r="O1" s="683"/>
      <c r="P1" s="5"/>
      <c r="Q1" s="5"/>
      <c r="R1" s="5"/>
    </row>
    <row r="2" spans="1:22" ht="19.149999999999999">
      <c r="A2" s="84"/>
      <c r="B2" s="84"/>
      <c r="C2" s="5"/>
      <c r="D2" s="5"/>
      <c r="E2" s="985"/>
      <c r="F2" s="985"/>
      <c r="G2" s="985"/>
      <c r="H2" s="985"/>
      <c r="I2" s="985"/>
      <c r="J2" s="985"/>
      <c r="K2" s="985"/>
      <c r="N2" s="987" t="s">
        <v>3290</v>
      </c>
      <c r="O2" s="1704" t="s">
        <v>3291</v>
      </c>
      <c r="P2" s="1704"/>
      <c r="Q2" s="1704" t="s">
        <v>3292</v>
      </c>
      <c r="R2" s="1705"/>
    </row>
    <row r="3" spans="1:22" ht="57">
      <c r="A3" s="84"/>
      <c r="B3" s="84"/>
      <c r="C3" s="5"/>
      <c r="D3" s="5"/>
      <c r="E3" s="1759">
        <v>46357</v>
      </c>
      <c r="F3" s="1759"/>
      <c r="G3" s="1759"/>
      <c r="H3" s="1760" t="s">
        <v>10</v>
      </c>
      <c r="I3" s="1717"/>
      <c r="J3" s="1717"/>
      <c r="K3" s="1717"/>
      <c r="N3" s="989">
        <f>SUMIF($Q$8:$Q$36,"F",$P$8:$P$36)</f>
        <v>272000</v>
      </c>
      <c r="O3" s="1715">
        <f>SUMIF($Q$7:$Q$36,"S",$P$7:$P$36)</f>
        <v>0</v>
      </c>
      <c r="P3" s="1715"/>
      <c r="Q3" s="1706">
        <f>N3+O3</f>
        <v>272000</v>
      </c>
      <c r="R3" s="1707"/>
      <c r="S3" s="1380">
        <f>400000-Q3</f>
        <v>128000</v>
      </c>
    </row>
    <row r="4" spans="1:22" s="5" customFormat="1" ht="26.25" customHeight="1">
      <c r="E4" s="974" t="s">
        <v>0</v>
      </c>
      <c r="F4" s="975" t="s">
        <v>1</v>
      </c>
      <c r="G4" s="975" t="s">
        <v>2</v>
      </c>
      <c r="H4" s="975" t="s">
        <v>3</v>
      </c>
      <c r="I4" s="975" t="s">
        <v>4</v>
      </c>
      <c r="J4" s="975" t="s">
        <v>5</v>
      </c>
      <c r="K4" s="976" t="s">
        <v>6</v>
      </c>
      <c r="M4" s="90"/>
      <c r="N4" s="264"/>
      <c r="S4" s="1381">
        <f>S3/34000</f>
        <v>3.7647058823529411</v>
      </c>
    </row>
    <row r="5" spans="1:22" s="5" customFormat="1" ht="24.6" customHeight="1">
      <c r="E5" s="973"/>
      <c r="F5" s="1357"/>
      <c r="G5" s="922">
        <f t="shared" ref="G5:K5" si="0">F5+1</f>
        <v>1</v>
      </c>
      <c r="H5" s="1357">
        <f t="shared" si="0"/>
        <v>2</v>
      </c>
      <c r="I5" s="922">
        <f t="shared" si="0"/>
        <v>3</v>
      </c>
      <c r="J5" s="922">
        <f t="shared" si="0"/>
        <v>4</v>
      </c>
      <c r="K5" s="1340">
        <f t="shared" si="0"/>
        <v>5</v>
      </c>
      <c r="L5" s="90"/>
      <c r="M5" s="90"/>
      <c r="S5" s="90"/>
    </row>
    <row r="6" spans="1:22" s="5" customFormat="1" ht="24.6" customHeight="1">
      <c r="B6" s="1467" t="s">
        <v>287</v>
      </c>
      <c r="C6" s="879" t="s">
        <v>9</v>
      </c>
      <c r="D6" s="265"/>
      <c r="E6" s="867"/>
      <c r="F6" s="868"/>
      <c r="G6" s="868"/>
      <c r="H6" s="868"/>
      <c r="I6" s="1778"/>
      <c r="J6" s="1779"/>
      <c r="K6" s="868"/>
      <c r="L6" s="90"/>
      <c r="M6" s="90"/>
      <c r="S6" s="90"/>
    </row>
    <row r="7" spans="1:22" s="5" customFormat="1" ht="24.6" customHeight="1">
      <c r="B7" s="1467"/>
      <c r="C7" s="879"/>
      <c r="D7" s="265"/>
      <c r="E7" s="867"/>
      <c r="F7" s="868"/>
      <c r="G7" s="1778"/>
      <c r="H7" s="1779"/>
      <c r="I7" s="868"/>
      <c r="J7" s="1778"/>
      <c r="K7" s="1779"/>
      <c r="L7" s="90"/>
      <c r="M7" s="90"/>
      <c r="N7" s="683" t="s">
        <v>4256</v>
      </c>
      <c r="S7" s="90"/>
    </row>
    <row r="8" spans="1:22" s="5" customFormat="1" ht="24.6" customHeight="1">
      <c r="B8" s="1467"/>
      <c r="C8" s="880" t="s">
        <v>991</v>
      </c>
      <c r="D8" s="265"/>
      <c r="E8" s="867"/>
      <c r="F8" s="868"/>
      <c r="G8" s="868"/>
      <c r="H8" s="868"/>
      <c r="I8" s="868"/>
      <c r="J8" s="868"/>
      <c r="K8" s="957"/>
      <c r="L8" s="90"/>
      <c r="M8" s="90"/>
      <c r="N8" s="920" t="s">
        <v>2732</v>
      </c>
      <c r="O8" s="920" t="s">
        <v>3516</v>
      </c>
      <c r="P8" s="920" t="s">
        <v>3872</v>
      </c>
      <c r="Q8" s="920" t="s">
        <v>3461</v>
      </c>
      <c r="R8" s="1131" t="s">
        <v>3839</v>
      </c>
      <c r="S8" s="920" t="s">
        <v>3814</v>
      </c>
      <c r="T8" s="1130" t="s">
        <v>228</v>
      </c>
    </row>
    <row r="9" spans="1:22" s="5" customFormat="1" ht="24.6" customHeight="1">
      <c r="B9" s="1467"/>
      <c r="C9" s="880"/>
      <c r="D9" s="265"/>
      <c r="E9" s="867"/>
      <c r="F9" s="868"/>
      <c r="G9" s="868"/>
      <c r="H9" s="868"/>
      <c r="I9" s="868"/>
      <c r="J9" s="868"/>
      <c r="K9" s="957"/>
      <c r="L9" s="90"/>
      <c r="M9" s="90"/>
      <c r="N9" s="90" t="s">
        <v>4519</v>
      </c>
      <c r="O9" s="90"/>
      <c r="P9" s="90">
        <v>34000</v>
      </c>
      <c r="Q9" s="90" t="s">
        <v>4527</v>
      </c>
      <c r="R9" s="90"/>
      <c r="S9" s="1351"/>
      <c r="U9" s="84"/>
      <c r="V9" s="84"/>
    </row>
    <row r="10" spans="1:22" s="5" customFormat="1" ht="24.6" customHeight="1">
      <c r="B10" s="1467"/>
      <c r="C10" s="881" t="s">
        <v>994</v>
      </c>
      <c r="D10" s="265"/>
      <c r="E10" s="867"/>
      <c r="F10" s="868"/>
      <c r="G10" s="868"/>
      <c r="H10" s="868"/>
      <c r="I10" s="868"/>
      <c r="J10" s="868"/>
      <c r="K10" s="868"/>
      <c r="L10" s="90"/>
      <c r="M10" s="90"/>
      <c r="N10" s="90" t="s">
        <v>4528</v>
      </c>
      <c r="O10" s="90"/>
      <c r="P10" s="90">
        <v>34000</v>
      </c>
      <c r="Q10" s="90" t="s">
        <v>3462</v>
      </c>
      <c r="R10" s="90"/>
      <c r="S10" s="1351"/>
      <c r="U10" s="84"/>
    </row>
    <row r="11" spans="1:22" ht="24.6" customHeight="1">
      <c r="A11" s="84"/>
      <c r="B11" s="84"/>
      <c r="C11" s="5"/>
      <c r="D11" s="5"/>
      <c r="E11" s="935">
        <f>K5+1</f>
        <v>6</v>
      </c>
      <c r="F11" s="924">
        <f t="shared" ref="F11:K11" si="1">E11+1</f>
        <v>7</v>
      </c>
      <c r="G11" s="923">
        <f t="shared" si="1"/>
        <v>8</v>
      </c>
      <c r="H11" s="924">
        <f t="shared" si="1"/>
        <v>9</v>
      </c>
      <c r="I11" s="923">
        <f t="shared" si="1"/>
        <v>10</v>
      </c>
      <c r="J11" s="923">
        <f t="shared" si="1"/>
        <v>11</v>
      </c>
      <c r="K11" s="925">
        <f t="shared" si="1"/>
        <v>12</v>
      </c>
      <c r="N11" s="90" t="s">
        <v>4528</v>
      </c>
      <c r="P11" s="90">
        <v>34000</v>
      </c>
      <c r="Q11" s="90" t="s">
        <v>3462</v>
      </c>
      <c r="S11" s="1351"/>
    </row>
    <row r="12" spans="1:22" ht="24.6" customHeight="1">
      <c r="A12" s="84"/>
      <c r="B12" s="1467" t="s">
        <v>4690</v>
      </c>
      <c r="C12" s="879" t="s">
        <v>9</v>
      </c>
      <c r="D12" s="265"/>
      <c r="E12" s="869"/>
      <c r="F12" s="1778"/>
      <c r="G12" s="1779"/>
      <c r="H12" s="936"/>
      <c r="I12" s="1778"/>
      <c r="J12" s="1779"/>
      <c r="K12" s="958"/>
      <c r="N12" s="90" t="s">
        <v>4588</v>
      </c>
      <c r="O12" s="1143"/>
      <c r="P12" s="800">
        <v>34000</v>
      </c>
      <c r="Q12" s="800" t="s">
        <v>4523</v>
      </c>
      <c r="R12" s="1384"/>
      <c r="S12" s="1371"/>
      <c r="T12" s="5"/>
      <c r="V12" s="1277"/>
    </row>
    <row r="13" spans="1:22" ht="24.6" customHeight="1">
      <c r="A13" s="84"/>
      <c r="B13" s="1467"/>
      <c r="C13" s="879"/>
      <c r="D13" s="265"/>
      <c r="E13" s="869"/>
      <c r="F13" s="936"/>
      <c r="G13" s="1778"/>
      <c r="H13" s="1779"/>
      <c r="I13" s="937"/>
      <c r="J13" s="1778"/>
      <c r="K13" s="1779"/>
      <c r="N13" s="90" t="s">
        <v>4588</v>
      </c>
      <c r="O13" s="1143"/>
      <c r="P13" s="800">
        <v>34000</v>
      </c>
      <c r="Q13" s="800" t="s">
        <v>4523</v>
      </c>
      <c r="R13" s="1384"/>
      <c r="S13" s="1371"/>
      <c r="T13" s="5"/>
    </row>
    <row r="14" spans="1:22" ht="24.6" customHeight="1">
      <c r="A14" s="84"/>
      <c r="B14" s="1467"/>
      <c r="C14" s="880" t="s">
        <v>991</v>
      </c>
      <c r="D14" s="265"/>
      <c r="E14" s="869"/>
      <c r="F14" s="936"/>
      <c r="G14" s="937"/>
      <c r="H14" s="937"/>
      <c r="I14" s="937"/>
      <c r="J14" s="937"/>
      <c r="K14" s="958"/>
      <c r="N14" s="90" t="s">
        <v>4588</v>
      </c>
      <c r="O14" s="1143"/>
      <c r="P14" s="800">
        <v>34000</v>
      </c>
      <c r="Q14" s="800" t="s">
        <v>4523</v>
      </c>
      <c r="R14" s="1384"/>
      <c r="S14" s="1371"/>
    </row>
    <row r="15" spans="1:22" ht="24.6" customHeight="1">
      <c r="A15" s="84"/>
      <c r="B15" s="1467"/>
      <c r="C15" s="880"/>
      <c r="D15" s="265"/>
      <c r="E15" s="869"/>
      <c r="F15" s="936"/>
      <c r="G15" s="937"/>
      <c r="H15" s="937"/>
      <c r="I15" s="937"/>
      <c r="J15" s="937"/>
      <c r="K15" s="958"/>
      <c r="N15" s="90" t="s">
        <v>4622</v>
      </c>
      <c r="O15" s="1143"/>
      <c r="P15" s="800">
        <v>34000</v>
      </c>
      <c r="Q15" s="800" t="s">
        <v>4523</v>
      </c>
      <c r="R15" s="1384"/>
      <c r="S15" s="1371"/>
    </row>
    <row r="16" spans="1:22" ht="24.6" customHeight="1">
      <c r="A16" s="84"/>
      <c r="B16" s="1398"/>
      <c r="C16" s="881" t="s">
        <v>994</v>
      </c>
      <c r="D16" s="265"/>
      <c r="E16" s="869"/>
      <c r="F16" s="869"/>
      <c r="G16" s="870"/>
      <c r="H16" s="869"/>
      <c r="I16" s="869"/>
      <c r="J16" s="869"/>
      <c r="K16" s="958"/>
      <c r="N16" s="90" t="s">
        <v>4622</v>
      </c>
      <c r="O16" s="1143"/>
      <c r="P16" s="800">
        <v>34000</v>
      </c>
      <c r="Q16" s="800" t="s">
        <v>4523</v>
      </c>
      <c r="R16" s="1384"/>
      <c r="S16" s="1371"/>
    </row>
    <row r="17" spans="1:22" ht="24.6" customHeight="1">
      <c r="A17" s="84"/>
      <c r="B17" s="84"/>
      <c r="C17" s="5"/>
      <c r="D17" s="5"/>
      <c r="E17" s="939">
        <f>K11+1</f>
        <v>13</v>
      </c>
      <c r="F17" s="940">
        <f t="shared" ref="F17:K17" si="2">E17+1</f>
        <v>14</v>
      </c>
      <c r="G17" s="941">
        <f t="shared" si="2"/>
        <v>15</v>
      </c>
      <c r="H17" s="942">
        <f t="shared" si="2"/>
        <v>16</v>
      </c>
      <c r="I17" s="943">
        <f t="shared" si="2"/>
        <v>17</v>
      </c>
      <c r="J17" s="943">
        <f t="shared" si="2"/>
        <v>18</v>
      </c>
      <c r="K17" s="959">
        <f t="shared" si="2"/>
        <v>19</v>
      </c>
      <c r="M17" s="203"/>
      <c r="N17" s="203"/>
      <c r="O17" s="203"/>
      <c r="P17" s="203"/>
      <c r="Q17" s="203"/>
      <c r="R17" s="203"/>
      <c r="S17" s="1187"/>
      <c r="T17" s="1279"/>
      <c r="V17" s="1277"/>
    </row>
    <row r="18" spans="1:22" ht="24.6" customHeight="1">
      <c r="A18" s="84"/>
      <c r="B18" s="1467" t="s">
        <v>4690</v>
      </c>
      <c r="C18" s="879" t="s">
        <v>9</v>
      </c>
      <c r="D18" s="265"/>
      <c r="E18" s="871"/>
      <c r="F18" s="1778"/>
      <c r="G18" s="1779"/>
      <c r="H18" s="868"/>
      <c r="I18" s="1778"/>
      <c r="J18" s="1779"/>
      <c r="K18" s="868"/>
      <c r="S18" s="1187"/>
      <c r="T18" s="1279"/>
      <c r="U18" s="1277"/>
    </row>
    <row r="19" spans="1:22" ht="24.6" customHeight="1">
      <c r="A19" s="84"/>
      <c r="B19" s="1467"/>
      <c r="C19" s="879"/>
      <c r="D19" s="265"/>
      <c r="E19" s="871"/>
      <c r="F19" s="868"/>
      <c r="G19" s="1778"/>
      <c r="H19" s="1779"/>
      <c r="I19" s="868"/>
      <c r="J19" s="1778"/>
      <c r="K19" s="1779"/>
      <c r="L19" s="84"/>
      <c r="M19" s="84"/>
      <c r="N19" s="84"/>
      <c r="O19" s="84"/>
      <c r="P19" s="84"/>
      <c r="Q19" s="84"/>
      <c r="R19" s="84"/>
      <c r="S19" s="1187"/>
      <c r="T19" s="1279"/>
    </row>
    <row r="20" spans="1:22" ht="24.6" customHeight="1">
      <c r="A20" s="84"/>
      <c r="B20" s="1467"/>
      <c r="C20" s="880" t="s">
        <v>991</v>
      </c>
      <c r="D20" s="265"/>
      <c r="E20" s="871"/>
      <c r="F20" s="944"/>
      <c r="G20" s="868"/>
      <c r="H20" s="874"/>
      <c r="I20" s="871"/>
      <c r="J20" s="871"/>
      <c r="K20" s="960"/>
      <c r="L20" s="84"/>
      <c r="M20" s="84"/>
      <c r="N20" s="84"/>
      <c r="O20" s="84"/>
      <c r="P20" s="84"/>
      <c r="Q20" s="84"/>
      <c r="R20" s="84"/>
      <c r="S20" s="1187"/>
    </row>
    <row r="21" spans="1:22" ht="24.6" customHeight="1">
      <c r="A21" s="84"/>
      <c r="B21" s="1467"/>
      <c r="C21" s="880"/>
      <c r="D21" s="265"/>
      <c r="E21" s="871"/>
      <c r="F21" s="944"/>
      <c r="G21" s="868"/>
      <c r="H21" s="874"/>
      <c r="I21" s="871"/>
      <c r="J21" s="871"/>
      <c r="K21" s="960"/>
      <c r="L21" s="84"/>
      <c r="M21" s="84"/>
      <c r="N21" s="84"/>
      <c r="O21" s="84"/>
      <c r="P21" s="84"/>
      <c r="Q21" s="84"/>
      <c r="R21" s="84"/>
      <c r="S21" s="1187"/>
    </row>
    <row r="22" spans="1:22" ht="24.6" customHeight="1">
      <c r="A22" s="84"/>
      <c r="B22" s="1398"/>
      <c r="C22" s="881" t="s">
        <v>994</v>
      </c>
      <c r="D22" s="265"/>
      <c r="E22" s="871"/>
      <c r="F22" s="944"/>
      <c r="G22" s="868"/>
      <c r="H22" s="874"/>
      <c r="I22" s="871"/>
      <c r="J22" s="871"/>
      <c r="K22" s="960"/>
      <c r="L22" s="84"/>
      <c r="M22" s="84"/>
      <c r="N22" s="84"/>
      <c r="O22" s="84"/>
      <c r="P22" s="84"/>
      <c r="Q22" s="84"/>
      <c r="R22" s="84"/>
      <c r="S22" s="1351"/>
    </row>
    <row r="23" spans="1:22" ht="24.6" customHeight="1">
      <c r="A23" s="84"/>
      <c r="B23" s="84"/>
      <c r="C23" s="5"/>
      <c r="D23" s="5"/>
      <c r="E23" s="935">
        <f>K17+1</f>
        <v>20</v>
      </c>
      <c r="F23" s="924">
        <f t="shared" ref="F23:K23" si="3">E23+1</f>
        <v>21</v>
      </c>
      <c r="G23" s="923">
        <f t="shared" si="3"/>
        <v>22</v>
      </c>
      <c r="H23" s="924">
        <f t="shared" si="3"/>
        <v>23</v>
      </c>
      <c r="I23" s="923">
        <f t="shared" si="3"/>
        <v>24</v>
      </c>
      <c r="J23" s="923">
        <f t="shared" si="3"/>
        <v>25</v>
      </c>
      <c r="K23" s="925">
        <f t="shared" si="3"/>
        <v>26</v>
      </c>
      <c r="L23" s="84"/>
      <c r="M23" s="84"/>
      <c r="N23" s="84"/>
      <c r="O23" s="84"/>
      <c r="P23" s="84"/>
      <c r="Q23" s="84"/>
      <c r="R23" s="84"/>
      <c r="S23" s="1351"/>
    </row>
    <row r="24" spans="1:22" ht="24.6" customHeight="1">
      <c r="A24" s="84"/>
      <c r="B24" s="1467" t="s">
        <v>4690</v>
      </c>
      <c r="C24" s="879" t="s">
        <v>9</v>
      </c>
      <c r="D24" s="265"/>
      <c r="E24" s="869"/>
      <c r="F24" s="1778"/>
      <c r="G24" s="1779"/>
      <c r="H24" s="936"/>
      <c r="I24" s="1784"/>
      <c r="J24" s="1785"/>
      <c r="K24" s="958"/>
      <c r="L24" s="84"/>
      <c r="M24" s="84"/>
      <c r="N24" s="84"/>
      <c r="O24" s="84"/>
      <c r="P24" s="84"/>
      <c r="Q24" s="84"/>
      <c r="R24" s="84"/>
      <c r="S24" s="1351"/>
    </row>
    <row r="25" spans="1:22" ht="24.6" customHeight="1">
      <c r="A25" s="84"/>
      <c r="B25" s="1467"/>
      <c r="C25" s="879"/>
      <c r="D25" s="265"/>
      <c r="E25" s="869"/>
      <c r="F25" s="936"/>
      <c r="G25" s="1778"/>
      <c r="H25" s="1779"/>
      <c r="I25" s="937"/>
      <c r="J25" s="937"/>
      <c r="K25" s="958"/>
      <c r="L25" s="84"/>
      <c r="M25" s="84"/>
      <c r="N25" s="84"/>
      <c r="O25" s="84"/>
      <c r="P25" s="84"/>
      <c r="Q25" s="84"/>
      <c r="R25" s="84"/>
      <c r="S25" s="1351"/>
    </row>
    <row r="26" spans="1:22" ht="24.6" customHeight="1">
      <c r="A26" s="84"/>
      <c r="B26" s="1467"/>
      <c r="C26" s="880" t="s">
        <v>991</v>
      </c>
      <c r="D26" s="265"/>
      <c r="E26" s="869"/>
      <c r="F26" s="936"/>
      <c r="G26" s="937"/>
      <c r="H26" s="936"/>
      <c r="I26" s="937"/>
      <c r="J26" s="937"/>
      <c r="K26" s="958"/>
      <c r="L26" s="84"/>
      <c r="M26" s="84"/>
      <c r="N26" s="84"/>
      <c r="O26" s="84"/>
      <c r="P26" s="84"/>
      <c r="Q26" s="84"/>
      <c r="R26" s="84"/>
      <c r="S26" s="1351"/>
    </row>
    <row r="27" spans="1:22" ht="24.6" customHeight="1">
      <c r="A27" s="84"/>
      <c r="B27" s="1467"/>
      <c r="C27" s="880"/>
      <c r="D27" s="265"/>
      <c r="E27" s="869"/>
      <c r="F27" s="936"/>
      <c r="G27" s="937"/>
      <c r="H27" s="936"/>
      <c r="I27" s="937"/>
      <c r="J27" s="937"/>
      <c r="K27" s="958"/>
      <c r="L27" s="84"/>
      <c r="M27" s="84"/>
      <c r="N27" s="84"/>
      <c r="O27" s="84"/>
      <c r="P27" s="84"/>
      <c r="Q27" s="84"/>
      <c r="R27" s="84"/>
      <c r="S27" s="1351"/>
    </row>
    <row r="28" spans="1:22" ht="24" customHeight="1">
      <c r="A28" s="84"/>
      <c r="B28" s="1398"/>
      <c r="C28" s="881" t="s">
        <v>994</v>
      </c>
      <c r="D28" s="265"/>
      <c r="E28" s="869"/>
      <c r="G28" s="937"/>
      <c r="H28" s="936"/>
      <c r="I28" s="937"/>
      <c r="J28" s="1352" t="s">
        <v>4398</v>
      </c>
      <c r="K28" s="958"/>
      <c r="L28" s="84"/>
      <c r="M28" s="84"/>
      <c r="N28" s="84"/>
      <c r="O28" s="84"/>
      <c r="P28" s="84"/>
      <c r="Q28" s="84"/>
      <c r="R28" s="84"/>
      <c r="S28" s="1351"/>
    </row>
    <row r="29" spans="1:22" ht="24.6" customHeight="1">
      <c r="A29" s="84"/>
      <c r="B29" s="84"/>
      <c r="C29" s="269"/>
      <c r="D29" s="265"/>
      <c r="E29" s="1337">
        <f>K23+1</f>
        <v>27</v>
      </c>
      <c r="F29" s="1338">
        <f>E29+1</f>
        <v>28</v>
      </c>
      <c r="G29" s="922">
        <f t="shared" ref="G29:I29" si="4">F29+1</f>
        <v>29</v>
      </c>
      <c r="H29" s="922">
        <f t="shared" si="4"/>
        <v>30</v>
      </c>
      <c r="I29" s="922">
        <f t="shared" si="4"/>
        <v>31</v>
      </c>
      <c r="J29" s="1338"/>
      <c r="K29" s="1338"/>
      <c r="L29" s="84"/>
      <c r="M29" s="84"/>
      <c r="N29" s="84"/>
      <c r="O29" s="84"/>
      <c r="P29" s="84"/>
      <c r="Q29" s="84"/>
      <c r="R29" s="84"/>
      <c r="S29" s="1351"/>
    </row>
    <row r="30" spans="1:22" ht="24.6" customHeight="1">
      <c r="A30" s="84"/>
      <c r="B30" s="1467" t="s">
        <v>4690</v>
      </c>
      <c r="C30" s="879" t="s">
        <v>9</v>
      </c>
      <c r="D30" s="265"/>
      <c r="E30" s="871"/>
      <c r="F30" s="1778"/>
      <c r="G30" s="1779"/>
      <c r="H30" s="874"/>
      <c r="I30" s="871"/>
      <c r="J30" s="871"/>
      <c r="K30" s="960"/>
      <c r="L30" s="84"/>
      <c r="M30" s="84"/>
      <c r="N30" s="84"/>
      <c r="O30" s="84"/>
      <c r="P30" s="84"/>
      <c r="Q30" s="84"/>
      <c r="R30" s="84"/>
      <c r="S30" s="1351"/>
    </row>
    <row r="31" spans="1:22" ht="24.6" customHeight="1">
      <c r="A31" s="84"/>
      <c r="B31" s="1467"/>
      <c r="C31" s="879"/>
      <c r="D31" s="265"/>
      <c r="E31" s="871"/>
      <c r="F31" s="944"/>
      <c r="G31" s="1778"/>
      <c r="H31" s="1779"/>
      <c r="I31" s="871"/>
      <c r="J31" s="871"/>
      <c r="K31" s="960"/>
      <c r="L31" s="84"/>
      <c r="M31" s="84"/>
      <c r="N31" s="84"/>
      <c r="O31" s="84"/>
      <c r="P31" s="84"/>
      <c r="Q31" s="84"/>
      <c r="R31" s="84"/>
      <c r="S31" s="1351"/>
    </row>
    <row r="32" spans="1:22" ht="24.6" customHeight="1">
      <c r="A32" s="84"/>
      <c r="B32" s="1467"/>
      <c r="C32" s="880" t="s">
        <v>991</v>
      </c>
      <c r="D32" s="265"/>
      <c r="E32" s="871"/>
      <c r="F32" s="944"/>
      <c r="G32" s="868"/>
      <c r="H32" s="874"/>
      <c r="I32" s="871"/>
      <c r="J32" s="871"/>
      <c r="K32" s="960"/>
      <c r="L32" s="84"/>
      <c r="M32" s="84"/>
      <c r="N32" s="84"/>
      <c r="O32" s="84"/>
      <c r="P32" s="84"/>
      <c r="Q32" s="84"/>
      <c r="R32" s="84"/>
      <c r="S32" s="1351"/>
    </row>
    <row r="33" spans="1:19" ht="24.6" customHeight="1">
      <c r="A33" s="84"/>
      <c r="B33" s="1467"/>
      <c r="C33" s="880"/>
      <c r="D33" s="265"/>
      <c r="E33" s="871"/>
      <c r="F33" s="944"/>
      <c r="G33" s="944"/>
      <c r="H33" s="868"/>
      <c r="I33" s="871"/>
      <c r="J33" s="871"/>
      <c r="K33" s="960"/>
      <c r="L33" s="84"/>
      <c r="M33" s="84"/>
      <c r="N33" s="84"/>
      <c r="O33" s="84"/>
      <c r="P33" s="84"/>
      <c r="Q33" s="84"/>
      <c r="R33" s="84"/>
      <c r="S33" s="1351"/>
    </row>
    <row r="34" spans="1:19" ht="24.6" customHeight="1">
      <c r="A34" s="84"/>
      <c r="B34" s="1398"/>
      <c r="C34" s="881" t="s">
        <v>994</v>
      </c>
      <c r="D34" s="265"/>
      <c r="E34" s="872"/>
      <c r="F34" s="872"/>
      <c r="G34" s="964"/>
      <c r="H34" s="965"/>
      <c r="I34" s="872"/>
      <c r="J34" s="872"/>
      <c r="K34" s="966"/>
      <c r="L34" s="84"/>
      <c r="M34" s="84"/>
      <c r="N34" s="84"/>
      <c r="O34" s="84"/>
      <c r="P34" s="84"/>
      <c r="Q34" s="84"/>
      <c r="R34" s="84"/>
      <c r="S34" s="1351"/>
    </row>
    <row r="35" spans="1:19" ht="19.149999999999999">
      <c r="N35" s="84"/>
      <c r="O35" s="84"/>
      <c r="P35" s="84"/>
      <c r="Q35" s="84"/>
      <c r="R35" s="84"/>
      <c r="S35" s="1351"/>
    </row>
    <row r="36" spans="1:19" ht="24" customHeight="1">
      <c r="A36" s="84"/>
      <c r="B36" s="5"/>
      <c r="C36" s="962" t="s">
        <v>3744</v>
      </c>
      <c r="D36" s="84"/>
      <c r="E36" s="931" t="s">
        <v>3740</v>
      </c>
      <c r="F36" s="933" t="s">
        <v>3743</v>
      </c>
      <c r="G36" s="1352" t="s">
        <v>3768</v>
      </c>
      <c r="L36" s="84"/>
      <c r="M36" s="84"/>
      <c r="N36" s="84"/>
      <c r="O36" s="84"/>
      <c r="P36" s="84"/>
      <c r="Q36" s="84"/>
      <c r="R36" s="84"/>
      <c r="S36" s="1351"/>
    </row>
    <row r="37" spans="1:19" ht="24.6" customHeight="1">
      <c r="A37" s="84"/>
      <c r="B37" s="5"/>
      <c r="D37" s="84"/>
      <c r="E37" s="932" t="s">
        <v>3741</v>
      </c>
      <c r="F37" s="1186" t="s">
        <v>3742</v>
      </c>
      <c r="G37" s="972" t="s">
        <v>336</v>
      </c>
      <c r="L37" s="84"/>
      <c r="M37" s="84"/>
      <c r="N37" s="84"/>
      <c r="O37" s="84"/>
      <c r="P37" s="84"/>
      <c r="Q37" s="84"/>
      <c r="R37" s="84"/>
      <c r="S37" s="1351"/>
    </row>
    <row r="38" spans="1:19" ht="19.149999999999999">
      <c r="N38" s="84"/>
      <c r="O38" s="84"/>
      <c r="P38" s="84"/>
      <c r="Q38" s="84"/>
      <c r="R38" s="84"/>
      <c r="S38" s="1351"/>
    </row>
    <row r="39" spans="1:19" ht="19.149999999999999">
      <c r="N39" s="84"/>
      <c r="O39" s="84"/>
      <c r="P39" s="84"/>
      <c r="Q39" s="84"/>
      <c r="R39" s="84"/>
      <c r="S39" s="1351"/>
    </row>
    <row r="40" spans="1:19" ht="19.149999999999999">
      <c r="N40" s="84"/>
      <c r="O40" s="84"/>
      <c r="P40" s="84"/>
      <c r="Q40" s="84"/>
      <c r="R40" s="84"/>
      <c r="S40" s="1351"/>
    </row>
    <row r="42" spans="1:19">
      <c r="S42" s="84"/>
    </row>
    <row r="43" spans="1:19">
      <c r="S43" s="84"/>
    </row>
  </sheetData>
  <mergeCells count="27">
    <mergeCell ref="O2:P2"/>
    <mergeCell ref="Q2:R2"/>
    <mergeCell ref="E3:G3"/>
    <mergeCell ref="H3:K3"/>
    <mergeCell ref="O3:P3"/>
    <mergeCell ref="Q3:R3"/>
    <mergeCell ref="I6:J6"/>
    <mergeCell ref="J7:K7"/>
    <mergeCell ref="B6:B10"/>
    <mergeCell ref="G7:H7"/>
    <mergeCell ref="I18:J18"/>
    <mergeCell ref="B12:B15"/>
    <mergeCell ref="F12:G12"/>
    <mergeCell ref="I12:J12"/>
    <mergeCell ref="G13:H13"/>
    <mergeCell ref="J13:K13"/>
    <mergeCell ref="J19:K19"/>
    <mergeCell ref="B24:B27"/>
    <mergeCell ref="F24:G24"/>
    <mergeCell ref="I24:J24"/>
    <mergeCell ref="G25:H25"/>
    <mergeCell ref="B30:B33"/>
    <mergeCell ref="F30:G30"/>
    <mergeCell ref="G31:H31"/>
    <mergeCell ref="B18:B21"/>
    <mergeCell ref="F18:G18"/>
    <mergeCell ref="G19:H19"/>
  </mergeCells>
  <phoneticPr fontId="6" type="noConversion"/>
  <pageMargins left="0.7" right="0.7" top="0.75" bottom="0.75" header="0.3" footer="0.3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D5"/>
  <sheetViews>
    <sheetView zoomScale="205" zoomScaleNormal="205" workbookViewId="0">
      <selection activeCell="C9" sqref="C9"/>
    </sheetView>
  </sheetViews>
  <sheetFormatPr defaultRowHeight="13.9"/>
  <sheetData>
    <row r="1" spans="1:4">
      <c r="A1" t="s">
        <v>255</v>
      </c>
    </row>
    <row r="2" spans="1:4">
      <c r="A2" t="s">
        <v>256</v>
      </c>
    </row>
    <row r="3" spans="1:4">
      <c r="B3">
        <v>9</v>
      </c>
      <c r="C3">
        <v>10</v>
      </c>
      <c r="D3">
        <v>11</v>
      </c>
    </row>
    <row r="4" spans="1:4">
      <c r="A4" t="s">
        <v>258</v>
      </c>
      <c r="B4">
        <v>3</v>
      </c>
    </row>
    <row r="5" spans="1:4">
      <c r="A5" t="s">
        <v>257</v>
      </c>
      <c r="B5">
        <v>9</v>
      </c>
    </row>
  </sheetData>
  <phoneticPr fontId="6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/>
  <dimension ref="A1:C3"/>
  <sheetViews>
    <sheetView workbookViewId="0">
      <selection activeCell="B2" sqref="B2"/>
    </sheetView>
  </sheetViews>
  <sheetFormatPr defaultRowHeight="13.9"/>
  <cols>
    <col min="1" max="1" width="10.6640625" bestFit="1" customWidth="1"/>
    <col min="2" max="2" width="14.109375" bestFit="1" customWidth="1"/>
  </cols>
  <sheetData>
    <row r="1" spans="1:3">
      <c r="A1" t="s">
        <v>357</v>
      </c>
      <c r="B1" t="s">
        <v>359</v>
      </c>
      <c r="C1" t="s">
        <v>360</v>
      </c>
    </row>
    <row r="2" spans="1:3">
      <c r="C2" t="s">
        <v>354</v>
      </c>
    </row>
    <row r="3" spans="1:3">
      <c r="A3" t="s">
        <v>358</v>
      </c>
      <c r="B3" t="s">
        <v>356</v>
      </c>
      <c r="C3" t="s">
        <v>355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134</vt:i4>
      </vt:variant>
      <vt:variant>
        <vt:lpstr>이름이 지정된 범위</vt:lpstr>
      </vt:variant>
      <vt:variant>
        <vt:i4>1</vt:i4>
      </vt:variant>
    </vt:vector>
  </HeadingPairs>
  <TitlesOfParts>
    <vt:vector size="135" baseType="lpstr">
      <vt:lpstr>201701</vt:lpstr>
      <vt:lpstr>201702</vt:lpstr>
      <vt:lpstr>201703</vt:lpstr>
      <vt:lpstr>201704</vt:lpstr>
      <vt:lpstr>201705</vt:lpstr>
      <vt:lpstr>201706</vt:lpstr>
      <vt:lpstr>201707</vt:lpstr>
      <vt:lpstr>201708</vt:lpstr>
      <vt:lpstr>201709</vt:lpstr>
      <vt:lpstr>201710</vt:lpstr>
      <vt:lpstr>201711</vt:lpstr>
      <vt:lpstr>201712</vt:lpstr>
      <vt:lpstr>total</vt:lpstr>
      <vt:lpstr>201902</vt:lpstr>
      <vt:lpstr>201903</vt:lpstr>
      <vt:lpstr>201904</vt:lpstr>
      <vt:lpstr>201905</vt:lpstr>
      <vt:lpstr>폐기 관련 정리 내용</vt:lpstr>
      <vt:lpstr>201906</vt:lpstr>
      <vt:lpstr>201907</vt:lpstr>
      <vt:lpstr>201908</vt:lpstr>
      <vt:lpstr>201909(초안)</vt:lpstr>
      <vt:lpstr>201909</vt:lpstr>
      <vt:lpstr>201910</vt:lpstr>
      <vt:lpstr>201911</vt:lpstr>
      <vt:lpstr>201912(최신안)</vt:lpstr>
      <vt:lpstr>201912(1안)</vt:lpstr>
      <vt:lpstr>201912 (2안)</vt:lpstr>
      <vt:lpstr>201912(변경안)</vt:lpstr>
      <vt:lpstr>201912(변경안) (2)</vt:lpstr>
      <vt:lpstr>202001</vt:lpstr>
      <vt:lpstr>202002</vt:lpstr>
      <vt:lpstr>202003 (최종)</vt:lpstr>
      <vt:lpstr>202003 (최신) 2안</vt:lpstr>
      <vt:lpstr>202003 (최신) 1안</vt:lpstr>
      <vt:lpstr>202003 (이전)</vt:lpstr>
      <vt:lpstr>202003 (3)</vt:lpstr>
      <vt:lpstr>202003 (2)</vt:lpstr>
      <vt:lpstr>202003</vt:lpstr>
      <vt:lpstr>202004 (논의안)</vt:lpstr>
      <vt:lpstr>202004 (2안)</vt:lpstr>
      <vt:lpstr>202004 (1안)</vt:lpstr>
      <vt:lpstr>202005(셧다운 전 pv진행)</vt:lpstr>
      <vt:lpstr>202005(셧다운 후 pv 진행)</vt:lpstr>
      <vt:lpstr>202005 (초안)</vt:lpstr>
      <vt:lpstr>202006</vt:lpstr>
      <vt:lpstr>202007</vt:lpstr>
      <vt:lpstr>202008(최신)</vt:lpstr>
      <vt:lpstr>202008(기존)</vt:lpstr>
      <vt:lpstr>202009</vt:lpstr>
      <vt:lpstr>202010</vt:lpstr>
      <vt:lpstr>202010 (DoE 진행안)</vt:lpstr>
      <vt:lpstr>202011 (1안)</vt:lpstr>
      <vt:lpstr>202011 (2안)</vt:lpstr>
      <vt:lpstr>202011 (DoE 진행안)</vt:lpstr>
      <vt:lpstr>202012(DoE 진행안)</vt:lpstr>
      <vt:lpstr>202012(2안)</vt:lpstr>
      <vt:lpstr>202012 (일탈 발생 시 안)</vt:lpstr>
      <vt:lpstr>202101</vt:lpstr>
      <vt:lpstr>202102</vt:lpstr>
      <vt:lpstr>202103</vt:lpstr>
      <vt:lpstr>202104</vt:lpstr>
      <vt:lpstr>202105</vt:lpstr>
      <vt:lpstr>202106</vt:lpstr>
      <vt:lpstr>202107</vt:lpstr>
      <vt:lpstr>202107 (코로나로 인한 변경)</vt:lpstr>
      <vt:lpstr>202108</vt:lpstr>
      <vt:lpstr>202108 (코로나로 인한 변경)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  <vt:lpstr>202206</vt:lpstr>
      <vt:lpstr>202207</vt:lpstr>
      <vt:lpstr>202208</vt:lpstr>
      <vt:lpstr>202209</vt:lpstr>
      <vt:lpstr>202210</vt:lpstr>
      <vt:lpstr>202211</vt:lpstr>
      <vt:lpstr>202212</vt:lpstr>
      <vt:lpstr>202301</vt:lpstr>
      <vt:lpstr>202302</vt:lpstr>
      <vt:lpstr>202303</vt:lpstr>
      <vt:lpstr>202304</vt:lpstr>
      <vt:lpstr>202305</vt:lpstr>
      <vt:lpstr>202306</vt:lpstr>
      <vt:lpstr>202307</vt:lpstr>
      <vt:lpstr>202308</vt:lpstr>
      <vt:lpstr>202309</vt:lpstr>
      <vt:lpstr>202310</vt:lpstr>
      <vt:lpstr>202311</vt:lpstr>
      <vt:lpstr>202312</vt:lpstr>
      <vt:lpstr>202401</vt:lpstr>
      <vt:lpstr>202402</vt:lpstr>
      <vt:lpstr>202403</vt:lpstr>
      <vt:lpstr>202404</vt:lpstr>
      <vt:lpstr>202405</vt:lpstr>
      <vt:lpstr>202406</vt:lpstr>
      <vt:lpstr>202407</vt:lpstr>
      <vt:lpstr>202408</vt:lpstr>
      <vt:lpstr>202409</vt:lpstr>
      <vt:lpstr>202410</vt:lpstr>
      <vt:lpstr>202411</vt:lpstr>
      <vt:lpstr>202412</vt:lpstr>
      <vt:lpstr>202501</vt:lpstr>
      <vt:lpstr>202502</vt:lpstr>
      <vt:lpstr>202503</vt:lpstr>
      <vt:lpstr>202504</vt:lpstr>
      <vt:lpstr>202505</vt:lpstr>
      <vt:lpstr>202506</vt:lpstr>
      <vt:lpstr>202507</vt:lpstr>
      <vt:lpstr>202508</vt:lpstr>
      <vt:lpstr>202509</vt:lpstr>
      <vt:lpstr>202510</vt:lpstr>
      <vt:lpstr>202511</vt:lpstr>
      <vt:lpstr>202512</vt:lpstr>
      <vt:lpstr>202601</vt:lpstr>
      <vt:lpstr>202602</vt:lpstr>
      <vt:lpstr>202603</vt:lpstr>
      <vt:lpstr>202604</vt:lpstr>
      <vt:lpstr>202605</vt:lpstr>
      <vt:lpstr>202606</vt:lpstr>
      <vt:lpstr>202607</vt:lpstr>
      <vt:lpstr>202608</vt:lpstr>
      <vt:lpstr>202609</vt:lpstr>
      <vt:lpstr>202610</vt:lpstr>
      <vt:lpstr>202611</vt:lpstr>
      <vt:lpstr>202612</vt:lpstr>
      <vt:lpstr>Sheet1</vt:lpstr>
      <vt:lpstr>Sheet2</vt:lpstr>
      <vt:lpstr>'202506'!Print_Area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생산계획 -2015.12.30 생산</dc:title>
  <dc:subject>생산 계획</dc:subject>
  <dc:creator>79739001</dc:creator>
  <cp:lastModifiedBy>User</cp:lastModifiedBy>
  <cp:lastPrinted>2025-06-09T23:46:31Z</cp:lastPrinted>
  <dcterms:created xsi:type="dcterms:W3CDTF">2016-01-05T00:12:54Z</dcterms:created>
  <dcterms:modified xsi:type="dcterms:W3CDTF">2025-11-29T01:16:41Z</dcterms:modified>
</cp:coreProperties>
</file>